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EETS\"/>
    </mc:Choice>
  </mc:AlternateContent>
  <xr:revisionPtr revIDLastSave="0" documentId="11_C8C3B110EA4F1E1A9117B92B4D2107E7161FADCD" xr6:coauthVersionLast="47" xr6:coauthVersionMax="47" xr10:uidLastSave="{00000000-0000-0000-0000-000000000000}"/>
  <bookViews>
    <workbookView xWindow="480" yWindow="348" windowWidth="19872" windowHeight="7716" firstSheet="1" activeTab="1" xr2:uid="{00000000-000D-0000-FFFF-FFFF00000000}"/>
  </bookViews>
  <sheets>
    <sheet name="Inventory" sheetId="6" r:id="rId1"/>
    <sheet name="Plot By Plot" sheetId="3" r:id="rId2"/>
    <sheet name="Chart1" sheetId="4" r:id="rId3"/>
    <sheet name="Yield Tables" sheetId="5" r:id="rId4"/>
    <sheet name="YTOut" sheetId="1" r:id="rId5"/>
  </sheets>
  <definedNames>
    <definedName name="_xlnm.Print_Area" localSheetId="0">Inventory!$A$1:$F$47</definedName>
    <definedName name="_xlnm.Print_Area" localSheetId="1">'Plot By Plot'!$A$1:$L$26</definedName>
    <definedName name="_xlnm.Print_Area" localSheetId="3">'Yield Tables'!$A$1:$N$33</definedName>
    <definedName name="stand">Inventory!$A$1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5" l="1"/>
  <c r="B63" i="5" l="1"/>
  <c r="B62" i="5"/>
  <c r="B61" i="5"/>
  <c r="B60" i="5"/>
  <c r="B59" i="5"/>
  <c r="B58" i="5"/>
  <c r="B57" i="5"/>
  <c r="B56" i="5"/>
  <c r="B55" i="5"/>
  <c r="B54" i="5"/>
  <c r="B53" i="5"/>
  <c r="A51" i="5"/>
  <c r="B46" i="5"/>
  <c r="B45" i="5"/>
  <c r="B44" i="5"/>
  <c r="B43" i="5"/>
  <c r="B42" i="5"/>
  <c r="B41" i="5"/>
  <c r="B40" i="5"/>
  <c r="B39" i="5"/>
  <c r="B38" i="5"/>
  <c r="B37" i="5"/>
  <c r="B36" i="5"/>
  <c r="A34" i="5"/>
  <c r="B30" i="5"/>
  <c r="B29" i="5"/>
  <c r="B28" i="5"/>
  <c r="B27" i="5"/>
  <c r="B26" i="5"/>
  <c r="B25" i="5"/>
  <c r="B24" i="5"/>
  <c r="B23" i="5"/>
  <c r="B22" i="5"/>
  <c r="B21" i="5"/>
  <c r="B20" i="5"/>
  <c r="A18" i="5"/>
  <c r="C33" i="6"/>
  <c r="D33" i="6"/>
  <c r="E33" i="6"/>
  <c r="F33" i="6"/>
  <c r="B33" i="6"/>
  <c r="C8" i="6"/>
  <c r="D8" i="6"/>
  <c r="E8" i="6"/>
  <c r="F8" i="6"/>
  <c r="B8" i="6"/>
  <c r="B4" i="5" l="1"/>
  <c r="B5" i="5"/>
  <c r="B6" i="5"/>
  <c r="B7" i="5"/>
  <c r="B8" i="5"/>
  <c r="B9" i="5"/>
  <c r="B10" i="5"/>
  <c r="B11" i="5"/>
  <c r="B12" i="5"/>
  <c r="B13" i="5"/>
  <c r="B3" i="5"/>
  <c r="A1" i="5"/>
  <c r="Q3" i="5" l="1"/>
  <c r="P3" i="5"/>
  <c r="W3" i="5"/>
  <c r="Y3" i="5"/>
  <c r="AA3" i="5"/>
  <c r="X3" i="5"/>
  <c r="AB3" i="5"/>
  <c r="AC3" i="5"/>
  <c r="V3" i="5"/>
  <c r="U3" i="5" s="1"/>
  <c r="Z3" i="5"/>
  <c r="Q13" i="5"/>
  <c r="P13" i="5"/>
  <c r="X13" i="5"/>
  <c r="AB13" i="5"/>
  <c r="Y13" i="5"/>
  <c r="AC13" i="5"/>
  <c r="W13" i="5"/>
  <c r="AA13" i="5"/>
  <c r="V13" i="5"/>
  <c r="U13" i="5" s="1"/>
  <c r="Z13" i="5"/>
  <c r="Q12" i="5"/>
  <c r="P12" i="5"/>
  <c r="V12" i="5"/>
  <c r="U12" i="5" s="1"/>
  <c r="Z12" i="5"/>
  <c r="W12" i="5"/>
  <c r="AA12" i="5"/>
  <c r="X12" i="5"/>
  <c r="Q11" i="5"/>
  <c r="P11" i="5"/>
  <c r="W11" i="5"/>
  <c r="AA11" i="5"/>
  <c r="X11" i="5"/>
  <c r="AB11" i="5"/>
  <c r="Y11" i="5"/>
  <c r="AC11" i="5"/>
  <c r="V11" i="5"/>
  <c r="U11" i="5" s="1"/>
  <c r="Z11" i="5"/>
  <c r="Q10" i="5"/>
  <c r="P10" i="5"/>
  <c r="V10" i="5"/>
  <c r="U10" i="5" s="1"/>
  <c r="Z10" i="5"/>
  <c r="W10" i="5"/>
  <c r="AA10" i="5"/>
  <c r="X10" i="5"/>
  <c r="Q9" i="5"/>
  <c r="P9" i="5"/>
  <c r="W9" i="5"/>
  <c r="X9" i="5"/>
  <c r="AB9" i="5"/>
  <c r="Y9" i="5"/>
  <c r="AC9" i="5"/>
  <c r="AA9" i="5"/>
  <c r="V9" i="5"/>
  <c r="U9" i="5" s="1"/>
  <c r="Z9" i="5"/>
  <c r="Q8" i="5"/>
  <c r="P8" i="5"/>
  <c r="V8" i="5"/>
  <c r="U8" i="5" s="1"/>
  <c r="Z8" i="5"/>
  <c r="W8" i="5"/>
  <c r="AA8" i="5"/>
  <c r="X8" i="5"/>
  <c r="Q7" i="5"/>
  <c r="P7" i="5"/>
  <c r="W7" i="5"/>
  <c r="X7" i="5"/>
  <c r="AB7" i="5"/>
  <c r="Y7" i="5"/>
  <c r="AC7" i="5"/>
  <c r="AA7" i="5"/>
  <c r="V7" i="5"/>
  <c r="U7" i="5" s="1"/>
  <c r="Z7" i="5"/>
  <c r="Q6" i="5"/>
  <c r="P6" i="5"/>
  <c r="V6" i="5"/>
  <c r="U6" i="5" s="1"/>
  <c r="Z6" i="5"/>
  <c r="AA6" i="5"/>
  <c r="W6" i="5"/>
  <c r="X6" i="5"/>
  <c r="Q5" i="5"/>
  <c r="P5" i="5"/>
  <c r="AA5" i="5"/>
  <c r="X5" i="5"/>
  <c r="AB5" i="5"/>
  <c r="Y5" i="5"/>
  <c r="W5" i="5"/>
  <c r="AC5" i="5"/>
  <c r="V5" i="5"/>
  <c r="U5" i="5" s="1"/>
  <c r="Z5" i="5"/>
  <c r="Q4" i="5"/>
  <c r="P4" i="5"/>
  <c r="Z4" i="5"/>
  <c r="AA4" i="5"/>
  <c r="W4" i="5"/>
  <c r="X4" i="5"/>
  <c r="AB4" i="5" l="1"/>
  <c r="AD4" i="5"/>
  <c r="AE4" i="5"/>
  <c r="R4" i="5"/>
  <c r="AC4" i="5"/>
  <c r="Y4" i="5"/>
  <c r="V4" i="5"/>
  <c r="U4" i="5" s="1"/>
  <c r="AD5" i="5"/>
  <c r="R5" i="5"/>
  <c r="AE5" i="5"/>
  <c r="AB6" i="5"/>
  <c r="AD6" i="5"/>
  <c r="AE6" i="5"/>
  <c r="R6" i="5"/>
  <c r="AC6" i="5"/>
  <c r="Y6" i="5"/>
  <c r="AD7" i="5"/>
  <c r="R7" i="5"/>
  <c r="AE7" i="5"/>
  <c r="AB8" i="5"/>
  <c r="AD8" i="5"/>
  <c r="AE8" i="5"/>
  <c r="R8" i="5"/>
  <c r="AC8" i="5"/>
  <c r="Y8" i="5"/>
  <c r="AD9" i="5"/>
  <c r="R9" i="5"/>
  <c r="AE9" i="5"/>
  <c r="AB10" i="5"/>
  <c r="AD10" i="5"/>
  <c r="AE10" i="5"/>
  <c r="R10" i="5"/>
  <c r="AC10" i="5"/>
  <c r="Y10" i="5"/>
  <c r="AD11" i="5"/>
  <c r="AE11" i="5"/>
  <c r="R11" i="5"/>
  <c r="AB12" i="5"/>
  <c r="AD12" i="5"/>
  <c r="AE12" i="5"/>
  <c r="R12" i="5"/>
  <c r="AC12" i="5"/>
  <c r="Y12" i="5"/>
  <c r="AD13" i="5"/>
  <c r="R13" i="5"/>
  <c r="AE13" i="5"/>
  <c r="AD3" i="5"/>
  <c r="AE3" i="5"/>
  <c r="R3" i="5"/>
</calcChain>
</file>

<file path=xl/sharedStrings.xml><?xml version="1.0" encoding="utf-8"?>
<sst xmlns="http://schemas.openxmlformats.org/spreadsheetml/2006/main" count="14639" uniqueCount="301">
  <si>
    <t>Forest</t>
  </si>
  <si>
    <t>Date:</t>
  </si>
  <si>
    <t>Stand</t>
  </si>
  <si>
    <t>Species</t>
  </si>
  <si>
    <t>P.rad</t>
  </si>
  <si>
    <t>Estabyr</t>
  </si>
  <si>
    <t>Nsa</t>
  </si>
  <si>
    <t>No Plots</t>
  </si>
  <si>
    <t>Plot Size</t>
  </si>
  <si>
    <t>%sample</t>
  </si>
  <si>
    <t>Msd Date</t>
  </si>
  <si>
    <t>Regime</t>
  </si>
  <si>
    <t>Inventory Provider:</t>
  </si>
  <si>
    <t>As Msd</t>
  </si>
  <si>
    <t>Age</t>
  </si>
  <si>
    <t>Basal Area m2/ha</t>
  </si>
  <si>
    <t>MTH m</t>
  </si>
  <si>
    <t>Stocking  stems/ha</t>
  </si>
  <si>
    <t>TSV  m3/ha</t>
  </si>
  <si>
    <t>TRV  m3/ha</t>
  </si>
  <si>
    <t>95% PLE  (TRV)</t>
  </si>
  <si>
    <t>Piece Size  m3</t>
  </si>
  <si>
    <t>Diameter cm</t>
  </si>
  <si>
    <t>TRV By Log Grade</t>
  </si>
  <si>
    <t>P40L</t>
  </si>
  <si>
    <t>P40S</t>
  </si>
  <si>
    <t>P35</t>
  </si>
  <si>
    <t>S300</t>
  </si>
  <si>
    <t>A40</t>
  </si>
  <si>
    <t>A30</t>
  </si>
  <si>
    <t>K</t>
  </si>
  <si>
    <t>KI</t>
  </si>
  <si>
    <t>KIS</t>
  </si>
  <si>
    <t>Pulp</t>
  </si>
  <si>
    <t>TRV</t>
  </si>
  <si>
    <t>Gmodel</t>
  </si>
  <si>
    <t>300Index</t>
  </si>
  <si>
    <t>Drift Factor</t>
  </si>
  <si>
    <t>Volume</t>
  </si>
  <si>
    <t>Taper</t>
  </si>
  <si>
    <t>Breakage</t>
  </si>
  <si>
    <t>Domain</t>
  </si>
  <si>
    <t>RAD05</t>
  </si>
  <si>
    <t>Ytl</t>
  </si>
  <si>
    <t>Cutting Strategy  Yts</t>
  </si>
  <si>
    <t>IFSRAD05</t>
  </si>
  <si>
    <t>Plot Safe fi2</t>
  </si>
  <si>
    <t>YTGen Population ytf</t>
  </si>
  <si>
    <t>Summary.xlsx</t>
  </si>
  <si>
    <t>TRANS1\MARVL FILES</t>
  </si>
  <si>
    <t>TRANS1\SHEETS</t>
  </si>
  <si>
    <t>Takakpu 1995_96</t>
  </si>
  <si>
    <t>Plot by Plot Output at Age  28</t>
  </si>
  <si>
    <t>m3/ha</t>
  </si>
  <si>
    <t>Plot</t>
  </si>
  <si>
    <t>aP40</t>
  </si>
  <si>
    <t>bP35</t>
  </si>
  <si>
    <t>cPP_Exp</t>
  </si>
  <si>
    <t>dA40</t>
  </si>
  <si>
    <t>eA30</t>
  </si>
  <si>
    <t>fK</t>
  </si>
  <si>
    <t>gKM</t>
  </si>
  <si>
    <t>hKI</t>
  </si>
  <si>
    <t>iKIS</t>
  </si>
  <si>
    <t>jDomPulp</t>
  </si>
  <si>
    <t>W15</t>
  </si>
  <si>
    <t>*</t>
  </si>
  <si>
    <t>W10</t>
  </si>
  <si>
    <t>W11</t>
  </si>
  <si>
    <t>W17</t>
  </si>
  <si>
    <t>W18</t>
  </si>
  <si>
    <t>W19</t>
  </si>
  <si>
    <t>W20</t>
  </si>
  <si>
    <t>W25</t>
  </si>
  <si>
    <t>W5</t>
  </si>
  <si>
    <t>W9</t>
  </si>
  <si>
    <t>W1</t>
  </si>
  <si>
    <t>W12</t>
  </si>
  <si>
    <t>W13</t>
  </si>
  <si>
    <t>W14</t>
  </si>
  <si>
    <t>W2</t>
  </si>
  <si>
    <t>W3</t>
  </si>
  <si>
    <t>W4</t>
  </si>
  <si>
    <t>W6</t>
  </si>
  <si>
    <t>W7</t>
  </si>
  <si>
    <t>W8</t>
  </si>
  <si>
    <t xml:space="preserve">Yield Table </t>
  </si>
  <si>
    <t xml:space="preserve">Adjusted Yield Table </t>
  </si>
  <si>
    <t>Stocking</t>
  </si>
  <si>
    <t>Piece Size</t>
  </si>
  <si>
    <t>%KIS/Pulp</t>
  </si>
  <si>
    <t>Extra KIS/Pulp</t>
  </si>
  <si>
    <t>NO adjustments have been made to the YTGen output.</t>
  </si>
  <si>
    <t>EP</t>
  </si>
  <si>
    <t>Takapu_West</t>
  </si>
  <si>
    <t>Takapu_9596</t>
  </si>
  <si>
    <t>S95.1</t>
  </si>
  <si>
    <t>G</t>
  </si>
  <si>
    <t>break</t>
  </si>
  <si>
    <t>stump</t>
  </si>
  <si>
    <t>top</t>
  </si>
  <si>
    <t>waste</t>
  </si>
  <si>
    <t>EX</t>
  </si>
  <si>
    <t>1.79769e+308</t>
  </si>
  <si>
    <t>S95.2</t>
  </si>
  <si>
    <t>S96.1</t>
  </si>
  <si>
    <t>EA</t>
  </si>
  <si>
    <t>EY</t>
  </si>
  <si>
    <t>#Forest:Takapu</t>
  </si>
  <si>
    <t>A</t>
  </si>
  <si>
    <t>TakapuWest</t>
  </si>
  <si>
    <t>AuditFile:N</t>
  </si>
  <si>
    <t>Domain:RAD05</t>
  </si>
  <si>
    <t>ResinCode=0</t>
  </si>
  <si>
    <t>ICompany:WOODNET</t>
  </si>
  <si>
    <t>RoadAcc.:POOR</t>
  </si>
  <si>
    <t>Windthrow:LOW</t>
  </si>
  <si>
    <t>Slash:LIGHT</t>
  </si>
  <si>
    <t>Hangups:RARE</t>
  </si>
  <si>
    <t>Conditions:STEEP</t>
  </si>
  <si>
    <t>UGrowth:LIGHT</t>
  </si>
  <si>
    <t>Region:SNI</t>
  </si>
  <si>
    <t>IDescription:Valuation</t>
  </si>
  <si>
    <t>Client:Woodnet</t>
  </si>
  <si>
    <t>InvType:PHI</t>
  </si>
  <si>
    <t>HA:Takapu</t>
  </si>
  <si>
    <t>#1995</t>
  </si>
  <si>
    <t>X</t>
  </si>
  <si>
    <t>YE=1995</t>
  </si>
  <si>
    <t>SPP:P.RAD</t>
  </si>
  <si>
    <t>#Plot</t>
  </si>
  <si>
    <t>measured</t>
  </si>
  <si>
    <t>Wednesday</t>
  </si>
  <si>
    <t>April</t>
  </si>
  <si>
    <t>P</t>
  </si>
  <si>
    <t>slope=26</t>
  </si>
  <si>
    <t>Cruiser1:SD</t>
  </si>
  <si>
    <t>Cruiser2:JM</t>
  </si>
  <si>
    <t>T</t>
  </si>
  <si>
    <t>MHS:NORMAL</t>
  </si>
  <si>
    <t>L</t>
  </si>
  <si>
    <t>F</t>
  </si>
  <si>
    <t>Br=0</t>
  </si>
  <si>
    <t>Sw:L</t>
  </si>
  <si>
    <t>Br=7</t>
  </si>
  <si>
    <t>Br=10</t>
  </si>
  <si>
    <t>Sw:S</t>
  </si>
  <si>
    <t>Br=12</t>
  </si>
  <si>
    <t>O</t>
  </si>
  <si>
    <t>MHS:MISSING</t>
  </si>
  <si>
    <t>Sw:8</t>
  </si>
  <si>
    <t>Br=25</t>
  </si>
  <si>
    <t>Sw:1</t>
  </si>
  <si>
    <t>mvl:&lt;</t>
  </si>
  <si>
    <t>mvl:&gt;</t>
  </si>
  <si>
    <t>Sw:3</t>
  </si>
  <si>
    <t>D</t>
  </si>
  <si>
    <t>F:F5+</t>
  </si>
  <si>
    <t>F:NONE</t>
  </si>
  <si>
    <t>Sw:K</t>
  </si>
  <si>
    <t>F:S10+</t>
  </si>
  <si>
    <t>Sw:X</t>
  </si>
  <si>
    <t>Monday</t>
  </si>
  <si>
    <t>#PDescription:bottom</t>
  </si>
  <si>
    <t>log</t>
  </si>
  <si>
    <t>good</t>
  </si>
  <si>
    <t>but</t>
  </si>
  <si>
    <t>real</t>
  </si>
  <si>
    <t>bad</t>
  </si>
  <si>
    <t>slope=25</t>
  </si>
  <si>
    <t>Cruiser1:PDJ</t>
  </si>
  <si>
    <t>Cruiser2:CH</t>
  </si>
  <si>
    <t>AuditPlot:Y</t>
  </si>
  <si>
    <t>Auditor:CB</t>
  </si>
  <si>
    <t>F:D</t>
  </si>
  <si>
    <t>MHS:BROKEN</t>
  </si>
  <si>
    <t>F:S7+</t>
  </si>
  <si>
    <t>F:S16+</t>
  </si>
  <si>
    <t>F:S25+</t>
  </si>
  <si>
    <t>#AuditComments:not</t>
  </si>
  <si>
    <t>added</t>
  </si>
  <si>
    <t>bigger</t>
  </si>
  <si>
    <t>br</t>
  </si>
  <si>
    <t>and</t>
  </si>
  <si>
    <t>some</t>
  </si>
  <si>
    <t>sx</t>
  </si>
  <si>
    <t>slope=14</t>
  </si>
  <si>
    <t>Cruiser1:CH</t>
  </si>
  <si>
    <t>Cruiser2:PDJ</t>
  </si>
  <si>
    <t>Auditor:PDJ</t>
  </si>
  <si>
    <t>Br=99</t>
  </si>
  <si>
    <t>#PDescription:mostly</t>
  </si>
  <si>
    <t>pruned</t>
  </si>
  <si>
    <t>BOTTOM</t>
  </si>
  <si>
    <t>moved</t>
  </si>
  <si>
    <t>plot</t>
  </si>
  <si>
    <t>17m</t>
  </si>
  <si>
    <t>to</t>
  </si>
  <si>
    <t>the</t>
  </si>
  <si>
    <t>left</t>
  </si>
  <si>
    <t>avoid</t>
  </si>
  <si>
    <t>heavy</t>
  </si>
  <si>
    <t>undergrowth</t>
  </si>
  <si>
    <t>#AuditComments:didnt</t>
  </si>
  <si>
    <t>change</t>
  </si>
  <si>
    <t>much.</t>
  </si>
  <si>
    <t>a</t>
  </si>
  <si>
    <t>few</t>
  </si>
  <si>
    <t>tops.</t>
  </si>
  <si>
    <t>bhanged</t>
  </si>
  <si>
    <t>b7</t>
  </si>
  <si>
    <t>b1</t>
  </si>
  <si>
    <t>slope=34</t>
  </si>
  <si>
    <t>Friday</t>
  </si>
  <si>
    <t>#PDescription:moved</t>
  </si>
  <si>
    <t>40m</t>
  </si>
  <si>
    <t>up</t>
  </si>
  <si>
    <t>hill</t>
  </si>
  <si>
    <t>as</t>
  </si>
  <si>
    <t>fell</t>
  </si>
  <si>
    <t>in</t>
  </si>
  <si>
    <t>gap.</t>
  </si>
  <si>
    <t>marked</t>
  </si>
  <si>
    <t>on</t>
  </si>
  <si>
    <t>gps</t>
  </si>
  <si>
    <t>W18A</t>
  </si>
  <si>
    <t>slope=11</t>
  </si>
  <si>
    <t>#AuditComments:nasty</t>
  </si>
  <si>
    <t>trees</t>
  </si>
  <si>
    <t>slope=13</t>
  </si>
  <si>
    <t>Auditor:CH</t>
  </si>
  <si>
    <t>F:N5+</t>
  </si>
  <si>
    <t>slope=5</t>
  </si>
  <si>
    <t>Cruiser2:SD</t>
  </si>
  <si>
    <t>#PDescription:trees</t>
  </si>
  <si>
    <t>this</t>
  </si>
  <si>
    <t>section</t>
  </si>
  <si>
    <t>very</t>
  </si>
  <si>
    <t>poor</t>
  </si>
  <si>
    <t>form</t>
  </si>
  <si>
    <t>massive</t>
  </si>
  <si>
    <t>br.</t>
  </si>
  <si>
    <t>seems</t>
  </si>
  <si>
    <t>be</t>
  </si>
  <si>
    <t>planted</t>
  </si>
  <si>
    <t>at</t>
  </si>
  <si>
    <t>high</t>
  </si>
  <si>
    <t>stocking</t>
  </si>
  <si>
    <t>unthinned</t>
  </si>
  <si>
    <t>there</t>
  </si>
  <si>
    <t>are</t>
  </si>
  <si>
    <t>large</t>
  </si>
  <si>
    <t>gaps</t>
  </si>
  <si>
    <t>probably</t>
  </si>
  <si>
    <t>from</t>
  </si>
  <si>
    <t>early</t>
  </si>
  <si>
    <t>mortality.</t>
  </si>
  <si>
    <t>most</t>
  </si>
  <si>
    <t>unpruned</t>
  </si>
  <si>
    <t>have</t>
  </si>
  <si>
    <t>not</t>
  </si>
  <si>
    <t>occluded</t>
  </si>
  <si>
    <t>slope=29</t>
  </si>
  <si>
    <t>pruned.</t>
  </si>
  <si>
    <t>bottom</t>
  </si>
  <si>
    <t>logs</t>
  </si>
  <si>
    <t>tops</t>
  </si>
  <si>
    <t>seriously</t>
  </si>
  <si>
    <t>bad.</t>
  </si>
  <si>
    <t>10m</t>
  </si>
  <si>
    <t>slope</t>
  </si>
  <si>
    <t>slope=15</t>
  </si>
  <si>
    <t>#1996</t>
  </si>
  <si>
    <t>YE=1996</t>
  </si>
  <si>
    <t>Tuesday</t>
  </si>
  <si>
    <t>#Auditor:SD</t>
  </si>
  <si>
    <t>And</t>
  </si>
  <si>
    <t>JM</t>
  </si>
  <si>
    <t>#AuditComments:Branch</t>
  </si>
  <si>
    <t>sizing</t>
  </si>
  <si>
    <t>was</t>
  </si>
  <si>
    <t>under</t>
  </si>
  <si>
    <t>called</t>
  </si>
  <si>
    <t>made</t>
  </si>
  <si>
    <t>appropriate</t>
  </si>
  <si>
    <t>adjustments</t>
  </si>
  <si>
    <t>data</t>
  </si>
  <si>
    <t>slope=30</t>
  </si>
  <si>
    <t>#AuditComments:branch</t>
  </si>
  <si>
    <t>slope=17</t>
  </si>
  <si>
    <t>Sw:W</t>
  </si>
  <si>
    <t>slope=28</t>
  </si>
  <si>
    <t>uner</t>
  </si>
  <si>
    <t>slope=35</t>
  </si>
  <si>
    <t>#PDescription:30m</t>
  </si>
  <si>
    <t>forest</t>
  </si>
  <si>
    <t>edge</t>
  </si>
  <si>
    <t>slope=22</t>
  </si>
  <si>
    <t>Br=1</t>
  </si>
  <si>
    <t>Cruiser1:sd</t>
  </si>
  <si>
    <t>Cruiser2:jm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</si>
</sst>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0.00\ &quot;m3&quot;"/>
    <numFmt numFmtId="166" formatCode="0.0\ &quot;yrs&quot;"/>
    <numFmt numFmtId="167" formatCode="0\ &quot;stems/ha&quot;"/>
    <numFmt numFmtId="168" formatCode="0.0\ &quot;m2/ha&quot;"/>
    <numFmt numFmtId="169" formatCode="0.0\ &quot;m&quot;"/>
    <numFmt numFmtId="170" formatCode="0\ &quot;m3/ha&quot;"/>
    <numFmt numFmtId="171" formatCode="0.0"/>
    <numFmt numFmtId="172" formatCode="0.000"/>
  </numFmts>
  <fonts count="2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6" applyNumberFormat="0" applyAlignment="0" applyProtection="0"/>
    <xf numFmtId="0" fontId="5" fillId="28" borderId="7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6" applyNumberFormat="0" applyAlignment="0" applyProtection="0"/>
    <xf numFmtId="0" fontId="12" fillId="0" borderId="11" applyNumberFormat="0" applyFill="0" applyAlignment="0" applyProtection="0"/>
    <xf numFmtId="0" fontId="13" fillId="31" borderId="0" applyNumberFormat="0" applyBorder="0" applyAlignment="0" applyProtection="0"/>
    <xf numFmtId="0" fontId="1" fillId="32" borderId="12" applyNumberFormat="0" applyFont="0" applyAlignment="0" applyProtection="0"/>
    <xf numFmtId="0" fontId="14" fillId="27" borderId="13" applyNumberFormat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19" fillId="0" borderId="1" xfId="0" applyFont="1" applyBorder="1" applyAlignment="1">
      <alignment horizontal="left"/>
    </xf>
    <xf numFmtId="0" fontId="19" fillId="0" borderId="0" xfId="0" applyFont="1"/>
    <xf numFmtId="0" fontId="19" fillId="0" borderId="2" xfId="0" applyFont="1" applyBorder="1" applyAlignment="1">
      <alignment horizontal="left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9" fillId="0" borderId="1" xfId="0" applyFont="1" applyBorder="1"/>
    <xf numFmtId="170" fontId="19" fillId="0" borderId="1" xfId="0" applyNumberFormat="1" applyFont="1" applyBorder="1" applyAlignment="1">
      <alignment horizontal="center"/>
    </xf>
    <xf numFmtId="0" fontId="19" fillId="0" borderId="3" xfId="0" applyFont="1" applyBorder="1"/>
    <xf numFmtId="0" fontId="19" fillId="0" borderId="2" xfId="0" applyFont="1" applyBorder="1"/>
    <xf numFmtId="0" fontId="19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164" fontId="19" fillId="0" borderId="1" xfId="42" applyNumberFormat="1" applyFont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0" borderId="15" xfId="0" applyFont="1" applyBorder="1"/>
    <xf numFmtId="165" fontId="19" fillId="0" borderId="1" xfId="0" applyNumberFormat="1" applyFont="1" applyBorder="1" applyAlignment="1">
      <alignment horizontal="center"/>
    </xf>
    <xf numFmtId="166" fontId="20" fillId="0" borderId="1" xfId="0" applyNumberFormat="1" applyFont="1" applyBorder="1" applyAlignment="1">
      <alignment horizontal="center"/>
    </xf>
    <xf numFmtId="168" fontId="20" fillId="0" borderId="1" xfId="0" applyNumberFormat="1" applyFont="1" applyBorder="1" applyAlignment="1">
      <alignment horizontal="center"/>
    </xf>
    <xf numFmtId="169" fontId="20" fillId="0" borderId="1" xfId="0" applyNumberFormat="1" applyFont="1" applyBorder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170" fontId="20" fillId="0" borderId="1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19" fillId="0" borderId="17" xfId="0" applyFont="1" applyBorder="1" applyAlignment="1">
      <alignment horizontal="left"/>
    </xf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19" fillId="0" borderId="21" xfId="0" applyFont="1" applyBorder="1"/>
    <xf numFmtId="0" fontId="19" fillId="0" borderId="22" xfId="0" applyFont="1" applyBorder="1" applyAlignment="1">
      <alignment horizontal="left"/>
    </xf>
    <xf numFmtId="0" fontId="19" fillId="0" borderId="23" xfId="0" applyFont="1" applyBorder="1" applyAlignment="1">
      <alignment horizontal="center"/>
    </xf>
    <xf numFmtId="1" fontId="19" fillId="0" borderId="23" xfId="0" applyNumberFormat="1" applyFont="1" applyBorder="1" applyAlignment="1">
      <alignment horizontal="center"/>
    </xf>
    <xf numFmtId="164" fontId="19" fillId="0" borderId="23" xfId="42" applyNumberFormat="1" applyFont="1" applyBorder="1" applyAlignment="1">
      <alignment horizontal="center"/>
    </xf>
    <xf numFmtId="0" fontId="19" fillId="0" borderId="25" xfId="0" applyFont="1" applyBorder="1" applyAlignment="1">
      <alignment horizontal="left"/>
    </xf>
    <xf numFmtId="166" fontId="20" fillId="0" borderId="23" xfId="0" applyNumberFormat="1" applyFont="1" applyBorder="1" applyAlignment="1">
      <alignment horizontal="center"/>
    </xf>
    <xf numFmtId="168" fontId="20" fillId="0" borderId="23" xfId="0" applyNumberFormat="1" applyFont="1" applyBorder="1" applyAlignment="1">
      <alignment horizontal="center"/>
    </xf>
    <xf numFmtId="169" fontId="20" fillId="0" borderId="23" xfId="0" applyNumberFormat="1" applyFont="1" applyBorder="1" applyAlignment="1">
      <alignment horizontal="center"/>
    </xf>
    <xf numFmtId="167" fontId="20" fillId="0" borderId="23" xfId="0" applyNumberFormat="1" applyFont="1" applyBorder="1" applyAlignment="1">
      <alignment horizontal="center"/>
    </xf>
    <xf numFmtId="170" fontId="20" fillId="0" borderId="23" xfId="0" applyNumberFormat="1" applyFont="1" applyBorder="1" applyAlignment="1">
      <alignment horizontal="center"/>
    </xf>
    <xf numFmtId="0" fontId="19" fillId="0" borderId="22" xfId="0" quotePrefix="1" applyFont="1" applyBorder="1" applyAlignment="1">
      <alignment horizontal="left"/>
    </xf>
    <xf numFmtId="164" fontId="20" fillId="0" borderId="23" xfId="0" applyNumberFormat="1" applyFont="1" applyBorder="1" applyAlignment="1">
      <alignment horizontal="center"/>
    </xf>
    <xf numFmtId="0" fontId="19" fillId="0" borderId="23" xfId="0" applyFont="1" applyBorder="1"/>
    <xf numFmtId="170" fontId="19" fillId="0" borderId="23" xfId="0" applyNumberFormat="1" applyFont="1" applyBorder="1" applyAlignment="1">
      <alignment horizontal="center"/>
    </xf>
    <xf numFmtId="0" fontId="19" fillId="0" borderId="24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0" fontId="19" fillId="0" borderId="27" xfId="0" applyFont="1" applyBorder="1"/>
    <xf numFmtId="0" fontId="19" fillId="0" borderId="28" xfId="0" applyFont="1" applyBorder="1"/>
    <xf numFmtId="0" fontId="19" fillId="0" borderId="4" xfId="0" applyFont="1" applyBorder="1"/>
    <xf numFmtId="0" fontId="19" fillId="0" borderId="29" xfId="0" applyFont="1" applyBorder="1"/>
    <xf numFmtId="2" fontId="19" fillId="0" borderId="1" xfId="0" applyNumberFormat="1" applyFont="1" applyBorder="1" applyAlignment="1">
      <alignment horizontal="center"/>
    </xf>
    <xf numFmtId="2" fontId="19" fillId="0" borderId="23" xfId="0" applyNumberFormat="1" applyFont="1" applyBorder="1" applyAlignment="1">
      <alignment horizontal="center"/>
    </xf>
    <xf numFmtId="171" fontId="19" fillId="0" borderId="1" xfId="0" applyNumberFormat="1" applyFont="1" applyBorder="1" applyAlignment="1">
      <alignment horizontal="center"/>
    </xf>
    <xf numFmtId="171" fontId="19" fillId="0" borderId="1" xfId="0" applyNumberFormat="1" applyFont="1" applyBorder="1"/>
    <xf numFmtId="171" fontId="19" fillId="0" borderId="23" xfId="0" applyNumberFormat="1" applyFont="1" applyBorder="1"/>
    <xf numFmtId="172" fontId="19" fillId="0" borderId="1" xfId="0" applyNumberFormat="1" applyFont="1" applyBorder="1" applyAlignment="1">
      <alignment horizontal="center"/>
    </xf>
    <xf numFmtId="172" fontId="19" fillId="0" borderId="1" xfId="0" applyNumberFormat="1" applyFont="1" applyBorder="1"/>
    <xf numFmtId="172" fontId="19" fillId="0" borderId="23" xfId="0" applyNumberFormat="1" applyFont="1" applyBorder="1"/>
    <xf numFmtId="1" fontId="19" fillId="0" borderId="5" xfId="0" applyNumberFormat="1" applyFont="1" applyBorder="1" applyAlignment="1">
      <alignment horizontal="center"/>
    </xf>
    <xf numFmtId="1" fontId="19" fillId="0" borderId="3" xfId="0" applyNumberFormat="1" applyFont="1" applyBorder="1" applyAlignment="1">
      <alignment horizontal="center"/>
    </xf>
    <xf numFmtId="164" fontId="19" fillId="0" borderId="0" xfId="42" applyNumberFormat="1" applyFont="1" applyAlignment="1">
      <alignment horizontal="center"/>
    </xf>
    <xf numFmtId="164" fontId="19" fillId="0" borderId="30" xfId="42" applyNumberFormat="1" applyFont="1" applyFill="1" applyBorder="1" applyAlignment="1">
      <alignment horizontal="center"/>
    </xf>
    <xf numFmtId="3" fontId="19" fillId="0" borderId="0" xfId="0" applyNumberFormat="1" applyFont="1" applyAlignment="1">
      <alignment horizontal="center"/>
    </xf>
    <xf numFmtId="0" fontId="19" fillId="0" borderId="31" xfId="0" applyFont="1" applyBorder="1" applyAlignment="1">
      <alignment horizontal="left"/>
    </xf>
    <xf numFmtId="1" fontId="18" fillId="0" borderId="1" xfId="0" applyNumberFormat="1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Takapu West 1995_96 at age 28 by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5868152787834198E-2"/>
          <c:y val="9.030234204909901E-2"/>
          <c:w val="0.86898734974735348"/>
          <c:h val="0.821545894357723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'Plot By Plot'!$B$2</c:f>
              <c:strCache>
                <c:ptCount val="1"/>
                <c:pt idx="0">
                  <c:v>aP40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Plot'!$B$3:$B$26</c:f>
              <c:numCache>
                <c:formatCode>0</c:formatCode>
                <c:ptCount val="24"/>
                <c:pt idx="0">
                  <c:v>218.631</c:v>
                </c:pt>
                <c:pt idx="1">
                  <c:v>218.631</c:v>
                </c:pt>
                <c:pt idx="2">
                  <c:v>113.434</c:v>
                </c:pt>
                <c:pt idx="3">
                  <c:v>64.477400000000003</c:v>
                </c:pt>
                <c:pt idx="4">
                  <c:v>20.402200000000001</c:v>
                </c:pt>
                <c:pt idx="5">
                  <c:v>133.11199999999999</c:v>
                </c:pt>
                <c:pt idx="6">
                  <c:v>211.34800000000001</c:v>
                </c:pt>
                <c:pt idx="7">
                  <c:v>166.173</c:v>
                </c:pt>
                <c:pt idx="8">
                  <c:v>126.158</c:v>
                </c:pt>
                <c:pt idx="9">
                  <c:v>0</c:v>
                </c:pt>
                <c:pt idx="10">
                  <c:v>103.886</c:v>
                </c:pt>
                <c:pt idx="11">
                  <c:v>104.33199999999999</c:v>
                </c:pt>
                <c:pt idx="12">
                  <c:v>30.244800000000001</c:v>
                </c:pt>
                <c:pt idx="13">
                  <c:v>160.184</c:v>
                </c:pt>
                <c:pt idx="14">
                  <c:v>49.965400000000002</c:v>
                </c:pt>
                <c:pt idx="15">
                  <c:v>127.536</c:v>
                </c:pt>
                <c:pt idx="16">
                  <c:v>121.426</c:v>
                </c:pt>
                <c:pt idx="17">
                  <c:v>154.02699999999999</c:v>
                </c:pt>
                <c:pt idx="18">
                  <c:v>200.54900000000001</c:v>
                </c:pt>
                <c:pt idx="19">
                  <c:v>70.133499999999998</c:v>
                </c:pt>
                <c:pt idx="20">
                  <c:v>70.886899999999997</c:v>
                </c:pt>
                <c:pt idx="21">
                  <c:v>223.56</c:v>
                </c:pt>
                <c:pt idx="22">
                  <c:v>120.851</c:v>
                </c:pt>
                <c:pt idx="23">
                  <c:v>107.654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B-422B-A137-874B07FB1B24}"/>
            </c:ext>
          </c:extLst>
        </c:ser>
        <c:ser>
          <c:idx val="1"/>
          <c:order val="1"/>
          <c:tx>
            <c:strRef>
              <c:f>'Plot By Plot'!$C$2</c:f>
              <c:strCache>
                <c:ptCount val="1"/>
                <c:pt idx="0">
                  <c:v>bP35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Plot'!$C$3:$C$26</c:f>
              <c:numCache>
                <c:formatCode>0</c:formatCode>
                <c:ptCount val="24"/>
                <c:pt idx="0">
                  <c:v>37.0837</c:v>
                </c:pt>
                <c:pt idx="1">
                  <c:v>37.0837</c:v>
                </c:pt>
                <c:pt idx="2">
                  <c:v>93.892300000000006</c:v>
                </c:pt>
                <c:pt idx="3">
                  <c:v>52.040599999999998</c:v>
                </c:pt>
                <c:pt idx="4">
                  <c:v>92.552499999999995</c:v>
                </c:pt>
                <c:pt idx="5">
                  <c:v>66.101200000000006</c:v>
                </c:pt>
                <c:pt idx="6">
                  <c:v>49.654499999999999</c:v>
                </c:pt>
                <c:pt idx="7">
                  <c:v>31.123999999999999</c:v>
                </c:pt>
                <c:pt idx="8">
                  <c:v>56.4664</c:v>
                </c:pt>
                <c:pt idx="9">
                  <c:v>74.123699999999999</c:v>
                </c:pt>
                <c:pt idx="10">
                  <c:v>51.1616</c:v>
                </c:pt>
                <c:pt idx="11">
                  <c:v>63.012999999999998</c:v>
                </c:pt>
                <c:pt idx="12">
                  <c:v>62.607100000000003</c:v>
                </c:pt>
                <c:pt idx="13">
                  <c:v>21.446200000000001</c:v>
                </c:pt>
                <c:pt idx="14">
                  <c:v>43.563099999999999</c:v>
                </c:pt>
                <c:pt idx="15">
                  <c:v>128.15199999999999</c:v>
                </c:pt>
                <c:pt idx="16">
                  <c:v>56.212699999999998</c:v>
                </c:pt>
                <c:pt idx="17">
                  <c:v>40.161200000000001</c:v>
                </c:pt>
                <c:pt idx="18">
                  <c:v>14.821999999999999</c:v>
                </c:pt>
                <c:pt idx="19">
                  <c:v>25.314</c:v>
                </c:pt>
                <c:pt idx="20">
                  <c:v>9.1143199999999993</c:v>
                </c:pt>
                <c:pt idx="21">
                  <c:v>91.637799999999999</c:v>
                </c:pt>
                <c:pt idx="22">
                  <c:v>49.302999999999997</c:v>
                </c:pt>
                <c:pt idx="23">
                  <c:v>61.096499999999999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B-422B-A137-874B07FB1B24}"/>
            </c:ext>
          </c:extLst>
        </c:ser>
        <c:ser>
          <c:idx val="2"/>
          <c:order val="2"/>
          <c:tx>
            <c:strRef>
              <c:f>'Plot By Plot'!$D$2</c:f>
              <c:strCache>
                <c:ptCount val="1"/>
                <c:pt idx="0">
                  <c:v>cPP_Exp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Plot'!$D$3:$D$26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12.808400000000001</c:v>
                </c:pt>
                <c:pt idx="4">
                  <c:v>13.4489</c:v>
                </c:pt>
                <c:pt idx="5">
                  <c:v>0</c:v>
                </c:pt>
                <c:pt idx="6">
                  <c:v>0</c:v>
                </c:pt>
                <c:pt idx="7">
                  <c:v>12.362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4.2910399999999997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11.9278</c:v>
                </c:pt>
                <c:pt idx="16">
                  <c:v>18.094999999999999</c:v>
                </c:pt>
                <c:pt idx="17">
                  <c:v>46.983600000000003</c:v>
                </c:pt>
                <c:pt idx="18">
                  <c:v>11.6364</c:v>
                </c:pt>
                <c:pt idx="19">
                  <c:v>0</c:v>
                </c:pt>
                <c:pt idx="20">
                  <c:v>39.489600000000003</c:v>
                </c:pt>
                <c:pt idx="21">
                  <c:v>0</c:v>
                </c:pt>
                <c:pt idx="22">
                  <c:v>12.8132</c:v>
                </c:pt>
                <c:pt idx="23">
                  <c:v>5.23346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0B-422B-A137-874B07FB1B24}"/>
            </c:ext>
          </c:extLst>
        </c:ser>
        <c:ser>
          <c:idx val="3"/>
          <c:order val="3"/>
          <c:tx>
            <c:strRef>
              <c:f>'Plot By Plot'!$E$2</c:f>
              <c:strCache>
                <c:ptCount val="1"/>
                <c:pt idx="0">
                  <c:v>dA40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Plot'!$E$3:$E$26</c:f>
              <c:numCache>
                <c:formatCode>0</c:formatCode>
                <c:ptCount val="24"/>
                <c:pt idx="0">
                  <c:v>138.07599999999999</c:v>
                </c:pt>
                <c:pt idx="1">
                  <c:v>138.07599999999999</c:v>
                </c:pt>
                <c:pt idx="2">
                  <c:v>12.225</c:v>
                </c:pt>
                <c:pt idx="3">
                  <c:v>12.997199999999999</c:v>
                </c:pt>
                <c:pt idx="4">
                  <c:v>54.414900000000003</c:v>
                </c:pt>
                <c:pt idx="5">
                  <c:v>58.747399999999999</c:v>
                </c:pt>
                <c:pt idx="6">
                  <c:v>0</c:v>
                </c:pt>
                <c:pt idx="7">
                  <c:v>72.463999999999999</c:v>
                </c:pt>
                <c:pt idx="8">
                  <c:v>12.093400000000001</c:v>
                </c:pt>
                <c:pt idx="9">
                  <c:v>0</c:v>
                </c:pt>
                <c:pt idx="10">
                  <c:v>34.569400000000002</c:v>
                </c:pt>
                <c:pt idx="11">
                  <c:v>28.612400000000001</c:v>
                </c:pt>
                <c:pt idx="12">
                  <c:v>0</c:v>
                </c:pt>
                <c:pt idx="13">
                  <c:v>85.194000000000003</c:v>
                </c:pt>
                <c:pt idx="14">
                  <c:v>153.88300000000001</c:v>
                </c:pt>
                <c:pt idx="15">
                  <c:v>39.273099999999999</c:v>
                </c:pt>
                <c:pt idx="16">
                  <c:v>23.444500000000001</c:v>
                </c:pt>
                <c:pt idx="17">
                  <c:v>97.364199999999997</c:v>
                </c:pt>
                <c:pt idx="18">
                  <c:v>79.806799999999996</c:v>
                </c:pt>
                <c:pt idx="19">
                  <c:v>31.977900000000002</c:v>
                </c:pt>
                <c:pt idx="20">
                  <c:v>25.313400000000001</c:v>
                </c:pt>
                <c:pt idx="21">
                  <c:v>155.464</c:v>
                </c:pt>
                <c:pt idx="22">
                  <c:v>69.171999999999997</c:v>
                </c:pt>
                <c:pt idx="23">
                  <c:v>34.681600000000003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0B-422B-A137-874B07FB1B24}"/>
            </c:ext>
          </c:extLst>
        </c:ser>
        <c:ser>
          <c:idx val="4"/>
          <c:order val="4"/>
          <c:tx>
            <c:strRef>
              <c:f>'Plot By Plot'!$F$2</c:f>
              <c:strCache>
                <c:ptCount val="1"/>
                <c:pt idx="0">
                  <c:v>eA30</c:v>
                </c:pt>
              </c:strCache>
            </c:strRef>
          </c:tx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Plot'!$F$3:$F$26</c:f>
              <c:numCache>
                <c:formatCode>0</c:formatCode>
                <c:ptCount val="24"/>
                <c:pt idx="0">
                  <c:v>173.61</c:v>
                </c:pt>
                <c:pt idx="1">
                  <c:v>173.61</c:v>
                </c:pt>
                <c:pt idx="2">
                  <c:v>152.05099999999999</c:v>
                </c:pt>
                <c:pt idx="3">
                  <c:v>132.83099999999999</c:v>
                </c:pt>
                <c:pt idx="4">
                  <c:v>85.287700000000001</c:v>
                </c:pt>
                <c:pt idx="5">
                  <c:v>125.843</c:v>
                </c:pt>
                <c:pt idx="6">
                  <c:v>68.244</c:v>
                </c:pt>
                <c:pt idx="7">
                  <c:v>129.07599999999999</c:v>
                </c:pt>
                <c:pt idx="8">
                  <c:v>50.784700000000001</c:v>
                </c:pt>
                <c:pt idx="9">
                  <c:v>203.45099999999999</c:v>
                </c:pt>
                <c:pt idx="10">
                  <c:v>143.45699999999999</c:v>
                </c:pt>
                <c:pt idx="11">
                  <c:v>121.22499999999999</c:v>
                </c:pt>
                <c:pt idx="12">
                  <c:v>53.827399999999997</c:v>
                </c:pt>
                <c:pt idx="13">
                  <c:v>111.47</c:v>
                </c:pt>
                <c:pt idx="14">
                  <c:v>113.619</c:v>
                </c:pt>
                <c:pt idx="15">
                  <c:v>118.627</c:v>
                </c:pt>
                <c:pt idx="16">
                  <c:v>53.917400000000001</c:v>
                </c:pt>
                <c:pt idx="17">
                  <c:v>117.73699999999999</c:v>
                </c:pt>
                <c:pt idx="18">
                  <c:v>133.702</c:v>
                </c:pt>
                <c:pt idx="19">
                  <c:v>28.871300000000002</c:v>
                </c:pt>
                <c:pt idx="20">
                  <c:v>108.768</c:v>
                </c:pt>
                <c:pt idx="21">
                  <c:v>171.79</c:v>
                </c:pt>
                <c:pt idx="22">
                  <c:v>101.233</c:v>
                </c:pt>
                <c:pt idx="23">
                  <c:v>119.53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0B-422B-A137-874B07FB1B24}"/>
            </c:ext>
          </c:extLst>
        </c:ser>
        <c:ser>
          <c:idx val="5"/>
          <c:order val="5"/>
          <c:tx>
            <c:strRef>
              <c:f>'Plot By Plot'!$G$2</c:f>
              <c:strCache>
                <c:ptCount val="1"/>
                <c:pt idx="0">
                  <c:v>fK</c:v>
                </c:pt>
              </c:strCache>
            </c:strRef>
          </c:tx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Plot'!$G$3:$G$26</c:f>
              <c:numCache>
                <c:formatCode>0</c:formatCode>
                <c:ptCount val="24"/>
                <c:pt idx="0">
                  <c:v>57.539299999999997</c:v>
                </c:pt>
                <c:pt idx="1">
                  <c:v>57.539299999999997</c:v>
                </c:pt>
                <c:pt idx="2">
                  <c:v>50.533099999999997</c:v>
                </c:pt>
                <c:pt idx="3">
                  <c:v>32.442999999999998</c:v>
                </c:pt>
                <c:pt idx="4">
                  <c:v>72.423100000000005</c:v>
                </c:pt>
                <c:pt idx="5">
                  <c:v>41.103299999999997</c:v>
                </c:pt>
                <c:pt idx="6">
                  <c:v>10.7811</c:v>
                </c:pt>
                <c:pt idx="7">
                  <c:v>18.544599999999999</c:v>
                </c:pt>
                <c:pt idx="8">
                  <c:v>10.423299999999999</c:v>
                </c:pt>
                <c:pt idx="9">
                  <c:v>96.067800000000005</c:v>
                </c:pt>
                <c:pt idx="10">
                  <c:v>23.598800000000001</c:v>
                </c:pt>
                <c:pt idx="11">
                  <c:v>39.546500000000002</c:v>
                </c:pt>
                <c:pt idx="12">
                  <c:v>11.8085</c:v>
                </c:pt>
                <c:pt idx="13">
                  <c:v>24.838699999999999</c:v>
                </c:pt>
                <c:pt idx="14">
                  <c:v>34.060299999999998</c:v>
                </c:pt>
                <c:pt idx="15">
                  <c:v>32.608600000000003</c:v>
                </c:pt>
                <c:pt idx="16">
                  <c:v>15.701000000000001</c:v>
                </c:pt>
                <c:pt idx="17">
                  <c:v>44.580199999999998</c:v>
                </c:pt>
                <c:pt idx="18">
                  <c:v>21.046800000000001</c:v>
                </c:pt>
                <c:pt idx="19">
                  <c:v>11.7811</c:v>
                </c:pt>
                <c:pt idx="20">
                  <c:v>46.003700000000002</c:v>
                </c:pt>
                <c:pt idx="21">
                  <c:v>68.026700000000005</c:v>
                </c:pt>
                <c:pt idx="22">
                  <c:v>31.0456</c:v>
                </c:pt>
                <c:pt idx="23">
                  <c:v>38.773600000000002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0B-422B-A137-874B07FB1B24}"/>
            </c:ext>
          </c:extLst>
        </c:ser>
        <c:ser>
          <c:idx val="6"/>
          <c:order val="6"/>
          <c:tx>
            <c:strRef>
              <c:f>'Plot By Plot'!$H$2</c:f>
              <c:strCache>
                <c:ptCount val="1"/>
                <c:pt idx="0">
                  <c:v>gKM</c:v>
                </c:pt>
              </c:strCache>
            </c:strRef>
          </c:tx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Plot'!$H$3:$H$26</c:f>
              <c:numCache>
                <c:formatCode>0</c:formatCode>
                <c:ptCount val="24"/>
                <c:pt idx="0">
                  <c:v>23.6496</c:v>
                </c:pt>
                <c:pt idx="1">
                  <c:v>23.6496</c:v>
                </c:pt>
                <c:pt idx="2">
                  <c:v>9.0264299999999995</c:v>
                </c:pt>
                <c:pt idx="3">
                  <c:v>3.1062799999999999</c:v>
                </c:pt>
                <c:pt idx="4">
                  <c:v>18.677399999999999</c:v>
                </c:pt>
                <c:pt idx="5">
                  <c:v>5.8340899999999998</c:v>
                </c:pt>
                <c:pt idx="6">
                  <c:v>0</c:v>
                </c:pt>
                <c:pt idx="7">
                  <c:v>5.7205300000000001</c:v>
                </c:pt>
                <c:pt idx="8">
                  <c:v>0</c:v>
                </c:pt>
                <c:pt idx="9">
                  <c:v>22.4953</c:v>
                </c:pt>
                <c:pt idx="10">
                  <c:v>9.3960100000000004</c:v>
                </c:pt>
                <c:pt idx="11">
                  <c:v>8.2506699999999995</c:v>
                </c:pt>
                <c:pt idx="12">
                  <c:v>0</c:v>
                </c:pt>
                <c:pt idx="13">
                  <c:v>2.6045799999999999</c:v>
                </c:pt>
                <c:pt idx="14">
                  <c:v>9.8866999999999994</c:v>
                </c:pt>
                <c:pt idx="15">
                  <c:v>20.099299999999999</c:v>
                </c:pt>
                <c:pt idx="16">
                  <c:v>13.0227</c:v>
                </c:pt>
                <c:pt idx="17">
                  <c:v>9.6792200000000008</c:v>
                </c:pt>
                <c:pt idx="18">
                  <c:v>11.890700000000001</c:v>
                </c:pt>
                <c:pt idx="19">
                  <c:v>5.0685399999999996</c:v>
                </c:pt>
                <c:pt idx="20">
                  <c:v>17.783899999999999</c:v>
                </c:pt>
                <c:pt idx="21">
                  <c:v>38.631500000000003</c:v>
                </c:pt>
                <c:pt idx="22">
                  <c:v>12.8667</c:v>
                </c:pt>
                <c:pt idx="23">
                  <c:v>8.9772700000000007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0B-422B-A137-874B07FB1B24}"/>
            </c:ext>
          </c:extLst>
        </c:ser>
        <c:ser>
          <c:idx val="7"/>
          <c:order val="7"/>
          <c:tx>
            <c:strRef>
              <c:f>'Plot By Plot'!$I$2</c:f>
              <c:strCache>
                <c:ptCount val="1"/>
                <c:pt idx="0">
                  <c:v>hKI</c:v>
                </c:pt>
              </c:strCache>
            </c:strRef>
          </c:tx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Plot'!$I$3:$I$26</c:f>
              <c:numCache>
                <c:formatCode>0</c:formatCode>
                <c:ptCount val="24"/>
                <c:pt idx="0">
                  <c:v>66.704400000000007</c:v>
                </c:pt>
                <c:pt idx="1">
                  <c:v>66.704400000000007</c:v>
                </c:pt>
                <c:pt idx="2">
                  <c:v>42.459299999999999</c:v>
                </c:pt>
                <c:pt idx="3">
                  <c:v>67.981800000000007</c:v>
                </c:pt>
                <c:pt idx="4">
                  <c:v>103.08799999999999</c:v>
                </c:pt>
                <c:pt idx="5">
                  <c:v>51.272199999999998</c:v>
                </c:pt>
                <c:pt idx="6">
                  <c:v>123.55800000000001</c:v>
                </c:pt>
                <c:pt idx="7">
                  <c:v>84.168400000000005</c:v>
                </c:pt>
                <c:pt idx="8">
                  <c:v>118.898</c:v>
                </c:pt>
                <c:pt idx="9">
                  <c:v>176.11199999999999</c:v>
                </c:pt>
                <c:pt idx="10">
                  <c:v>21.979099999999999</c:v>
                </c:pt>
                <c:pt idx="11">
                  <c:v>87.724000000000004</c:v>
                </c:pt>
                <c:pt idx="12">
                  <c:v>101.887</c:v>
                </c:pt>
                <c:pt idx="13">
                  <c:v>61.201500000000003</c:v>
                </c:pt>
                <c:pt idx="14">
                  <c:v>111.068</c:v>
                </c:pt>
                <c:pt idx="15">
                  <c:v>60.775100000000002</c:v>
                </c:pt>
                <c:pt idx="16">
                  <c:v>229.971</c:v>
                </c:pt>
                <c:pt idx="17">
                  <c:v>89.481899999999996</c:v>
                </c:pt>
                <c:pt idx="18">
                  <c:v>54.426699999999997</c:v>
                </c:pt>
                <c:pt idx="19">
                  <c:v>257.71899999999999</c:v>
                </c:pt>
                <c:pt idx="20">
                  <c:v>126.477</c:v>
                </c:pt>
                <c:pt idx="21">
                  <c:v>60.585000000000001</c:v>
                </c:pt>
                <c:pt idx="22">
                  <c:v>115.35899999999999</c:v>
                </c:pt>
                <c:pt idx="23">
                  <c:v>90.693399999999997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0B-422B-A137-874B07FB1B24}"/>
            </c:ext>
          </c:extLst>
        </c:ser>
        <c:ser>
          <c:idx val="8"/>
          <c:order val="8"/>
          <c:tx>
            <c:strRef>
              <c:f>'Plot By Plot'!$J$2</c:f>
              <c:strCache>
                <c:ptCount val="1"/>
                <c:pt idx="0">
                  <c:v>iKIS</c:v>
                </c:pt>
              </c:strCache>
            </c:strRef>
          </c:tx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Plot'!$J$3:$J$26</c:f>
              <c:numCache>
                <c:formatCode>0</c:formatCode>
                <c:ptCount val="24"/>
                <c:pt idx="0">
                  <c:v>28.376100000000001</c:v>
                </c:pt>
                <c:pt idx="1">
                  <c:v>28.376100000000001</c:v>
                </c:pt>
                <c:pt idx="2">
                  <c:v>24.098299999999998</c:v>
                </c:pt>
                <c:pt idx="3">
                  <c:v>22.957799999999999</c:v>
                </c:pt>
                <c:pt idx="4">
                  <c:v>14.818199999999999</c:v>
                </c:pt>
                <c:pt idx="5">
                  <c:v>14.8889</c:v>
                </c:pt>
                <c:pt idx="6">
                  <c:v>7.3073100000000002</c:v>
                </c:pt>
                <c:pt idx="7">
                  <c:v>13.603999999999999</c:v>
                </c:pt>
                <c:pt idx="8">
                  <c:v>36.589700000000001</c:v>
                </c:pt>
                <c:pt idx="9">
                  <c:v>38.950000000000003</c:v>
                </c:pt>
                <c:pt idx="10">
                  <c:v>14.946999999999999</c:v>
                </c:pt>
                <c:pt idx="11">
                  <c:v>20.9068</c:v>
                </c:pt>
                <c:pt idx="12">
                  <c:v>13.2027</c:v>
                </c:pt>
                <c:pt idx="13">
                  <c:v>8.4883500000000005</c:v>
                </c:pt>
                <c:pt idx="14">
                  <c:v>43.427</c:v>
                </c:pt>
                <c:pt idx="15">
                  <c:v>25.962800000000001</c:v>
                </c:pt>
                <c:pt idx="16">
                  <c:v>28.7623</c:v>
                </c:pt>
                <c:pt idx="17">
                  <c:v>13.9543</c:v>
                </c:pt>
                <c:pt idx="18">
                  <c:v>9.5316600000000005</c:v>
                </c:pt>
                <c:pt idx="19">
                  <c:v>21.600300000000001</c:v>
                </c:pt>
                <c:pt idx="20">
                  <c:v>9.1476299999999995</c:v>
                </c:pt>
                <c:pt idx="21">
                  <c:v>18.5197</c:v>
                </c:pt>
                <c:pt idx="22">
                  <c:v>19.259699999999999</c:v>
                </c:pt>
                <c:pt idx="23">
                  <c:v>20.805599999999998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0B-422B-A137-874B07FB1B24}"/>
            </c:ext>
          </c:extLst>
        </c:ser>
        <c:ser>
          <c:idx val="9"/>
          <c:order val="9"/>
          <c:tx>
            <c:strRef>
              <c:f>'Plot By Plot'!$K$2</c:f>
              <c:strCache>
                <c:ptCount val="1"/>
                <c:pt idx="0">
                  <c:v>jDomPulp</c:v>
                </c:pt>
              </c:strCache>
            </c:strRef>
          </c:tx>
          <c:invertIfNegative val="0"/>
          <c:cat>
            <c:strRef>
              <c:f>'Plot By Plot'!$A$3:$A$26</c:f>
              <c:strCache>
                <c:ptCount val="24"/>
                <c:pt idx="0">
                  <c:v>W15</c:v>
                </c:pt>
                <c:pt idx="1">
                  <c:v>*</c:v>
                </c:pt>
                <c:pt idx="2">
                  <c:v>W10</c:v>
                </c:pt>
                <c:pt idx="3">
                  <c:v>W11</c:v>
                </c:pt>
                <c:pt idx="4">
                  <c:v>W17</c:v>
                </c:pt>
                <c:pt idx="5">
                  <c:v>W18</c:v>
                </c:pt>
                <c:pt idx="6">
                  <c:v>W19</c:v>
                </c:pt>
                <c:pt idx="7">
                  <c:v>W20</c:v>
                </c:pt>
                <c:pt idx="8">
                  <c:v>W25</c:v>
                </c:pt>
                <c:pt idx="9">
                  <c:v>W5</c:v>
                </c:pt>
                <c:pt idx="10">
                  <c:v>W9</c:v>
                </c:pt>
                <c:pt idx="11">
                  <c:v>*</c:v>
                </c:pt>
                <c:pt idx="12">
                  <c:v>W1</c:v>
                </c:pt>
                <c:pt idx="13">
                  <c:v>W12</c:v>
                </c:pt>
                <c:pt idx="14">
                  <c:v>W13</c:v>
                </c:pt>
                <c:pt idx="15">
                  <c:v>W14</c:v>
                </c:pt>
                <c:pt idx="16">
                  <c:v>W2</c:v>
                </c:pt>
                <c:pt idx="17">
                  <c:v>W3</c:v>
                </c:pt>
                <c:pt idx="18">
                  <c:v>W4</c:v>
                </c:pt>
                <c:pt idx="19">
                  <c:v>W6</c:v>
                </c:pt>
                <c:pt idx="20">
                  <c:v>W7</c:v>
                </c:pt>
                <c:pt idx="21">
                  <c:v>W8</c:v>
                </c:pt>
                <c:pt idx="22">
                  <c:v>*</c:v>
                </c:pt>
                <c:pt idx="23">
                  <c:v>*</c:v>
                </c:pt>
              </c:strCache>
            </c:strRef>
          </c:cat>
          <c:val>
            <c:numRef>
              <c:f>'Plot By Plot'!$K$3:$K$26</c:f>
              <c:numCache>
                <c:formatCode>0</c:formatCode>
                <c:ptCount val="24"/>
                <c:pt idx="0">
                  <c:v>13.7652</c:v>
                </c:pt>
                <c:pt idx="1">
                  <c:v>13.7652</c:v>
                </c:pt>
                <c:pt idx="2">
                  <c:v>31.7502</c:v>
                </c:pt>
                <c:pt idx="3">
                  <c:v>64.418999999999997</c:v>
                </c:pt>
                <c:pt idx="4">
                  <c:v>44.480200000000004</c:v>
                </c:pt>
                <c:pt idx="5">
                  <c:v>32.480400000000003</c:v>
                </c:pt>
                <c:pt idx="6">
                  <c:v>70.299800000000005</c:v>
                </c:pt>
                <c:pt idx="7">
                  <c:v>27.190799999999999</c:v>
                </c:pt>
                <c:pt idx="8">
                  <c:v>61.568399999999997</c:v>
                </c:pt>
                <c:pt idx="9">
                  <c:v>183.85300000000001</c:v>
                </c:pt>
                <c:pt idx="10">
                  <c:v>19.6782</c:v>
                </c:pt>
                <c:pt idx="11">
                  <c:v>59.5244</c:v>
                </c:pt>
                <c:pt idx="12">
                  <c:v>17.336300000000001</c:v>
                </c:pt>
                <c:pt idx="13">
                  <c:v>32.606200000000001</c:v>
                </c:pt>
                <c:pt idx="14">
                  <c:v>37.562800000000003</c:v>
                </c:pt>
                <c:pt idx="15">
                  <c:v>21.6495</c:v>
                </c:pt>
                <c:pt idx="16">
                  <c:v>24.29</c:v>
                </c:pt>
                <c:pt idx="17">
                  <c:v>7.3233199999999998</c:v>
                </c:pt>
                <c:pt idx="18">
                  <c:v>17.2928</c:v>
                </c:pt>
                <c:pt idx="19">
                  <c:v>50.433700000000002</c:v>
                </c:pt>
                <c:pt idx="20">
                  <c:v>21.480899999999998</c:v>
                </c:pt>
                <c:pt idx="21">
                  <c:v>6.0787300000000002</c:v>
                </c:pt>
                <c:pt idx="22">
                  <c:v>23.605399999999999</c:v>
                </c:pt>
                <c:pt idx="23">
                  <c:v>54.773699999999998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0B-422B-A137-874B07FB1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824000"/>
        <c:axId val="114824784"/>
      </c:barChart>
      <c:catAx>
        <c:axId val="11482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Plot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4784"/>
        <c:crosses val="autoZero"/>
        <c:auto val="1"/>
        <c:lblAlgn val="ctr"/>
        <c:lblOffset val="100"/>
        <c:noMultiLvlLbl val="0"/>
      </c:catAx>
      <c:valAx>
        <c:axId val="1148247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952242466460556"/>
          <c:y val="0.3722829738031847"/>
          <c:w val="4.0949968180240388E-2"/>
          <c:h val="0.3543080069391602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81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5111" cy="60583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workbookViewId="0"/>
  </sheetViews>
  <sheetFormatPr defaultColWidth="8.85546875" defaultRowHeight="14.45"/>
  <cols>
    <col min="1" max="1" width="19.140625" style="11" customWidth="1"/>
    <col min="2" max="2" width="10.7109375" style="2" customWidth="1"/>
    <col min="3" max="3" width="10.42578125" style="2" customWidth="1"/>
    <col min="4" max="6" width="11.28515625" style="2" customWidth="1"/>
    <col min="7" max="12" width="7.5703125" style="2" customWidth="1"/>
    <col min="13" max="16384" width="8.85546875" style="2"/>
  </cols>
  <sheetData>
    <row r="1" spans="1:12">
      <c r="A1" s="23" t="s">
        <v>0</v>
      </c>
      <c r="B1" s="24"/>
      <c r="C1" s="25"/>
      <c r="D1" s="25" t="s">
        <v>1</v>
      </c>
      <c r="E1" s="26"/>
      <c r="F1" s="27"/>
    </row>
    <row r="2" spans="1:12">
      <c r="A2" s="28" t="s">
        <v>2</v>
      </c>
      <c r="B2" s="1"/>
      <c r="C2" s="12"/>
      <c r="D2" s="1"/>
      <c r="E2" s="12"/>
      <c r="F2" s="29"/>
      <c r="G2" s="4"/>
      <c r="H2" s="4"/>
      <c r="I2" s="4"/>
      <c r="J2" s="4"/>
      <c r="K2" s="4"/>
      <c r="L2" s="4"/>
    </row>
    <row r="3" spans="1:12">
      <c r="A3" s="28" t="s">
        <v>3</v>
      </c>
      <c r="B3" s="12" t="s">
        <v>4</v>
      </c>
      <c r="C3" s="12" t="s">
        <v>4</v>
      </c>
      <c r="D3" s="12" t="s">
        <v>4</v>
      </c>
      <c r="E3" s="12" t="s">
        <v>4</v>
      </c>
      <c r="F3" s="29" t="s">
        <v>4</v>
      </c>
      <c r="G3" s="5"/>
      <c r="H3" s="5"/>
      <c r="I3" s="5"/>
      <c r="J3" s="5"/>
      <c r="K3" s="5"/>
      <c r="L3" s="5"/>
    </row>
    <row r="4" spans="1:12">
      <c r="A4" s="28" t="s">
        <v>5</v>
      </c>
      <c r="B4" s="1"/>
      <c r="C4" s="12"/>
      <c r="D4" s="6"/>
      <c r="E4" s="6"/>
      <c r="F4" s="30"/>
      <c r="G4" s="5"/>
      <c r="H4" s="5"/>
      <c r="I4" s="5"/>
      <c r="J4" s="5"/>
      <c r="K4" s="5"/>
      <c r="L4" s="5"/>
    </row>
    <row r="5" spans="1:12">
      <c r="A5" s="28" t="s">
        <v>6</v>
      </c>
      <c r="B5" s="1"/>
      <c r="C5" s="12"/>
      <c r="D5" s="6"/>
      <c r="E5" s="6"/>
      <c r="F5" s="30"/>
      <c r="G5" s="5"/>
      <c r="H5" s="5"/>
      <c r="I5" s="5"/>
      <c r="J5" s="5"/>
      <c r="K5" s="5"/>
      <c r="L5" s="5"/>
    </row>
    <row r="6" spans="1:12">
      <c r="A6" s="28" t="s">
        <v>7</v>
      </c>
      <c r="B6" s="1"/>
      <c r="C6" s="12"/>
      <c r="D6" s="6"/>
      <c r="E6" s="6"/>
      <c r="F6" s="30"/>
      <c r="G6" s="5"/>
      <c r="H6" s="5"/>
      <c r="I6" s="5"/>
      <c r="J6" s="5"/>
      <c r="K6" s="5"/>
      <c r="L6" s="5"/>
    </row>
    <row r="7" spans="1:12">
      <c r="A7" s="28" t="s">
        <v>8</v>
      </c>
      <c r="B7" s="48"/>
      <c r="C7" s="48"/>
      <c r="D7" s="48"/>
      <c r="E7" s="48"/>
      <c r="F7" s="49"/>
      <c r="G7" s="5"/>
      <c r="H7" s="5"/>
      <c r="I7" s="5"/>
      <c r="J7" s="5"/>
      <c r="K7" s="5"/>
      <c r="L7" s="5"/>
    </row>
    <row r="8" spans="1:12">
      <c r="A8" s="28" t="s">
        <v>9</v>
      </c>
      <c r="B8" s="13" t="e">
        <f>(B7*B6)/B5</f>
        <v>#DIV/0!</v>
      </c>
      <c r="C8" s="13" t="e">
        <f t="shared" ref="C8:F8" si="0">(C7*C6)/C5</f>
        <v>#DIV/0!</v>
      </c>
      <c r="D8" s="13" t="e">
        <f t="shared" si="0"/>
        <v>#DIV/0!</v>
      </c>
      <c r="E8" s="13" t="e">
        <f t="shared" si="0"/>
        <v>#DIV/0!</v>
      </c>
      <c r="F8" s="31" t="e">
        <f t="shared" si="0"/>
        <v>#DIV/0!</v>
      </c>
      <c r="G8" s="5"/>
      <c r="H8" s="5"/>
      <c r="I8" s="5"/>
      <c r="J8" s="5"/>
      <c r="K8" s="5"/>
      <c r="L8" s="5"/>
    </row>
    <row r="9" spans="1:12">
      <c r="A9" s="28" t="s">
        <v>10</v>
      </c>
      <c r="B9" s="1"/>
      <c r="C9" s="12"/>
      <c r="D9" s="6"/>
      <c r="E9" s="6"/>
      <c r="F9" s="30"/>
      <c r="G9" s="5"/>
      <c r="H9" s="5"/>
      <c r="I9" s="5"/>
      <c r="J9" s="5"/>
      <c r="K9" s="5"/>
      <c r="L9" s="5"/>
    </row>
    <row r="10" spans="1:12">
      <c r="A10" s="28" t="s">
        <v>11</v>
      </c>
      <c r="B10" s="1"/>
      <c r="C10" s="12"/>
      <c r="D10" s="6"/>
      <c r="E10" s="6"/>
      <c r="F10" s="30"/>
      <c r="G10" s="5"/>
      <c r="H10" s="5"/>
      <c r="I10" s="5"/>
      <c r="J10" s="5"/>
      <c r="K10" s="5"/>
      <c r="L10" s="5"/>
    </row>
    <row r="11" spans="1:12" ht="14.45" customHeight="1">
      <c r="A11" s="61" t="s">
        <v>12</v>
      </c>
      <c r="B11" s="11"/>
      <c r="C11" s="11"/>
      <c r="D11" s="11"/>
      <c r="E11" s="5"/>
      <c r="F11" s="57"/>
      <c r="G11" s="5"/>
      <c r="H11" s="5"/>
      <c r="I11" s="5"/>
      <c r="J11" s="5"/>
      <c r="K11" s="5"/>
      <c r="L11" s="5"/>
    </row>
    <row r="12" spans="1:12">
      <c r="A12" s="32"/>
      <c r="B12" s="62" t="s">
        <v>13</v>
      </c>
      <c r="C12" s="6" t="s">
        <v>13</v>
      </c>
      <c r="D12" s="6" t="s">
        <v>13</v>
      </c>
      <c r="E12" s="6" t="s">
        <v>13</v>
      </c>
      <c r="F12" s="30" t="s">
        <v>13</v>
      </c>
      <c r="G12" s="5"/>
      <c r="H12" s="5"/>
      <c r="I12" s="5"/>
      <c r="J12" s="5"/>
      <c r="K12" s="5"/>
      <c r="L12" s="5"/>
    </row>
    <row r="13" spans="1:12">
      <c r="A13" s="28" t="s">
        <v>14</v>
      </c>
      <c r="B13" s="17"/>
      <c r="C13" s="17"/>
      <c r="D13" s="17"/>
      <c r="E13" s="17"/>
      <c r="F13" s="33"/>
      <c r="G13" s="5"/>
      <c r="H13" s="5"/>
      <c r="I13" s="5"/>
      <c r="J13" s="5"/>
      <c r="K13" s="5"/>
      <c r="L13" s="5"/>
    </row>
    <row r="14" spans="1:12">
      <c r="A14" s="28" t="s">
        <v>15</v>
      </c>
      <c r="B14" s="18"/>
      <c r="C14" s="18"/>
      <c r="D14" s="18"/>
      <c r="E14" s="18"/>
      <c r="F14" s="34"/>
      <c r="G14" s="5"/>
      <c r="H14" s="5"/>
      <c r="I14" s="5"/>
      <c r="J14" s="5"/>
      <c r="K14" s="5"/>
      <c r="L14" s="5"/>
    </row>
    <row r="15" spans="1:12">
      <c r="A15" s="28" t="s">
        <v>16</v>
      </c>
      <c r="B15" s="19"/>
      <c r="C15" s="19"/>
      <c r="D15" s="19"/>
      <c r="E15" s="19"/>
      <c r="F15" s="35"/>
      <c r="G15" s="5"/>
      <c r="H15" s="5"/>
      <c r="I15" s="5"/>
      <c r="J15" s="5"/>
      <c r="K15" s="5"/>
      <c r="L15" s="5"/>
    </row>
    <row r="16" spans="1:12">
      <c r="A16" s="28" t="s">
        <v>17</v>
      </c>
      <c r="B16" s="20"/>
      <c r="C16" s="20"/>
      <c r="D16" s="20"/>
      <c r="E16" s="20"/>
      <c r="F16" s="36"/>
      <c r="G16" s="5"/>
      <c r="H16" s="5"/>
      <c r="I16" s="5"/>
      <c r="J16" s="5"/>
      <c r="K16" s="5"/>
      <c r="L16" s="5"/>
    </row>
    <row r="17" spans="1:6">
      <c r="A17" s="28" t="s">
        <v>18</v>
      </c>
      <c r="B17" s="21"/>
      <c r="C17" s="21"/>
      <c r="D17" s="21"/>
      <c r="E17" s="21"/>
      <c r="F17" s="37"/>
    </row>
    <row r="18" spans="1:6">
      <c r="A18" s="28" t="s">
        <v>19</v>
      </c>
      <c r="B18" s="21"/>
      <c r="C18" s="21"/>
      <c r="D18" s="21"/>
      <c r="E18" s="21"/>
      <c r="F18" s="37"/>
    </row>
    <row r="19" spans="1:6">
      <c r="A19" s="38" t="s">
        <v>20</v>
      </c>
      <c r="B19" s="22"/>
      <c r="C19" s="22"/>
      <c r="D19" s="22"/>
      <c r="E19" s="22"/>
      <c r="F19" s="39"/>
    </row>
    <row r="20" spans="1:6">
      <c r="A20" s="38" t="s">
        <v>21</v>
      </c>
      <c r="B20" s="50"/>
      <c r="C20" s="50"/>
      <c r="D20" s="51"/>
      <c r="E20" s="51"/>
      <c r="F20" s="52"/>
    </row>
    <row r="21" spans="1:6" ht="14.45" customHeight="1">
      <c r="A21" s="38" t="s">
        <v>22</v>
      </c>
      <c r="B21" s="53"/>
      <c r="C21" s="53"/>
      <c r="D21" s="54"/>
      <c r="E21" s="54"/>
      <c r="F21" s="55"/>
    </row>
    <row r="22" spans="1:6" ht="14.45" customHeight="1">
      <c r="A22" s="38" t="s">
        <v>23</v>
      </c>
      <c r="B22" s="53"/>
      <c r="C22" s="53"/>
      <c r="D22" s="54"/>
      <c r="E22" s="54"/>
      <c r="F22" s="55"/>
    </row>
    <row r="23" spans="1:6">
      <c r="A23" s="28" t="s">
        <v>24</v>
      </c>
      <c r="B23" s="8"/>
      <c r="C23" s="8"/>
      <c r="D23" s="7"/>
      <c r="E23" s="7"/>
      <c r="F23" s="40"/>
    </row>
    <row r="24" spans="1:6">
      <c r="A24" s="28" t="s">
        <v>25</v>
      </c>
      <c r="B24" s="8"/>
      <c r="C24" s="8"/>
      <c r="D24" s="7"/>
      <c r="E24" s="7"/>
      <c r="F24" s="40"/>
    </row>
    <row r="25" spans="1:6">
      <c r="A25" s="28" t="s">
        <v>26</v>
      </c>
      <c r="B25" s="8"/>
      <c r="C25" s="8"/>
      <c r="D25" s="7"/>
      <c r="E25" s="7"/>
      <c r="F25" s="40"/>
    </row>
    <row r="26" spans="1:6">
      <c r="A26" s="28" t="s">
        <v>27</v>
      </c>
      <c r="B26" s="8"/>
      <c r="C26" s="8"/>
      <c r="D26" s="7"/>
      <c r="E26" s="7"/>
      <c r="F26" s="40"/>
    </row>
    <row r="27" spans="1:6">
      <c r="A27" s="28" t="s">
        <v>28</v>
      </c>
      <c r="B27" s="8"/>
      <c r="C27" s="8"/>
      <c r="D27" s="7"/>
      <c r="E27" s="7"/>
      <c r="F27" s="40"/>
    </row>
    <row r="28" spans="1:6">
      <c r="A28" s="28" t="s">
        <v>29</v>
      </c>
      <c r="B28" s="8"/>
      <c r="C28" s="8"/>
      <c r="D28" s="7"/>
      <c r="E28" s="7"/>
      <c r="F28" s="40"/>
    </row>
    <row r="29" spans="1:6">
      <c r="A29" s="28" t="s">
        <v>30</v>
      </c>
      <c r="B29" s="8"/>
      <c r="C29" s="8"/>
      <c r="D29" s="7"/>
      <c r="E29" s="7"/>
      <c r="F29" s="40"/>
    </row>
    <row r="30" spans="1:6">
      <c r="A30" s="28" t="s">
        <v>31</v>
      </c>
      <c r="B30" s="8"/>
      <c r="C30" s="8"/>
      <c r="D30" s="7"/>
      <c r="E30" s="7"/>
      <c r="F30" s="40"/>
    </row>
    <row r="31" spans="1:6">
      <c r="A31" s="28" t="s">
        <v>32</v>
      </c>
      <c r="B31" s="8"/>
      <c r="C31" s="8"/>
      <c r="D31" s="7"/>
      <c r="E31" s="7"/>
      <c r="F31" s="40"/>
    </row>
    <row r="32" spans="1:6">
      <c r="A32" s="28" t="s">
        <v>33</v>
      </c>
      <c r="B32" s="8"/>
      <c r="C32" s="8"/>
      <c r="D32" s="7"/>
      <c r="E32" s="7"/>
      <c r="F32" s="40"/>
    </row>
    <row r="33" spans="1:6">
      <c r="A33" s="28" t="s">
        <v>34</v>
      </c>
      <c r="B33" s="8">
        <f>SUM(B23:B32)</f>
        <v>0</v>
      </c>
      <c r="C33" s="8">
        <f t="shared" ref="C33:F33" si="1">SUM(C23:C32)</f>
        <v>0</v>
      </c>
      <c r="D33" s="8">
        <f t="shared" si="1"/>
        <v>0</v>
      </c>
      <c r="E33" s="8">
        <f t="shared" si="1"/>
        <v>0</v>
      </c>
      <c r="F33" s="41">
        <f t="shared" si="1"/>
        <v>0</v>
      </c>
    </row>
    <row r="34" spans="1:6">
      <c r="A34" s="28"/>
      <c r="B34" s="16"/>
      <c r="C34" s="16"/>
      <c r="D34" s="7"/>
      <c r="E34" s="7"/>
      <c r="F34" s="40"/>
    </row>
    <row r="35" spans="1:6">
      <c r="A35" s="32" t="s">
        <v>35</v>
      </c>
      <c r="B35" s="14" t="s">
        <v>36</v>
      </c>
      <c r="C35" s="15"/>
      <c r="D35" s="7"/>
      <c r="E35" s="7"/>
      <c r="F35" s="40"/>
    </row>
    <row r="36" spans="1:6">
      <c r="A36" s="28" t="s">
        <v>37</v>
      </c>
      <c r="B36" s="3"/>
      <c r="C36" s="9"/>
      <c r="D36" s="7"/>
      <c r="E36" s="7"/>
      <c r="F36" s="40"/>
    </row>
    <row r="37" spans="1:6">
      <c r="A37" s="28" t="s">
        <v>38</v>
      </c>
      <c r="B37" s="3">
        <v>182</v>
      </c>
      <c r="C37" s="9"/>
      <c r="D37" s="7"/>
      <c r="E37" s="7"/>
      <c r="F37" s="40"/>
    </row>
    <row r="38" spans="1:6">
      <c r="A38" s="28" t="s">
        <v>39</v>
      </c>
      <c r="B38" s="3">
        <v>182</v>
      </c>
      <c r="C38" s="9"/>
      <c r="D38" s="7"/>
      <c r="E38" s="7"/>
      <c r="F38" s="40"/>
    </row>
    <row r="39" spans="1:6">
      <c r="A39" s="28" t="s">
        <v>40</v>
      </c>
      <c r="B39" s="3">
        <v>1</v>
      </c>
      <c r="C39" s="9"/>
      <c r="D39" s="7"/>
      <c r="E39" s="7"/>
      <c r="F39" s="40"/>
    </row>
    <row r="40" spans="1:6">
      <c r="A40" s="28" t="s">
        <v>41</v>
      </c>
      <c r="B40" s="3" t="s">
        <v>42</v>
      </c>
      <c r="C40" s="9"/>
      <c r="D40" s="7"/>
      <c r="E40" s="7"/>
      <c r="F40" s="40"/>
    </row>
    <row r="41" spans="1:6">
      <c r="A41" s="28" t="s">
        <v>43</v>
      </c>
      <c r="B41" s="10"/>
      <c r="C41" s="9"/>
      <c r="D41" s="7"/>
      <c r="E41" s="7"/>
      <c r="F41" s="40"/>
    </row>
    <row r="42" spans="1:6">
      <c r="A42" s="28" t="s">
        <v>44</v>
      </c>
      <c r="B42" s="10" t="s">
        <v>45</v>
      </c>
      <c r="C42" s="9"/>
      <c r="D42" s="7"/>
      <c r="E42" s="7"/>
      <c r="F42" s="40"/>
    </row>
    <row r="43" spans="1:6">
      <c r="A43" s="28" t="s">
        <v>46</v>
      </c>
      <c r="B43" s="10"/>
      <c r="C43" s="9"/>
      <c r="D43" s="7"/>
      <c r="E43" s="7"/>
      <c r="F43" s="40"/>
    </row>
    <row r="44" spans="1:6">
      <c r="A44" s="28" t="s">
        <v>47</v>
      </c>
      <c r="B44" s="10"/>
      <c r="C44" s="9"/>
      <c r="D44" s="7"/>
      <c r="E44" s="7"/>
      <c r="F44" s="40"/>
    </row>
    <row r="45" spans="1:6">
      <c r="A45" s="28" t="s">
        <v>48</v>
      </c>
      <c r="B45" s="10"/>
      <c r="C45" s="9"/>
      <c r="D45" s="7"/>
      <c r="E45" s="7"/>
      <c r="F45" s="40"/>
    </row>
    <row r="46" spans="1:6">
      <c r="A46" s="42" t="s">
        <v>49</v>
      </c>
      <c r="B46" s="9"/>
      <c r="C46" s="10"/>
      <c r="D46" s="9"/>
      <c r="E46" s="7"/>
      <c r="F46" s="40"/>
    </row>
    <row r="47" spans="1:6" ht="15" thickBot="1">
      <c r="A47" s="43" t="s">
        <v>50</v>
      </c>
      <c r="B47" s="44"/>
      <c r="C47" s="45"/>
      <c r="D47" s="44"/>
      <c r="E47" s="46"/>
      <c r="F47" s="47"/>
    </row>
  </sheetData>
  <pageMargins left="0.98425196850393704" right="0.70866141732283472" top="0.94488188976377963" bottom="0.74803149606299213" header="0.43307086614173229" footer="0.31496062992125984"/>
  <pageSetup paperSize="9" orientation="portrait" r:id="rId1"/>
  <headerFooter>
    <oddHeader>&amp;F</oddHeader>
    <oddFooter>&amp;L&amp;B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6"/>
  <sheetViews>
    <sheetView tabSelected="1" workbookViewId="0">
      <pane xSplit="3" ySplit="2" topLeftCell="D3" activePane="bottomRight" state="frozen"/>
      <selection pane="bottomRight" activeCell="A2" sqref="A2"/>
      <selection pane="bottomLeft" activeCell="A3" sqref="A3"/>
      <selection pane="topRight" activeCell="D1" sqref="D1"/>
    </sheetView>
  </sheetViews>
  <sheetFormatPr defaultColWidth="8.85546875" defaultRowHeight="14.45"/>
  <cols>
    <col min="1" max="1" width="8.85546875" style="4" customWidth="1"/>
    <col min="2" max="12" width="5.7109375" style="5" customWidth="1"/>
    <col min="13" max="13" width="8.85546875" style="4"/>
    <col min="14" max="16384" width="8.85546875" style="2"/>
  </cols>
  <sheetData>
    <row r="1" spans="1:12">
      <c r="A1" s="3" t="s">
        <v>51</v>
      </c>
      <c r="B1" s="56"/>
      <c r="C1" s="56"/>
      <c r="D1" s="56"/>
      <c r="E1" s="56" t="s">
        <v>52</v>
      </c>
      <c r="F1" s="56"/>
      <c r="G1" s="56"/>
      <c r="H1" s="56"/>
      <c r="I1" s="56"/>
      <c r="J1" s="56"/>
      <c r="K1" s="56" t="s">
        <v>53</v>
      </c>
      <c r="L1" s="57"/>
    </row>
    <row r="2" spans="1:12">
      <c r="A2" s="12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  <c r="J2" s="7" t="s">
        <v>63</v>
      </c>
      <c r="K2" s="7" t="s">
        <v>64</v>
      </c>
      <c r="L2" s="6" t="s">
        <v>34</v>
      </c>
    </row>
    <row r="3" spans="1:12">
      <c r="A3" s="12" t="s">
        <v>65</v>
      </c>
      <c r="B3" s="6">
        <v>218.631</v>
      </c>
      <c r="C3" s="6">
        <v>37.0837</v>
      </c>
      <c r="D3" s="6">
        <v>0</v>
      </c>
      <c r="E3" s="6">
        <v>138.07599999999999</v>
      </c>
      <c r="F3" s="6">
        <v>173.61</v>
      </c>
      <c r="G3" s="6">
        <v>57.539299999999997</v>
      </c>
      <c r="H3" s="6">
        <v>23.6496</v>
      </c>
      <c r="I3" s="6">
        <v>66.704400000000007</v>
      </c>
      <c r="J3" s="6">
        <v>28.376100000000001</v>
      </c>
      <c r="K3" s="6">
        <v>13.7652</v>
      </c>
      <c r="L3" s="6">
        <v>757.43529999999998</v>
      </c>
    </row>
    <row r="4" spans="1:12">
      <c r="A4" s="12" t="s">
        <v>66</v>
      </c>
      <c r="B4" s="6">
        <v>218.631</v>
      </c>
      <c r="C4" s="6">
        <v>37.0837</v>
      </c>
      <c r="D4" s="6">
        <v>0</v>
      </c>
      <c r="E4" s="6">
        <v>138.07599999999999</v>
      </c>
      <c r="F4" s="6">
        <v>173.61</v>
      </c>
      <c r="G4" s="6">
        <v>57.539299999999997</v>
      </c>
      <c r="H4" s="6">
        <v>23.6496</v>
      </c>
      <c r="I4" s="6">
        <v>66.704400000000007</v>
      </c>
      <c r="J4" s="6">
        <v>28.376100000000001</v>
      </c>
      <c r="K4" s="6">
        <v>13.7652</v>
      </c>
      <c r="L4" s="6">
        <v>757.43529999999998</v>
      </c>
    </row>
    <row r="5" spans="1:12">
      <c r="A5" s="12" t="s">
        <v>67</v>
      </c>
      <c r="B5" s="6">
        <v>113.434</v>
      </c>
      <c r="C5" s="6">
        <v>93.892300000000006</v>
      </c>
      <c r="D5" s="6">
        <v>0</v>
      </c>
      <c r="E5" s="6">
        <v>12.225</v>
      </c>
      <c r="F5" s="6">
        <v>152.05099999999999</v>
      </c>
      <c r="G5" s="6">
        <v>50.533099999999997</v>
      </c>
      <c r="H5" s="6">
        <v>9.0264299999999995</v>
      </c>
      <c r="I5" s="6">
        <v>42.459299999999999</v>
      </c>
      <c r="J5" s="6">
        <v>24.098299999999998</v>
      </c>
      <c r="K5" s="6">
        <v>31.7502</v>
      </c>
      <c r="L5" s="6">
        <v>529.46962999999994</v>
      </c>
    </row>
    <row r="6" spans="1:12">
      <c r="A6" s="12" t="s">
        <v>68</v>
      </c>
      <c r="B6" s="6">
        <v>64.477400000000003</v>
      </c>
      <c r="C6" s="6">
        <v>52.040599999999998</v>
      </c>
      <c r="D6" s="6">
        <v>12.808400000000001</v>
      </c>
      <c r="E6" s="6">
        <v>12.997199999999999</v>
      </c>
      <c r="F6" s="6">
        <v>132.83099999999999</v>
      </c>
      <c r="G6" s="6">
        <v>32.442999999999998</v>
      </c>
      <c r="H6" s="6">
        <v>3.1062799999999999</v>
      </c>
      <c r="I6" s="6">
        <v>67.981800000000007</v>
      </c>
      <c r="J6" s="6">
        <v>22.957799999999999</v>
      </c>
      <c r="K6" s="6">
        <v>64.418999999999997</v>
      </c>
      <c r="L6" s="6">
        <v>466.06247999999999</v>
      </c>
    </row>
    <row r="7" spans="1:12">
      <c r="A7" s="12" t="s">
        <v>69</v>
      </c>
      <c r="B7" s="6">
        <v>20.402200000000001</v>
      </c>
      <c r="C7" s="6">
        <v>92.552499999999995</v>
      </c>
      <c r="D7" s="6">
        <v>13.4489</v>
      </c>
      <c r="E7" s="6">
        <v>54.414900000000003</v>
      </c>
      <c r="F7" s="6">
        <v>85.287700000000001</v>
      </c>
      <c r="G7" s="6">
        <v>72.423100000000005</v>
      </c>
      <c r="H7" s="6">
        <v>18.677399999999999</v>
      </c>
      <c r="I7" s="6">
        <v>103.08799999999999</v>
      </c>
      <c r="J7" s="6">
        <v>14.818199999999999</v>
      </c>
      <c r="K7" s="6">
        <v>44.480200000000004</v>
      </c>
      <c r="L7" s="6">
        <v>519.59310000000005</v>
      </c>
    </row>
    <row r="8" spans="1:12">
      <c r="A8" s="12" t="s">
        <v>70</v>
      </c>
      <c r="B8" s="6">
        <v>133.11199999999999</v>
      </c>
      <c r="C8" s="6">
        <v>66.101200000000006</v>
      </c>
      <c r="D8" s="6">
        <v>0</v>
      </c>
      <c r="E8" s="6">
        <v>58.747399999999999</v>
      </c>
      <c r="F8" s="6">
        <v>125.843</v>
      </c>
      <c r="G8" s="6">
        <v>41.103299999999997</v>
      </c>
      <c r="H8" s="6">
        <v>5.8340899999999998</v>
      </c>
      <c r="I8" s="6">
        <v>51.272199999999998</v>
      </c>
      <c r="J8" s="6">
        <v>14.8889</v>
      </c>
      <c r="K8" s="6">
        <v>32.480400000000003</v>
      </c>
      <c r="L8" s="6">
        <v>529.38248999999996</v>
      </c>
    </row>
    <row r="9" spans="1:12">
      <c r="A9" s="12" t="s">
        <v>71</v>
      </c>
      <c r="B9" s="6">
        <v>211.34800000000001</v>
      </c>
      <c r="C9" s="6">
        <v>49.654499999999999</v>
      </c>
      <c r="D9" s="6">
        <v>0</v>
      </c>
      <c r="E9" s="6">
        <v>0</v>
      </c>
      <c r="F9" s="6">
        <v>68.244</v>
      </c>
      <c r="G9" s="6">
        <v>10.7811</v>
      </c>
      <c r="H9" s="6">
        <v>0</v>
      </c>
      <c r="I9" s="6">
        <v>123.55800000000001</v>
      </c>
      <c r="J9" s="6">
        <v>7.3073100000000002</v>
      </c>
      <c r="K9" s="6">
        <v>70.299800000000005</v>
      </c>
      <c r="L9" s="6">
        <v>541.19270999999992</v>
      </c>
    </row>
    <row r="10" spans="1:12">
      <c r="A10" s="12" t="s">
        <v>72</v>
      </c>
      <c r="B10" s="6">
        <v>166.173</v>
      </c>
      <c r="C10" s="6">
        <v>31.123999999999999</v>
      </c>
      <c r="D10" s="6">
        <v>12.362</v>
      </c>
      <c r="E10" s="6">
        <v>72.463999999999999</v>
      </c>
      <c r="F10" s="6">
        <v>129.07599999999999</v>
      </c>
      <c r="G10" s="6">
        <v>18.544599999999999</v>
      </c>
      <c r="H10" s="6">
        <v>5.7205300000000001</v>
      </c>
      <c r="I10" s="6">
        <v>84.168400000000005</v>
      </c>
      <c r="J10" s="6">
        <v>13.603999999999999</v>
      </c>
      <c r="K10" s="6">
        <v>27.190799999999999</v>
      </c>
      <c r="L10" s="6">
        <v>560.42732999999998</v>
      </c>
    </row>
    <row r="11" spans="1:12">
      <c r="A11" s="12" t="s">
        <v>73</v>
      </c>
      <c r="B11" s="6">
        <v>126.158</v>
      </c>
      <c r="C11" s="6">
        <v>56.4664</v>
      </c>
      <c r="D11" s="6">
        <v>0</v>
      </c>
      <c r="E11" s="6">
        <v>12.093400000000001</v>
      </c>
      <c r="F11" s="6">
        <v>50.784700000000001</v>
      </c>
      <c r="G11" s="6">
        <v>10.423299999999999</v>
      </c>
      <c r="H11" s="6">
        <v>0</v>
      </c>
      <c r="I11" s="6">
        <v>118.898</v>
      </c>
      <c r="J11" s="6">
        <v>36.589700000000001</v>
      </c>
      <c r="K11" s="6">
        <v>61.568399999999997</v>
      </c>
      <c r="L11" s="6">
        <v>472.9819</v>
      </c>
    </row>
    <row r="12" spans="1:12">
      <c r="A12" s="12" t="s">
        <v>74</v>
      </c>
      <c r="B12" s="6">
        <v>0</v>
      </c>
      <c r="C12" s="6">
        <v>74.123699999999999</v>
      </c>
      <c r="D12" s="6">
        <v>0</v>
      </c>
      <c r="E12" s="6">
        <v>0</v>
      </c>
      <c r="F12" s="6">
        <v>203.45099999999999</v>
      </c>
      <c r="G12" s="6">
        <v>96.067800000000005</v>
      </c>
      <c r="H12" s="6">
        <v>22.4953</v>
      </c>
      <c r="I12" s="6">
        <v>176.11199999999999</v>
      </c>
      <c r="J12" s="6">
        <v>38.950000000000003</v>
      </c>
      <c r="K12" s="6">
        <v>183.85300000000001</v>
      </c>
      <c r="L12" s="6">
        <v>795.05280000000016</v>
      </c>
    </row>
    <row r="13" spans="1:12">
      <c r="A13" s="12" t="s">
        <v>75</v>
      </c>
      <c r="B13" s="6">
        <v>103.886</v>
      </c>
      <c r="C13" s="6">
        <v>51.1616</v>
      </c>
      <c r="D13" s="6">
        <v>0</v>
      </c>
      <c r="E13" s="6">
        <v>34.569400000000002</v>
      </c>
      <c r="F13" s="6">
        <v>143.45699999999999</v>
      </c>
      <c r="G13" s="6">
        <v>23.598800000000001</v>
      </c>
      <c r="H13" s="6">
        <v>9.3960100000000004</v>
      </c>
      <c r="I13" s="6">
        <v>21.979099999999999</v>
      </c>
      <c r="J13" s="6">
        <v>14.946999999999999</v>
      </c>
      <c r="K13" s="6">
        <v>19.6782</v>
      </c>
      <c r="L13" s="6">
        <v>422.67310999999995</v>
      </c>
    </row>
    <row r="14" spans="1:12">
      <c r="A14" s="12" t="s">
        <v>66</v>
      </c>
      <c r="B14" s="6">
        <v>104.33199999999999</v>
      </c>
      <c r="C14" s="6">
        <v>63.012999999999998</v>
      </c>
      <c r="D14" s="6">
        <v>4.2910399999999997</v>
      </c>
      <c r="E14" s="6">
        <v>28.612400000000001</v>
      </c>
      <c r="F14" s="6">
        <v>121.22499999999999</v>
      </c>
      <c r="G14" s="6">
        <v>39.546500000000002</v>
      </c>
      <c r="H14" s="6">
        <v>8.2506699999999995</v>
      </c>
      <c r="I14" s="6">
        <v>87.724000000000004</v>
      </c>
      <c r="J14" s="6">
        <v>20.9068</v>
      </c>
      <c r="K14" s="6">
        <v>59.5244</v>
      </c>
      <c r="L14" s="6">
        <v>537.42580999999996</v>
      </c>
    </row>
    <row r="15" spans="1:12">
      <c r="A15" s="12" t="s">
        <v>76</v>
      </c>
      <c r="B15" s="6">
        <v>30.244800000000001</v>
      </c>
      <c r="C15" s="6">
        <v>62.607100000000003</v>
      </c>
      <c r="D15" s="6">
        <v>0</v>
      </c>
      <c r="E15" s="6">
        <v>0</v>
      </c>
      <c r="F15" s="6">
        <v>53.827399999999997</v>
      </c>
      <c r="G15" s="6">
        <v>11.8085</v>
      </c>
      <c r="H15" s="6">
        <v>0</v>
      </c>
      <c r="I15" s="6">
        <v>101.887</v>
      </c>
      <c r="J15" s="6">
        <v>13.2027</v>
      </c>
      <c r="K15" s="6">
        <v>17.336300000000001</v>
      </c>
      <c r="L15" s="6">
        <v>290.91380000000004</v>
      </c>
    </row>
    <row r="16" spans="1:12">
      <c r="A16" s="12" t="s">
        <v>77</v>
      </c>
      <c r="B16" s="6">
        <v>160.184</v>
      </c>
      <c r="C16" s="6">
        <v>21.446200000000001</v>
      </c>
      <c r="D16" s="6">
        <v>0</v>
      </c>
      <c r="E16" s="6">
        <v>85.194000000000003</v>
      </c>
      <c r="F16" s="6">
        <v>111.47</v>
      </c>
      <c r="G16" s="6">
        <v>24.838699999999999</v>
      </c>
      <c r="H16" s="6">
        <v>2.6045799999999999</v>
      </c>
      <c r="I16" s="6">
        <v>61.201500000000003</v>
      </c>
      <c r="J16" s="6">
        <v>8.4883500000000005</v>
      </c>
      <c r="K16" s="6">
        <v>32.606200000000001</v>
      </c>
      <c r="L16" s="6">
        <v>508.0335300000001</v>
      </c>
    </row>
    <row r="17" spans="1:12">
      <c r="A17" s="12" t="s">
        <v>78</v>
      </c>
      <c r="B17" s="6">
        <v>49.965400000000002</v>
      </c>
      <c r="C17" s="6">
        <v>43.563099999999999</v>
      </c>
      <c r="D17" s="6">
        <v>0</v>
      </c>
      <c r="E17" s="6">
        <v>153.88300000000001</v>
      </c>
      <c r="F17" s="6">
        <v>113.619</v>
      </c>
      <c r="G17" s="6">
        <v>34.060299999999998</v>
      </c>
      <c r="H17" s="6">
        <v>9.8866999999999994</v>
      </c>
      <c r="I17" s="6">
        <v>111.068</v>
      </c>
      <c r="J17" s="6">
        <v>43.427</v>
      </c>
      <c r="K17" s="6">
        <v>37.562800000000003</v>
      </c>
      <c r="L17" s="6">
        <v>597.03530000000012</v>
      </c>
    </row>
    <row r="18" spans="1:12">
      <c r="A18" s="12" t="s">
        <v>79</v>
      </c>
      <c r="B18" s="6">
        <v>127.536</v>
      </c>
      <c r="C18" s="6">
        <v>128.15199999999999</v>
      </c>
      <c r="D18" s="6">
        <v>11.9278</v>
      </c>
      <c r="E18" s="6">
        <v>39.273099999999999</v>
      </c>
      <c r="F18" s="6">
        <v>118.627</v>
      </c>
      <c r="G18" s="6">
        <v>32.608600000000003</v>
      </c>
      <c r="H18" s="6">
        <v>20.099299999999999</v>
      </c>
      <c r="I18" s="6">
        <v>60.775100000000002</v>
      </c>
      <c r="J18" s="6">
        <v>25.962800000000001</v>
      </c>
      <c r="K18" s="6">
        <v>21.6495</v>
      </c>
      <c r="L18" s="6">
        <v>586.61119999999994</v>
      </c>
    </row>
    <row r="19" spans="1:12">
      <c r="A19" s="12" t="s">
        <v>80</v>
      </c>
      <c r="B19" s="6">
        <v>121.426</v>
      </c>
      <c r="C19" s="6">
        <v>56.212699999999998</v>
      </c>
      <c r="D19" s="6">
        <v>18.094999999999999</v>
      </c>
      <c r="E19" s="6">
        <v>23.444500000000001</v>
      </c>
      <c r="F19" s="6">
        <v>53.917400000000001</v>
      </c>
      <c r="G19" s="6">
        <v>15.701000000000001</v>
      </c>
      <c r="H19" s="6">
        <v>13.0227</v>
      </c>
      <c r="I19" s="6">
        <v>229.971</v>
      </c>
      <c r="J19" s="6">
        <v>28.7623</v>
      </c>
      <c r="K19" s="6">
        <v>24.29</v>
      </c>
      <c r="L19" s="6">
        <v>584.84259999999995</v>
      </c>
    </row>
    <row r="20" spans="1:12">
      <c r="A20" s="12" t="s">
        <v>81</v>
      </c>
      <c r="B20" s="6">
        <v>154.02699999999999</v>
      </c>
      <c r="C20" s="6">
        <v>40.161200000000001</v>
      </c>
      <c r="D20" s="6">
        <v>46.983600000000003</v>
      </c>
      <c r="E20" s="6">
        <v>97.364199999999997</v>
      </c>
      <c r="F20" s="6">
        <v>117.73699999999999</v>
      </c>
      <c r="G20" s="6">
        <v>44.580199999999998</v>
      </c>
      <c r="H20" s="6">
        <v>9.6792200000000008</v>
      </c>
      <c r="I20" s="6">
        <v>89.481899999999996</v>
      </c>
      <c r="J20" s="6">
        <v>13.9543</v>
      </c>
      <c r="K20" s="6">
        <v>7.3233199999999998</v>
      </c>
      <c r="L20" s="6">
        <v>621.29193999999995</v>
      </c>
    </row>
    <row r="21" spans="1:12">
      <c r="A21" s="12" t="s">
        <v>82</v>
      </c>
      <c r="B21" s="6">
        <v>200.54900000000001</v>
      </c>
      <c r="C21" s="6">
        <v>14.821999999999999</v>
      </c>
      <c r="D21" s="6">
        <v>11.6364</v>
      </c>
      <c r="E21" s="6">
        <v>79.806799999999996</v>
      </c>
      <c r="F21" s="6">
        <v>133.702</v>
      </c>
      <c r="G21" s="6">
        <v>21.046800000000001</v>
      </c>
      <c r="H21" s="6">
        <v>11.890700000000001</v>
      </c>
      <c r="I21" s="6">
        <v>54.426699999999997</v>
      </c>
      <c r="J21" s="6">
        <v>9.5316600000000005</v>
      </c>
      <c r="K21" s="6">
        <v>17.2928</v>
      </c>
      <c r="L21" s="6">
        <v>554.70486000000005</v>
      </c>
    </row>
    <row r="22" spans="1:12">
      <c r="A22" s="12" t="s">
        <v>83</v>
      </c>
      <c r="B22" s="6">
        <v>70.133499999999998</v>
      </c>
      <c r="C22" s="6">
        <v>25.314</v>
      </c>
      <c r="D22" s="6">
        <v>0</v>
      </c>
      <c r="E22" s="6">
        <v>31.977900000000002</v>
      </c>
      <c r="F22" s="6">
        <v>28.871300000000002</v>
      </c>
      <c r="G22" s="6">
        <v>11.7811</v>
      </c>
      <c r="H22" s="6">
        <v>5.0685399999999996</v>
      </c>
      <c r="I22" s="6">
        <v>257.71899999999999</v>
      </c>
      <c r="J22" s="6">
        <v>21.600300000000001</v>
      </c>
      <c r="K22" s="6">
        <v>50.433700000000002</v>
      </c>
      <c r="L22" s="6">
        <v>502.89934</v>
      </c>
    </row>
    <row r="23" spans="1:12">
      <c r="A23" s="12" t="s">
        <v>84</v>
      </c>
      <c r="B23" s="6">
        <v>70.886899999999997</v>
      </c>
      <c r="C23" s="6">
        <v>9.1143199999999993</v>
      </c>
      <c r="D23" s="6">
        <v>39.489600000000003</v>
      </c>
      <c r="E23" s="6">
        <v>25.313400000000001</v>
      </c>
      <c r="F23" s="6">
        <v>108.768</v>
      </c>
      <c r="G23" s="6">
        <v>46.003700000000002</v>
      </c>
      <c r="H23" s="6">
        <v>17.783899999999999</v>
      </c>
      <c r="I23" s="6">
        <v>126.477</v>
      </c>
      <c r="J23" s="6">
        <v>9.1476299999999995</v>
      </c>
      <c r="K23" s="6">
        <v>21.480899999999998</v>
      </c>
      <c r="L23" s="6">
        <v>474.46535</v>
      </c>
    </row>
    <row r="24" spans="1:12">
      <c r="A24" s="12" t="s">
        <v>85</v>
      </c>
      <c r="B24" s="6">
        <v>223.56</v>
      </c>
      <c r="C24" s="6">
        <v>91.637799999999999</v>
      </c>
      <c r="D24" s="6">
        <v>0</v>
      </c>
      <c r="E24" s="6">
        <v>155.464</v>
      </c>
      <c r="F24" s="6">
        <v>171.79</v>
      </c>
      <c r="G24" s="6">
        <v>68.026700000000005</v>
      </c>
      <c r="H24" s="6">
        <v>38.631500000000003</v>
      </c>
      <c r="I24" s="6">
        <v>60.585000000000001</v>
      </c>
      <c r="J24" s="6">
        <v>18.5197</v>
      </c>
      <c r="K24" s="6">
        <v>6.0787300000000002</v>
      </c>
      <c r="L24" s="6">
        <v>834.29342999999994</v>
      </c>
    </row>
    <row r="25" spans="1:12">
      <c r="A25" s="12" t="s">
        <v>66</v>
      </c>
      <c r="B25" s="6">
        <v>120.851</v>
      </c>
      <c r="C25" s="6">
        <v>49.302999999999997</v>
      </c>
      <c r="D25" s="6">
        <v>12.8132</v>
      </c>
      <c r="E25" s="6">
        <v>69.171999999999997</v>
      </c>
      <c r="F25" s="6">
        <v>101.233</v>
      </c>
      <c r="G25" s="6">
        <v>31.0456</v>
      </c>
      <c r="H25" s="6">
        <v>12.8667</v>
      </c>
      <c r="I25" s="6">
        <v>115.35899999999999</v>
      </c>
      <c r="J25" s="6">
        <v>19.259699999999999</v>
      </c>
      <c r="K25" s="6">
        <v>23.605399999999999</v>
      </c>
      <c r="L25" s="6">
        <v>555.5086</v>
      </c>
    </row>
    <row r="26" spans="1:12">
      <c r="A26" s="12" t="s">
        <v>66</v>
      </c>
      <c r="B26" s="6">
        <v>107.654</v>
      </c>
      <c r="C26" s="6">
        <v>61.096499999999999</v>
      </c>
      <c r="D26" s="6">
        <v>5.23346</v>
      </c>
      <c r="E26" s="6">
        <v>34.681600000000003</v>
      </c>
      <c r="F26" s="6">
        <v>119.53</v>
      </c>
      <c r="G26" s="6">
        <v>38.773600000000002</v>
      </c>
      <c r="H26" s="6">
        <v>8.9772700000000007</v>
      </c>
      <c r="I26" s="6">
        <v>90.693399999999997</v>
      </c>
      <c r="J26" s="6">
        <v>20.805599999999998</v>
      </c>
      <c r="K26" s="6">
        <v>54.773699999999998</v>
      </c>
      <c r="L26" s="6">
        <v>542.21912999999995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Header>&amp;F</oddHeader>
    <oddFooter>Prepared by Alan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E65"/>
  <sheetViews>
    <sheetView workbookViewId="0"/>
  </sheetViews>
  <sheetFormatPr defaultColWidth="8.85546875" defaultRowHeight="14.45"/>
  <cols>
    <col min="1" max="2" width="7.5703125" style="2" customWidth="1"/>
    <col min="3" max="12" width="6.85546875" style="2" customWidth="1"/>
    <col min="13" max="13" width="8.85546875" style="2"/>
    <col min="14" max="14" width="10" style="2" customWidth="1"/>
    <col min="15" max="16384" width="8.85546875" style="2"/>
  </cols>
  <sheetData>
    <row r="1" spans="1:31">
      <c r="A1" s="2" t="str">
        <f>stand</f>
        <v>Forest</v>
      </c>
      <c r="E1" s="2" t="s">
        <v>86</v>
      </c>
      <c r="P1" s="58"/>
      <c r="T1" s="2" t="str">
        <f>stand</f>
        <v>Forest</v>
      </c>
      <c r="U1" s="2">
        <v>1996</v>
      </c>
      <c r="X1" s="2" t="s">
        <v>87</v>
      </c>
    </row>
    <row r="2" spans="1:31">
      <c r="A2" s="12" t="s">
        <v>14</v>
      </c>
      <c r="B2" s="12" t="s">
        <v>34</v>
      </c>
      <c r="C2" s="12" t="s">
        <v>24</v>
      </c>
      <c r="D2" s="12" t="s">
        <v>25</v>
      </c>
      <c r="E2" s="12" t="s">
        <v>26</v>
      </c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2" t="s">
        <v>88</v>
      </c>
      <c r="N2" s="12" t="s">
        <v>89</v>
      </c>
      <c r="P2" s="59" t="s">
        <v>90</v>
      </c>
      <c r="Q2" s="2">
        <v>0.12</v>
      </c>
      <c r="R2" s="4" t="s">
        <v>91</v>
      </c>
      <c r="T2" s="12" t="s">
        <v>14</v>
      </c>
      <c r="U2" s="12" t="s">
        <v>34</v>
      </c>
      <c r="V2" s="12" t="s">
        <v>24</v>
      </c>
      <c r="W2" s="12" t="s">
        <v>25</v>
      </c>
      <c r="X2" s="12" t="s">
        <v>26</v>
      </c>
      <c r="Y2" s="12" t="s">
        <v>27</v>
      </c>
      <c r="Z2" s="12" t="s">
        <v>28</v>
      </c>
      <c r="AA2" s="12" t="s">
        <v>29</v>
      </c>
      <c r="AB2" s="12" t="s">
        <v>30</v>
      </c>
      <c r="AC2" s="12" t="s">
        <v>31</v>
      </c>
      <c r="AD2" s="12" t="s">
        <v>32</v>
      </c>
      <c r="AE2" s="12" t="s">
        <v>33</v>
      </c>
    </row>
    <row r="3" spans="1:31">
      <c r="A3" s="12">
        <v>24</v>
      </c>
      <c r="B3" s="6">
        <f>SUM(C3:L3)</f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7"/>
      <c r="N3" s="7"/>
      <c r="P3" s="58" t="e">
        <f>SUM(K3:L3)/B3</f>
        <v>#DIV/0!</v>
      </c>
      <c r="Q3" s="2">
        <f>$Q$2*B3</f>
        <v>0</v>
      </c>
      <c r="R3" s="5">
        <f>Q3-SUM(K3:L3)</f>
        <v>0</v>
      </c>
      <c r="T3" s="12">
        <v>24</v>
      </c>
      <c r="U3" s="6" t="e">
        <f>SUM(V3:AE3)</f>
        <v>#DIV/0!</v>
      </c>
      <c r="V3" s="6" t="e">
        <f t="shared" ref="V3:AC13" si="0">(C3/($B3-($K3+$L3))*($B3-$Q3))</f>
        <v>#DIV/0!</v>
      </c>
      <c r="W3" s="6" t="e">
        <f t="shared" si="0"/>
        <v>#DIV/0!</v>
      </c>
      <c r="X3" s="6" t="e">
        <f t="shared" si="0"/>
        <v>#DIV/0!</v>
      </c>
      <c r="Y3" s="6" t="e">
        <f t="shared" si="0"/>
        <v>#DIV/0!</v>
      </c>
      <c r="Z3" s="6" t="e">
        <f t="shared" si="0"/>
        <v>#DIV/0!</v>
      </c>
      <c r="AA3" s="6" t="e">
        <f t="shared" si="0"/>
        <v>#DIV/0!</v>
      </c>
      <c r="AB3" s="6" t="e">
        <f t="shared" si="0"/>
        <v>#DIV/0!</v>
      </c>
      <c r="AC3" s="6" t="e">
        <f t="shared" si="0"/>
        <v>#DIV/0!</v>
      </c>
      <c r="AD3" s="6">
        <f t="shared" ref="AD3:AD13" si="1">0.5*Q3</f>
        <v>0</v>
      </c>
      <c r="AE3" s="50">
        <f t="shared" ref="AE3:AE13" si="2">0.5*Q3</f>
        <v>0</v>
      </c>
    </row>
    <row r="4" spans="1:31">
      <c r="A4" s="12">
        <v>25</v>
      </c>
      <c r="B4" s="6">
        <f t="shared" ref="B4:B13" si="3">SUM(C4:L4)</f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7"/>
      <c r="N4" s="7"/>
      <c r="P4" s="58" t="e">
        <f t="shared" ref="P4:P13" si="4">SUM(K4:L4)/B4</f>
        <v>#DIV/0!</v>
      </c>
      <c r="Q4" s="2">
        <f t="shared" ref="Q4:Q13" si="5">$Q$2*B4</f>
        <v>0</v>
      </c>
      <c r="R4" s="5">
        <f t="shared" ref="R4:R13" si="6">Q4-SUM(K4:L4)</f>
        <v>0</v>
      </c>
      <c r="T4" s="12">
        <v>25</v>
      </c>
      <c r="U4" s="6" t="e">
        <f t="shared" ref="U4:U13" si="7">SUM(V4:AE4)</f>
        <v>#DIV/0!</v>
      </c>
      <c r="V4" s="6" t="e">
        <f t="shared" si="0"/>
        <v>#DIV/0!</v>
      </c>
      <c r="W4" s="6" t="e">
        <f t="shared" si="0"/>
        <v>#DIV/0!</v>
      </c>
      <c r="X4" s="6" t="e">
        <f t="shared" si="0"/>
        <v>#DIV/0!</v>
      </c>
      <c r="Y4" s="6" t="e">
        <f t="shared" si="0"/>
        <v>#DIV/0!</v>
      </c>
      <c r="Z4" s="6" t="e">
        <f t="shared" si="0"/>
        <v>#DIV/0!</v>
      </c>
      <c r="AA4" s="6" t="e">
        <f t="shared" si="0"/>
        <v>#DIV/0!</v>
      </c>
      <c r="AB4" s="6" t="e">
        <f t="shared" si="0"/>
        <v>#DIV/0!</v>
      </c>
      <c r="AC4" s="6" t="e">
        <f t="shared" si="0"/>
        <v>#DIV/0!</v>
      </c>
      <c r="AD4" s="6">
        <f t="shared" si="1"/>
        <v>0</v>
      </c>
      <c r="AE4" s="6">
        <f t="shared" si="2"/>
        <v>0</v>
      </c>
    </row>
    <row r="5" spans="1:31">
      <c r="A5" s="12">
        <v>26</v>
      </c>
      <c r="B5" s="6">
        <f t="shared" si="3"/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7"/>
      <c r="N5" s="7"/>
      <c r="P5" s="58" t="e">
        <f t="shared" si="4"/>
        <v>#DIV/0!</v>
      </c>
      <c r="Q5" s="2">
        <f t="shared" si="5"/>
        <v>0</v>
      </c>
      <c r="R5" s="5">
        <f t="shared" si="6"/>
        <v>0</v>
      </c>
      <c r="T5" s="12">
        <v>26</v>
      </c>
      <c r="U5" s="6" t="e">
        <f t="shared" si="7"/>
        <v>#DIV/0!</v>
      </c>
      <c r="V5" s="6" t="e">
        <f t="shared" si="0"/>
        <v>#DIV/0!</v>
      </c>
      <c r="W5" s="6" t="e">
        <f t="shared" si="0"/>
        <v>#DIV/0!</v>
      </c>
      <c r="X5" s="6" t="e">
        <f t="shared" si="0"/>
        <v>#DIV/0!</v>
      </c>
      <c r="Y5" s="6" t="e">
        <f t="shared" si="0"/>
        <v>#DIV/0!</v>
      </c>
      <c r="Z5" s="6" t="e">
        <f t="shared" si="0"/>
        <v>#DIV/0!</v>
      </c>
      <c r="AA5" s="6" t="e">
        <f t="shared" si="0"/>
        <v>#DIV/0!</v>
      </c>
      <c r="AB5" s="6" t="e">
        <f t="shared" si="0"/>
        <v>#DIV/0!</v>
      </c>
      <c r="AC5" s="6" t="e">
        <f t="shared" si="0"/>
        <v>#DIV/0!</v>
      </c>
      <c r="AD5" s="6">
        <f t="shared" si="1"/>
        <v>0</v>
      </c>
      <c r="AE5" s="6">
        <f t="shared" si="2"/>
        <v>0</v>
      </c>
    </row>
    <row r="6" spans="1:31">
      <c r="A6" s="12">
        <v>27</v>
      </c>
      <c r="B6" s="6">
        <f t="shared" si="3"/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7"/>
      <c r="N6" s="7"/>
      <c r="P6" s="58" t="e">
        <f t="shared" si="4"/>
        <v>#DIV/0!</v>
      </c>
      <c r="Q6" s="2">
        <f t="shared" si="5"/>
        <v>0</v>
      </c>
      <c r="R6" s="5">
        <f t="shared" si="6"/>
        <v>0</v>
      </c>
      <c r="T6" s="12">
        <v>27</v>
      </c>
      <c r="U6" s="6" t="e">
        <f t="shared" si="7"/>
        <v>#DIV/0!</v>
      </c>
      <c r="V6" s="6" t="e">
        <f t="shared" si="0"/>
        <v>#DIV/0!</v>
      </c>
      <c r="W6" s="6" t="e">
        <f t="shared" si="0"/>
        <v>#DIV/0!</v>
      </c>
      <c r="X6" s="6" t="e">
        <f t="shared" si="0"/>
        <v>#DIV/0!</v>
      </c>
      <c r="Y6" s="6" t="e">
        <f t="shared" si="0"/>
        <v>#DIV/0!</v>
      </c>
      <c r="Z6" s="6" t="e">
        <f t="shared" si="0"/>
        <v>#DIV/0!</v>
      </c>
      <c r="AA6" s="6" t="e">
        <f t="shared" si="0"/>
        <v>#DIV/0!</v>
      </c>
      <c r="AB6" s="6" t="e">
        <f t="shared" si="0"/>
        <v>#DIV/0!</v>
      </c>
      <c r="AC6" s="6" t="e">
        <f t="shared" si="0"/>
        <v>#DIV/0!</v>
      </c>
      <c r="AD6" s="6">
        <f t="shared" si="1"/>
        <v>0</v>
      </c>
      <c r="AE6" s="6">
        <f t="shared" si="2"/>
        <v>0</v>
      </c>
    </row>
    <row r="7" spans="1:31">
      <c r="A7" s="12">
        <v>28</v>
      </c>
      <c r="B7" s="6">
        <f t="shared" si="3"/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7"/>
      <c r="N7" s="7"/>
      <c r="P7" s="58" t="e">
        <f t="shared" si="4"/>
        <v>#DIV/0!</v>
      </c>
      <c r="Q7" s="2">
        <f t="shared" si="5"/>
        <v>0</v>
      </c>
      <c r="R7" s="5">
        <f t="shared" si="6"/>
        <v>0</v>
      </c>
      <c r="T7" s="12">
        <v>28</v>
      </c>
      <c r="U7" s="6" t="e">
        <f t="shared" si="7"/>
        <v>#DIV/0!</v>
      </c>
      <c r="V7" s="6" t="e">
        <f t="shared" si="0"/>
        <v>#DIV/0!</v>
      </c>
      <c r="W7" s="6" t="e">
        <f t="shared" si="0"/>
        <v>#DIV/0!</v>
      </c>
      <c r="X7" s="6" t="e">
        <f t="shared" si="0"/>
        <v>#DIV/0!</v>
      </c>
      <c r="Y7" s="6" t="e">
        <f t="shared" si="0"/>
        <v>#DIV/0!</v>
      </c>
      <c r="Z7" s="6" t="e">
        <f t="shared" si="0"/>
        <v>#DIV/0!</v>
      </c>
      <c r="AA7" s="6" t="e">
        <f t="shared" si="0"/>
        <v>#DIV/0!</v>
      </c>
      <c r="AB7" s="6" t="e">
        <f t="shared" si="0"/>
        <v>#DIV/0!</v>
      </c>
      <c r="AC7" s="6" t="e">
        <f t="shared" si="0"/>
        <v>#DIV/0!</v>
      </c>
      <c r="AD7" s="6">
        <f t="shared" si="1"/>
        <v>0</v>
      </c>
      <c r="AE7" s="6">
        <f t="shared" si="2"/>
        <v>0</v>
      </c>
    </row>
    <row r="8" spans="1:31">
      <c r="A8" s="12">
        <v>29</v>
      </c>
      <c r="B8" s="6">
        <f t="shared" si="3"/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7"/>
      <c r="N8" s="7"/>
      <c r="P8" s="58" t="e">
        <f t="shared" si="4"/>
        <v>#DIV/0!</v>
      </c>
      <c r="Q8" s="2">
        <f t="shared" si="5"/>
        <v>0</v>
      </c>
      <c r="R8" s="5">
        <f t="shared" si="6"/>
        <v>0</v>
      </c>
      <c r="T8" s="12">
        <v>29</v>
      </c>
      <c r="U8" s="6" t="e">
        <f t="shared" si="7"/>
        <v>#DIV/0!</v>
      </c>
      <c r="V8" s="6" t="e">
        <f t="shared" si="0"/>
        <v>#DIV/0!</v>
      </c>
      <c r="W8" s="6" t="e">
        <f t="shared" si="0"/>
        <v>#DIV/0!</v>
      </c>
      <c r="X8" s="6" t="e">
        <f t="shared" si="0"/>
        <v>#DIV/0!</v>
      </c>
      <c r="Y8" s="6" t="e">
        <f t="shared" si="0"/>
        <v>#DIV/0!</v>
      </c>
      <c r="Z8" s="6" t="e">
        <f t="shared" si="0"/>
        <v>#DIV/0!</v>
      </c>
      <c r="AA8" s="6" t="e">
        <f t="shared" si="0"/>
        <v>#DIV/0!</v>
      </c>
      <c r="AB8" s="6" t="e">
        <f t="shared" si="0"/>
        <v>#DIV/0!</v>
      </c>
      <c r="AC8" s="6" t="e">
        <f t="shared" si="0"/>
        <v>#DIV/0!</v>
      </c>
      <c r="AD8" s="6">
        <f t="shared" si="1"/>
        <v>0</v>
      </c>
      <c r="AE8" s="6">
        <f t="shared" si="2"/>
        <v>0</v>
      </c>
    </row>
    <row r="9" spans="1:31">
      <c r="A9" s="12">
        <v>30</v>
      </c>
      <c r="B9" s="6">
        <f t="shared" si="3"/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7"/>
      <c r="N9" s="7"/>
      <c r="P9" s="58" t="e">
        <f t="shared" si="4"/>
        <v>#DIV/0!</v>
      </c>
      <c r="Q9" s="2">
        <f t="shared" si="5"/>
        <v>0</v>
      </c>
      <c r="R9" s="5">
        <f t="shared" si="6"/>
        <v>0</v>
      </c>
      <c r="T9" s="12">
        <v>30</v>
      </c>
      <c r="U9" s="6" t="e">
        <f t="shared" si="7"/>
        <v>#DIV/0!</v>
      </c>
      <c r="V9" s="6" t="e">
        <f t="shared" si="0"/>
        <v>#DIV/0!</v>
      </c>
      <c r="W9" s="6" t="e">
        <f t="shared" si="0"/>
        <v>#DIV/0!</v>
      </c>
      <c r="X9" s="6" t="e">
        <f t="shared" si="0"/>
        <v>#DIV/0!</v>
      </c>
      <c r="Y9" s="6" t="e">
        <f t="shared" si="0"/>
        <v>#DIV/0!</v>
      </c>
      <c r="Z9" s="6" t="e">
        <f t="shared" si="0"/>
        <v>#DIV/0!</v>
      </c>
      <c r="AA9" s="6" t="e">
        <f t="shared" si="0"/>
        <v>#DIV/0!</v>
      </c>
      <c r="AB9" s="6" t="e">
        <f t="shared" si="0"/>
        <v>#DIV/0!</v>
      </c>
      <c r="AC9" s="6" t="e">
        <f t="shared" si="0"/>
        <v>#DIV/0!</v>
      </c>
      <c r="AD9" s="6">
        <f t="shared" si="1"/>
        <v>0</v>
      </c>
      <c r="AE9" s="6">
        <f t="shared" si="2"/>
        <v>0</v>
      </c>
    </row>
    <row r="10" spans="1:31">
      <c r="A10" s="12">
        <v>31</v>
      </c>
      <c r="B10" s="6">
        <f t="shared" si="3"/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7"/>
      <c r="N10" s="7"/>
      <c r="P10" s="58" t="e">
        <f t="shared" si="4"/>
        <v>#DIV/0!</v>
      </c>
      <c r="Q10" s="2">
        <f t="shared" si="5"/>
        <v>0</v>
      </c>
      <c r="R10" s="5">
        <f t="shared" si="6"/>
        <v>0</v>
      </c>
      <c r="T10" s="12">
        <v>31</v>
      </c>
      <c r="U10" s="6" t="e">
        <f t="shared" si="7"/>
        <v>#DIV/0!</v>
      </c>
      <c r="V10" s="6" t="e">
        <f t="shared" si="0"/>
        <v>#DIV/0!</v>
      </c>
      <c r="W10" s="6" t="e">
        <f t="shared" si="0"/>
        <v>#DIV/0!</v>
      </c>
      <c r="X10" s="6" t="e">
        <f t="shared" si="0"/>
        <v>#DIV/0!</v>
      </c>
      <c r="Y10" s="6" t="e">
        <f t="shared" si="0"/>
        <v>#DIV/0!</v>
      </c>
      <c r="Z10" s="6" t="e">
        <f t="shared" si="0"/>
        <v>#DIV/0!</v>
      </c>
      <c r="AA10" s="6" t="e">
        <f t="shared" si="0"/>
        <v>#DIV/0!</v>
      </c>
      <c r="AB10" s="6" t="e">
        <f t="shared" si="0"/>
        <v>#DIV/0!</v>
      </c>
      <c r="AC10" s="6" t="e">
        <f t="shared" si="0"/>
        <v>#DIV/0!</v>
      </c>
      <c r="AD10" s="6">
        <f t="shared" si="1"/>
        <v>0</v>
      </c>
      <c r="AE10" s="6">
        <f t="shared" si="2"/>
        <v>0</v>
      </c>
    </row>
    <row r="11" spans="1:31">
      <c r="A11" s="12">
        <v>32</v>
      </c>
      <c r="B11" s="6">
        <f t="shared" si="3"/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7"/>
      <c r="N11" s="7"/>
      <c r="P11" s="58" t="e">
        <f t="shared" si="4"/>
        <v>#DIV/0!</v>
      </c>
      <c r="Q11" s="2">
        <f t="shared" si="5"/>
        <v>0</v>
      </c>
      <c r="R11" s="5">
        <f t="shared" si="6"/>
        <v>0</v>
      </c>
      <c r="T11" s="12">
        <v>32</v>
      </c>
      <c r="U11" s="6" t="e">
        <f t="shared" si="7"/>
        <v>#DIV/0!</v>
      </c>
      <c r="V11" s="6" t="e">
        <f t="shared" si="0"/>
        <v>#DIV/0!</v>
      </c>
      <c r="W11" s="6" t="e">
        <f t="shared" si="0"/>
        <v>#DIV/0!</v>
      </c>
      <c r="X11" s="6" t="e">
        <f t="shared" si="0"/>
        <v>#DIV/0!</v>
      </c>
      <c r="Y11" s="6" t="e">
        <f t="shared" si="0"/>
        <v>#DIV/0!</v>
      </c>
      <c r="Z11" s="6" t="e">
        <f t="shared" si="0"/>
        <v>#DIV/0!</v>
      </c>
      <c r="AA11" s="6" t="e">
        <f t="shared" si="0"/>
        <v>#DIV/0!</v>
      </c>
      <c r="AB11" s="6" t="e">
        <f t="shared" si="0"/>
        <v>#DIV/0!</v>
      </c>
      <c r="AC11" s="6" t="e">
        <f t="shared" si="0"/>
        <v>#DIV/0!</v>
      </c>
      <c r="AD11" s="6">
        <f t="shared" si="1"/>
        <v>0</v>
      </c>
      <c r="AE11" s="6">
        <f t="shared" si="2"/>
        <v>0</v>
      </c>
    </row>
    <row r="12" spans="1:31">
      <c r="A12" s="12">
        <v>33</v>
      </c>
      <c r="B12" s="6">
        <f t="shared" si="3"/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7"/>
      <c r="N12" s="7"/>
      <c r="P12" s="58" t="e">
        <f t="shared" si="4"/>
        <v>#DIV/0!</v>
      </c>
      <c r="Q12" s="2">
        <f t="shared" si="5"/>
        <v>0</v>
      </c>
      <c r="R12" s="5">
        <f t="shared" si="6"/>
        <v>0</v>
      </c>
      <c r="T12" s="12">
        <v>33</v>
      </c>
      <c r="U12" s="6" t="e">
        <f t="shared" si="7"/>
        <v>#DIV/0!</v>
      </c>
      <c r="V12" s="6" t="e">
        <f t="shared" si="0"/>
        <v>#DIV/0!</v>
      </c>
      <c r="W12" s="6" t="e">
        <f t="shared" si="0"/>
        <v>#DIV/0!</v>
      </c>
      <c r="X12" s="6" t="e">
        <f t="shared" si="0"/>
        <v>#DIV/0!</v>
      </c>
      <c r="Y12" s="6" t="e">
        <f t="shared" si="0"/>
        <v>#DIV/0!</v>
      </c>
      <c r="Z12" s="6" t="e">
        <f t="shared" si="0"/>
        <v>#DIV/0!</v>
      </c>
      <c r="AA12" s="6" t="e">
        <f t="shared" si="0"/>
        <v>#DIV/0!</v>
      </c>
      <c r="AB12" s="6" t="e">
        <f t="shared" si="0"/>
        <v>#DIV/0!</v>
      </c>
      <c r="AC12" s="6" t="e">
        <f t="shared" si="0"/>
        <v>#DIV/0!</v>
      </c>
      <c r="AD12" s="6">
        <f t="shared" si="1"/>
        <v>0</v>
      </c>
      <c r="AE12" s="6">
        <f t="shared" si="2"/>
        <v>0</v>
      </c>
    </row>
    <row r="13" spans="1:31">
      <c r="A13" s="12">
        <v>34</v>
      </c>
      <c r="B13" s="6">
        <f t="shared" si="3"/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7"/>
      <c r="N13" s="7"/>
      <c r="P13" s="58" t="e">
        <f t="shared" si="4"/>
        <v>#DIV/0!</v>
      </c>
      <c r="Q13" s="2">
        <f t="shared" si="5"/>
        <v>0</v>
      </c>
      <c r="R13" s="5">
        <f t="shared" si="6"/>
        <v>0</v>
      </c>
      <c r="T13" s="12">
        <v>34</v>
      </c>
      <c r="U13" s="6" t="e">
        <f t="shared" si="7"/>
        <v>#DIV/0!</v>
      </c>
      <c r="V13" s="6" t="e">
        <f t="shared" si="0"/>
        <v>#DIV/0!</v>
      </c>
      <c r="W13" s="6" t="e">
        <f t="shared" si="0"/>
        <v>#DIV/0!</v>
      </c>
      <c r="X13" s="6" t="e">
        <f t="shared" si="0"/>
        <v>#DIV/0!</v>
      </c>
      <c r="Y13" s="6" t="e">
        <f t="shared" si="0"/>
        <v>#DIV/0!</v>
      </c>
      <c r="Z13" s="6" t="e">
        <f t="shared" si="0"/>
        <v>#DIV/0!</v>
      </c>
      <c r="AA13" s="6" t="e">
        <f t="shared" si="0"/>
        <v>#DIV/0!</v>
      </c>
      <c r="AB13" s="6" t="e">
        <f t="shared" si="0"/>
        <v>#DIV/0!</v>
      </c>
      <c r="AC13" s="6" t="e">
        <f t="shared" si="0"/>
        <v>#DIV/0!</v>
      </c>
      <c r="AD13" s="6">
        <f t="shared" si="1"/>
        <v>0</v>
      </c>
      <c r="AE13" s="6">
        <f t="shared" si="2"/>
        <v>0</v>
      </c>
    </row>
    <row r="15" spans="1:31">
      <c r="A15" s="2" t="s">
        <v>92</v>
      </c>
    </row>
    <row r="18" spans="1:14">
      <c r="A18" s="2" t="str">
        <f>stand</f>
        <v>Forest</v>
      </c>
      <c r="E18" s="2" t="s">
        <v>86</v>
      </c>
    </row>
    <row r="19" spans="1:14">
      <c r="A19" s="12" t="s">
        <v>14</v>
      </c>
      <c r="B19" s="12" t="s">
        <v>34</v>
      </c>
      <c r="C19" s="12" t="s">
        <v>24</v>
      </c>
      <c r="D19" s="12" t="s">
        <v>25</v>
      </c>
      <c r="E19" s="12" t="s">
        <v>26</v>
      </c>
      <c r="F19" s="12" t="s">
        <v>27</v>
      </c>
      <c r="G19" s="12" t="s">
        <v>28</v>
      </c>
      <c r="H19" s="12" t="s">
        <v>29</v>
      </c>
      <c r="I19" s="12" t="s">
        <v>30</v>
      </c>
      <c r="J19" s="12" t="s">
        <v>31</v>
      </c>
      <c r="K19" s="12" t="s">
        <v>32</v>
      </c>
      <c r="L19" s="12" t="s">
        <v>33</v>
      </c>
      <c r="M19" s="12" t="s">
        <v>88</v>
      </c>
      <c r="N19" s="12" t="s">
        <v>89</v>
      </c>
    </row>
    <row r="20" spans="1:14">
      <c r="A20" s="12">
        <v>24</v>
      </c>
      <c r="B20" s="6">
        <f>SUM(C20:L20)</f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7"/>
      <c r="N20" s="7"/>
    </row>
    <row r="21" spans="1:14">
      <c r="A21" s="12">
        <v>25</v>
      </c>
      <c r="B21" s="6">
        <f t="shared" ref="B21:B30" si="8">SUM(C21:L21)</f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7"/>
      <c r="N21" s="7"/>
    </row>
    <row r="22" spans="1:14">
      <c r="A22" s="12">
        <v>26</v>
      </c>
      <c r="B22" s="6">
        <f t="shared" si="8"/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7"/>
      <c r="N22" s="7"/>
    </row>
    <row r="23" spans="1:14">
      <c r="A23" s="12">
        <v>27</v>
      </c>
      <c r="B23" s="6">
        <f t="shared" si="8"/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7"/>
      <c r="N23" s="7"/>
    </row>
    <row r="24" spans="1:14">
      <c r="A24" s="12">
        <v>28</v>
      </c>
      <c r="B24" s="6">
        <f t="shared" si="8"/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7"/>
      <c r="N24" s="7"/>
    </row>
    <row r="25" spans="1:14">
      <c r="A25" s="12">
        <v>29</v>
      </c>
      <c r="B25" s="6">
        <f t="shared" si="8"/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7"/>
      <c r="N25" s="7"/>
    </row>
    <row r="26" spans="1:14">
      <c r="A26" s="12">
        <v>30</v>
      </c>
      <c r="B26" s="6">
        <f t="shared" si="8"/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7"/>
      <c r="N26" s="7"/>
    </row>
    <row r="27" spans="1:14">
      <c r="A27" s="12">
        <v>31</v>
      </c>
      <c r="B27" s="6">
        <f t="shared" si="8"/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7"/>
      <c r="N27" s="7"/>
    </row>
    <row r="28" spans="1:14">
      <c r="A28" s="12">
        <v>32</v>
      </c>
      <c r="B28" s="6">
        <f t="shared" si="8"/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7"/>
      <c r="N28" s="7"/>
    </row>
    <row r="29" spans="1:14">
      <c r="A29" s="12">
        <v>33</v>
      </c>
      <c r="B29" s="6">
        <f t="shared" si="8"/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7"/>
      <c r="N29" s="7"/>
    </row>
    <row r="30" spans="1:14">
      <c r="A30" s="12">
        <v>34</v>
      </c>
      <c r="B30" s="6">
        <f t="shared" si="8"/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7"/>
      <c r="N30" s="7"/>
    </row>
    <row r="32" spans="1:14">
      <c r="A32" s="2" t="s">
        <v>92</v>
      </c>
    </row>
    <row r="34" spans="1:14">
      <c r="A34" s="2" t="str">
        <f>stand</f>
        <v>Forest</v>
      </c>
      <c r="E34" s="2" t="s">
        <v>86</v>
      </c>
    </row>
    <row r="35" spans="1:14">
      <c r="A35" s="12" t="s">
        <v>14</v>
      </c>
      <c r="B35" s="12" t="s">
        <v>34</v>
      </c>
      <c r="C35" s="12" t="s">
        <v>24</v>
      </c>
      <c r="D35" s="12" t="s">
        <v>25</v>
      </c>
      <c r="E35" s="12" t="s">
        <v>26</v>
      </c>
      <c r="F35" s="12" t="s">
        <v>27</v>
      </c>
      <c r="G35" s="12" t="s">
        <v>28</v>
      </c>
      <c r="H35" s="12" t="s">
        <v>29</v>
      </c>
      <c r="I35" s="12" t="s">
        <v>30</v>
      </c>
      <c r="J35" s="12" t="s">
        <v>31</v>
      </c>
      <c r="K35" s="12" t="s">
        <v>32</v>
      </c>
      <c r="L35" s="12" t="s">
        <v>33</v>
      </c>
      <c r="M35" s="12" t="s">
        <v>88</v>
      </c>
      <c r="N35" s="12" t="s">
        <v>89</v>
      </c>
    </row>
    <row r="36" spans="1:14">
      <c r="A36" s="12">
        <v>24</v>
      </c>
      <c r="B36" s="6">
        <f>SUM(C36:L36)</f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7"/>
      <c r="N36" s="7"/>
    </row>
    <row r="37" spans="1:14">
      <c r="A37" s="12">
        <v>25</v>
      </c>
      <c r="B37" s="6">
        <f t="shared" ref="B37:B46" si="9">SUM(C37:L37)</f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7"/>
      <c r="N37" s="7"/>
    </row>
    <row r="38" spans="1:14">
      <c r="A38" s="12">
        <v>26</v>
      </c>
      <c r="B38" s="6">
        <f t="shared" si="9"/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7"/>
      <c r="N38" s="7"/>
    </row>
    <row r="39" spans="1:14">
      <c r="A39" s="12">
        <v>27</v>
      </c>
      <c r="B39" s="6">
        <f t="shared" si="9"/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7"/>
      <c r="N39" s="7"/>
    </row>
    <row r="40" spans="1:14">
      <c r="A40" s="12">
        <v>28</v>
      </c>
      <c r="B40" s="6">
        <f t="shared" si="9"/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7"/>
      <c r="N40" s="7"/>
    </row>
    <row r="41" spans="1:14">
      <c r="A41" s="12">
        <v>29</v>
      </c>
      <c r="B41" s="6">
        <f t="shared" si="9"/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7"/>
      <c r="N41" s="7"/>
    </row>
    <row r="42" spans="1:14">
      <c r="A42" s="12">
        <v>30</v>
      </c>
      <c r="B42" s="6">
        <f t="shared" si="9"/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7"/>
      <c r="N42" s="7"/>
    </row>
    <row r="43" spans="1:14">
      <c r="A43" s="12">
        <v>31</v>
      </c>
      <c r="B43" s="6">
        <f t="shared" si="9"/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7"/>
      <c r="N43" s="7"/>
    </row>
    <row r="44" spans="1:14">
      <c r="A44" s="12">
        <v>32</v>
      </c>
      <c r="B44" s="6">
        <f t="shared" si="9"/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7"/>
      <c r="N44" s="7"/>
    </row>
    <row r="45" spans="1:14">
      <c r="A45" s="12">
        <v>33</v>
      </c>
      <c r="B45" s="6">
        <f t="shared" si="9"/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7"/>
      <c r="N45" s="7"/>
    </row>
    <row r="46" spans="1:14">
      <c r="A46" s="12">
        <v>34</v>
      </c>
      <c r="B46" s="6">
        <f t="shared" si="9"/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7"/>
      <c r="N46" s="7"/>
    </row>
    <row r="48" spans="1:14">
      <c r="A48" s="2" t="s">
        <v>92</v>
      </c>
    </row>
    <row r="51" spans="1:14">
      <c r="A51" s="2" t="str">
        <f>stand</f>
        <v>Forest</v>
      </c>
      <c r="E51" s="2" t="s">
        <v>86</v>
      </c>
    </row>
    <row r="52" spans="1:14">
      <c r="A52" s="12" t="s">
        <v>14</v>
      </c>
      <c r="B52" s="12" t="s">
        <v>34</v>
      </c>
      <c r="C52" s="12" t="s">
        <v>24</v>
      </c>
      <c r="D52" s="12" t="s">
        <v>25</v>
      </c>
      <c r="E52" s="12" t="s">
        <v>26</v>
      </c>
      <c r="F52" s="12" t="s">
        <v>27</v>
      </c>
      <c r="G52" s="12" t="s">
        <v>28</v>
      </c>
      <c r="H52" s="12" t="s">
        <v>29</v>
      </c>
      <c r="I52" s="12" t="s">
        <v>30</v>
      </c>
      <c r="J52" s="12" t="s">
        <v>31</v>
      </c>
      <c r="K52" s="12" t="s">
        <v>32</v>
      </c>
      <c r="L52" s="12" t="s">
        <v>33</v>
      </c>
      <c r="M52" s="12" t="s">
        <v>88</v>
      </c>
      <c r="N52" s="12" t="s">
        <v>89</v>
      </c>
    </row>
    <row r="53" spans="1:14">
      <c r="A53" s="12">
        <v>24</v>
      </c>
      <c r="B53" s="6">
        <f>SUM(C53:L53)</f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7"/>
      <c r="N53" s="7"/>
    </row>
    <row r="54" spans="1:14">
      <c r="A54" s="12">
        <v>25</v>
      </c>
      <c r="B54" s="6">
        <f t="shared" ref="B54:B63" si="10">SUM(C54:L54)</f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7"/>
      <c r="N54" s="7"/>
    </row>
    <row r="55" spans="1:14">
      <c r="A55" s="12">
        <v>26</v>
      </c>
      <c r="B55" s="6">
        <f t="shared" si="10"/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7"/>
      <c r="N55" s="7"/>
    </row>
    <row r="56" spans="1:14">
      <c r="A56" s="12">
        <v>27</v>
      </c>
      <c r="B56" s="6">
        <f t="shared" si="10"/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7"/>
      <c r="N56" s="7"/>
    </row>
    <row r="57" spans="1:14">
      <c r="A57" s="12">
        <v>28</v>
      </c>
      <c r="B57" s="6">
        <f t="shared" si="10"/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7"/>
      <c r="N57" s="7"/>
    </row>
    <row r="58" spans="1:14">
      <c r="A58" s="12">
        <v>29</v>
      </c>
      <c r="B58" s="6">
        <f t="shared" si="10"/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7"/>
      <c r="N58" s="7"/>
    </row>
    <row r="59" spans="1:14">
      <c r="A59" s="12">
        <v>30</v>
      </c>
      <c r="B59" s="6">
        <f t="shared" si="10"/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7"/>
      <c r="N59" s="7"/>
    </row>
    <row r="60" spans="1:14">
      <c r="A60" s="12">
        <v>31</v>
      </c>
      <c r="B60" s="6">
        <f t="shared" si="10"/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7"/>
      <c r="N60" s="7"/>
    </row>
    <row r="61" spans="1:14">
      <c r="A61" s="12">
        <v>32</v>
      </c>
      <c r="B61" s="6">
        <f t="shared" si="10"/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7"/>
      <c r="N61" s="7"/>
    </row>
    <row r="62" spans="1:14">
      <c r="A62" s="12">
        <v>33</v>
      </c>
      <c r="B62" s="6">
        <f t="shared" si="10"/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7"/>
      <c r="N62" s="7"/>
    </row>
    <row r="63" spans="1:14">
      <c r="A63" s="12">
        <v>34</v>
      </c>
      <c r="B63" s="6">
        <f t="shared" si="10"/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7"/>
      <c r="N63" s="7"/>
    </row>
    <row r="65" spans="1:1">
      <c r="A65" s="2" t="s">
        <v>92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&amp;F</oddHeader>
    <oddFooter>Prepared by Alan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95"/>
  <sheetViews>
    <sheetView workbookViewId="0">
      <selection activeCell="B6" sqref="B6:B15"/>
    </sheetView>
  </sheetViews>
  <sheetFormatPr defaultColWidth="8.85546875" defaultRowHeight="14.45"/>
  <cols>
    <col min="1" max="3" width="8.85546875" style="2"/>
    <col min="4" max="4" width="8.85546875" style="60"/>
    <col min="5" max="16384" width="8.85546875" style="2"/>
  </cols>
  <sheetData>
    <row r="1" spans="1:19">
      <c r="A1" s="2" t="s">
        <v>93</v>
      </c>
      <c r="B1" s="2" t="s">
        <v>94</v>
      </c>
      <c r="C1" s="2" t="s">
        <v>95</v>
      </c>
      <c r="D1" s="60" t="s">
        <v>96</v>
      </c>
      <c r="E1" s="2" t="s">
        <v>65</v>
      </c>
      <c r="F1" s="2">
        <v>28</v>
      </c>
      <c r="G1" s="2">
        <v>72.279799999999994</v>
      </c>
      <c r="H1" s="2">
        <v>39.307200000000002</v>
      </c>
      <c r="I1" s="2">
        <v>311.36200000000002</v>
      </c>
      <c r="J1" s="2">
        <v>888.60599999999999</v>
      </c>
      <c r="K1" s="2">
        <v>757.43600000000004</v>
      </c>
      <c r="L1" s="2">
        <v>0</v>
      </c>
      <c r="M1" s="2">
        <v>1</v>
      </c>
      <c r="N1" s="2">
        <v>1</v>
      </c>
      <c r="O1" s="2">
        <v>83676.7</v>
      </c>
      <c r="P1" s="2">
        <v>0</v>
      </c>
      <c r="Q1" s="2">
        <v>0</v>
      </c>
      <c r="R1" s="2">
        <v>350.8</v>
      </c>
      <c r="S1" s="2">
        <v>0</v>
      </c>
    </row>
    <row r="2" spans="1:19">
      <c r="A2" s="2" t="s">
        <v>97</v>
      </c>
      <c r="B2" s="2" t="s">
        <v>98</v>
      </c>
      <c r="C2" s="2">
        <v>0</v>
      </c>
      <c r="D2" s="60">
        <v>79.802800000000005</v>
      </c>
      <c r="E2" s="2">
        <v>0</v>
      </c>
      <c r="F2" s="2">
        <v>2745.86</v>
      </c>
      <c r="G2" s="2">
        <v>350.96800000000002</v>
      </c>
      <c r="H2" s="2">
        <v>0</v>
      </c>
      <c r="I2" s="2">
        <v>10</v>
      </c>
      <c r="J2" s="2">
        <v>1.4115800000000001</v>
      </c>
      <c r="K2" s="2">
        <v>10.0001</v>
      </c>
      <c r="L2" s="2">
        <v>0</v>
      </c>
      <c r="M2" s="2">
        <v>0</v>
      </c>
    </row>
    <row r="3" spans="1:19">
      <c r="A3" s="2" t="s">
        <v>97</v>
      </c>
      <c r="B3" s="2" t="s">
        <v>99</v>
      </c>
      <c r="C3" s="2">
        <v>0</v>
      </c>
      <c r="D3" s="60">
        <v>22.0032</v>
      </c>
      <c r="E3" s="2">
        <v>0</v>
      </c>
      <c r="F3" s="2">
        <v>93.408699999999996</v>
      </c>
      <c r="G3" s="2">
        <v>311.36200000000002</v>
      </c>
      <c r="H3" s="2">
        <v>0</v>
      </c>
      <c r="I3" s="2">
        <v>52.4512</v>
      </c>
      <c r="J3" s="2">
        <v>6.4743700000000004</v>
      </c>
      <c r="K3" s="2">
        <v>53.8095</v>
      </c>
      <c r="L3" s="2">
        <v>0</v>
      </c>
      <c r="M3" s="2">
        <v>0</v>
      </c>
    </row>
    <row r="4" spans="1:19">
      <c r="A4" s="2" t="s">
        <v>97</v>
      </c>
      <c r="B4" s="2" t="s">
        <v>100</v>
      </c>
      <c r="C4" s="2">
        <v>0</v>
      </c>
      <c r="D4" s="60">
        <v>8.4006699999999999</v>
      </c>
      <c r="E4" s="2">
        <v>0</v>
      </c>
      <c r="F4" s="2">
        <v>2591.52</v>
      </c>
      <c r="G4" s="2">
        <v>389.64600000000002</v>
      </c>
      <c r="H4" s="2">
        <v>0</v>
      </c>
      <c r="I4" s="2">
        <v>0</v>
      </c>
      <c r="J4" s="2">
        <v>1.5035400000000001</v>
      </c>
      <c r="K4" s="2">
        <v>0</v>
      </c>
      <c r="L4" s="2">
        <v>0</v>
      </c>
      <c r="M4" s="2">
        <v>0</v>
      </c>
    </row>
    <row r="5" spans="1:19">
      <c r="A5" s="2" t="s">
        <v>97</v>
      </c>
      <c r="B5" s="2" t="s">
        <v>101</v>
      </c>
      <c r="C5" s="2">
        <v>0</v>
      </c>
      <c r="D5" s="60">
        <v>20.9633</v>
      </c>
      <c r="E5" s="2">
        <v>0</v>
      </c>
      <c r="F5" s="2">
        <v>507.62900000000002</v>
      </c>
      <c r="G5" s="2">
        <v>527.52700000000004</v>
      </c>
      <c r="H5" s="2">
        <v>0</v>
      </c>
      <c r="I5" s="2">
        <v>22.899799999999999</v>
      </c>
      <c r="J5" s="2">
        <v>2.4378099999999998</v>
      </c>
      <c r="K5" s="2">
        <v>21.158000000000001</v>
      </c>
      <c r="L5" s="2">
        <v>0</v>
      </c>
      <c r="M5" s="2">
        <v>0</v>
      </c>
    </row>
    <row r="6" spans="1:19">
      <c r="A6" s="2" t="s">
        <v>97</v>
      </c>
      <c r="B6" s="2" t="s">
        <v>55</v>
      </c>
      <c r="C6" s="2">
        <v>1</v>
      </c>
      <c r="D6" s="60">
        <v>218.631</v>
      </c>
      <c r="E6" s="2">
        <v>31701.5</v>
      </c>
      <c r="F6" s="2">
        <v>946.13400000000001</v>
      </c>
      <c r="G6" s="2">
        <v>158.691</v>
      </c>
      <c r="H6" s="2">
        <v>0</v>
      </c>
      <c r="I6" s="2">
        <v>49.633600000000001</v>
      </c>
      <c r="J6" s="2">
        <v>2.24722</v>
      </c>
      <c r="K6" s="2">
        <v>49.75</v>
      </c>
      <c r="L6" s="2">
        <v>0</v>
      </c>
      <c r="M6" s="2">
        <v>0</v>
      </c>
    </row>
    <row r="7" spans="1:19">
      <c r="A7" s="2" t="s">
        <v>97</v>
      </c>
      <c r="B7" s="2" t="s">
        <v>56</v>
      </c>
      <c r="C7" s="2">
        <v>1</v>
      </c>
      <c r="D7" s="60">
        <v>37.0837</v>
      </c>
      <c r="E7" s="2">
        <v>5191.72</v>
      </c>
      <c r="F7" s="2">
        <v>298.04000000000002</v>
      </c>
      <c r="G7" s="2">
        <v>58.373699999999999</v>
      </c>
      <c r="H7" s="2">
        <v>0</v>
      </c>
      <c r="I7" s="2">
        <v>36.522399999999998</v>
      </c>
      <c r="J7" s="2">
        <v>1.84216</v>
      </c>
      <c r="K7" s="2">
        <v>36.594000000000001</v>
      </c>
      <c r="L7" s="2">
        <v>0</v>
      </c>
      <c r="M7" s="2">
        <v>0</v>
      </c>
    </row>
    <row r="8" spans="1:19">
      <c r="A8" s="2" t="s">
        <v>97</v>
      </c>
      <c r="B8" s="2" t="s">
        <v>57</v>
      </c>
      <c r="C8" s="2">
        <v>1</v>
      </c>
      <c r="D8" s="60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9">
      <c r="A9" s="2" t="s">
        <v>97</v>
      </c>
      <c r="B9" s="2" t="s">
        <v>58</v>
      </c>
      <c r="C9" s="2">
        <v>1</v>
      </c>
      <c r="D9" s="60">
        <v>138.07599999999999</v>
      </c>
      <c r="E9" s="2">
        <v>14498</v>
      </c>
      <c r="F9" s="2">
        <v>755.00699999999995</v>
      </c>
      <c r="G9" s="2">
        <v>158.94300000000001</v>
      </c>
      <c r="H9" s="2">
        <v>0</v>
      </c>
      <c r="I9" s="2">
        <v>45.403100000000002</v>
      </c>
      <c r="J9" s="2">
        <v>1.0444199999999999</v>
      </c>
      <c r="K9" s="2">
        <v>45.611400000000003</v>
      </c>
      <c r="L9" s="2">
        <v>0</v>
      </c>
      <c r="M9" s="2">
        <v>0</v>
      </c>
    </row>
    <row r="10" spans="1:19">
      <c r="A10" s="2" t="s">
        <v>97</v>
      </c>
      <c r="B10" s="2" t="s">
        <v>59</v>
      </c>
      <c r="C10" s="2">
        <v>1</v>
      </c>
      <c r="D10" s="60">
        <v>173.61</v>
      </c>
      <c r="E10" s="2">
        <v>17361</v>
      </c>
      <c r="F10" s="2">
        <v>1681.46</v>
      </c>
      <c r="G10" s="2">
        <v>351.697</v>
      </c>
      <c r="H10" s="2">
        <v>0</v>
      </c>
      <c r="I10" s="2">
        <v>33.392499999999998</v>
      </c>
      <c r="J10" s="2">
        <v>1.19363</v>
      </c>
      <c r="K10" s="2">
        <v>33.467500000000001</v>
      </c>
      <c r="L10" s="2">
        <v>0</v>
      </c>
      <c r="M10" s="2">
        <v>0</v>
      </c>
    </row>
    <row r="11" spans="1:19">
      <c r="A11" s="2" t="s">
        <v>97</v>
      </c>
      <c r="B11" s="2" t="s">
        <v>60</v>
      </c>
      <c r="C11" s="2">
        <v>1</v>
      </c>
      <c r="D11" s="60">
        <v>57.539299999999997</v>
      </c>
      <c r="E11" s="2">
        <v>5178.54</v>
      </c>
      <c r="F11" s="2">
        <v>954.17700000000002</v>
      </c>
      <c r="G11" s="2">
        <v>229.05199999999999</v>
      </c>
      <c r="H11" s="2">
        <v>0</v>
      </c>
      <c r="I11" s="2">
        <v>25.476400000000002</v>
      </c>
      <c r="J11" s="2">
        <v>1.00468</v>
      </c>
      <c r="K11" s="2">
        <v>25.6068</v>
      </c>
      <c r="L11" s="2">
        <v>0</v>
      </c>
      <c r="M11" s="2">
        <v>0</v>
      </c>
    </row>
    <row r="12" spans="1:19">
      <c r="A12" s="2" t="s">
        <v>97</v>
      </c>
      <c r="B12" s="2" t="s">
        <v>61</v>
      </c>
      <c r="C12" s="2">
        <v>1</v>
      </c>
      <c r="D12" s="60">
        <v>23.6496</v>
      </c>
      <c r="E12" s="2">
        <v>2010.22</v>
      </c>
      <c r="F12" s="2">
        <v>613.44299999999998</v>
      </c>
      <c r="G12" s="2">
        <v>133.88399999999999</v>
      </c>
      <c r="H12" s="2">
        <v>0</v>
      </c>
      <c r="I12" s="2">
        <v>19.252199999999998</v>
      </c>
      <c r="J12" s="2">
        <v>1.06748</v>
      </c>
      <c r="K12" s="2">
        <v>19.365300000000001</v>
      </c>
      <c r="L12" s="2">
        <v>0</v>
      </c>
      <c r="M12" s="2">
        <v>0</v>
      </c>
    </row>
    <row r="13" spans="1:19">
      <c r="A13" s="2" t="s">
        <v>97</v>
      </c>
      <c r="B13" s="2" t="s">
        <v>62</v>
      </c>
      <c r="C13" s="2">
        <v>1</v>
      </c>
      <c r="D13" s="60">
        <v>66.704400000000007</v>
      </c>
      <c r="E13" s="2">
        <v>5336.35</v>
      </c>
      <c r="F13" s="2">
        <v>630.88099999999997</v>
      </c>
      <c r="G13" s="2">
        <v>138.00200000000001</v>
      </c>
      <c r="H13" s="2">
        <v>0</v>
      </c>
      <c r="I13" s="2">
        <v>33.870600000000003</v>
      </c>
      <c r="J13" s="2">
        <v>1.00508</v>
      </c>
      <c r="K13" s="2">
        <v>34.269100000000002</v>
      </c>
      <c r="L13" s="2">
        <v>0</v>
      </c>
      <c r="M13" s="2">
        <v>0</v>
      </c>
    </row>
    <row r="14" spans="1:19">
      <c r="A14" s="2" t="s">
        <v>97</v>
      </c>
      <c r="B14" s="2" t="s">
        <v>63</v>
      </c>
      <c r="C14" s="2">
        <v>1</v>
      </c>
      <c r="D14" s="60">
        <v>28.376100000000001</v>
      </c>
      <c r="E14" s="2">
        <v>1986.33</v>
      </c>
      <c r="F14" s="2">
        <v>819.58900000000006</v>
      </c>
      <c r="G14" s="2">
        <v>195.26599999999999</v>
      </c>
      <c r="H14" s="2">
        <v>0</v>
      </c>
      <c r="I14" s="2">
        <v>18.041799999999999</v>
      </c>
      <c r="J14" s="2">
        <v>1.0681099999999999</v>
      </c>
      <c r="K14" s="2">
        <v>18.603200000000001</v>
      </c>
      <c r="L14" s="2">
        <v>0</v>
      </c>
      <c r="M14" s="2">
        <v>0</v>
      </c>
    </row>
    <row r="15" spans="1:19">
      <c r="A15" s="2" t="s">
        <v>97</v>
      </c>
      <c r="B15" s="2" t="s">
        <v>64</v>
      </c>
      <c r="C15" s="2">
        <v>1</v>
      </c>
      <c r="D15" s="60">
        <v>13.7652</v>
      </c>
      <c r="E15" s="2">
        <v>412.95499999999998</v>
      </c>
      <c r="F15" s="2">
        <v>483.85899999999998</v>
      </c>
      <c r="G15" s="2">
        <v>116.626</v>
      </c>
      <c r="H15" s="2">
        <v>0</v>
      </c>
      <c r="I15" s="2">
        <v>15.0472</v>
      </c>
      <c r="J15" s="2">
        <v>1.10527</v>
      </c>
      <c r="K15" s="2">
        <v>16.8505</v>
      </c>
      <c r="L15" s="2">
        <v>0</v>
      </c>
      <c r="M15" s="2">
        <v>0</v>
      </c>
    </row>
    <row r="16" spans="1:19">
      <c r="A16" s="2" t="s">
        <v>102</v>
      </c>
      <c r="B16" s="2" t="s">
        <v>94</v>
      </c>
      <c r="C16" s="2" t="s">
        <v>95</v>
      </c>
      <c r="D16" s="60" t="s">
        <v>96</v>
      </c>
      <c r="E16" s="2" t="s">
        <v>66</v>
      </c>
      <c r="F16" s="2">
        <v>28</v>
      </c>
      <c r="G16" s="2">
        <v>72.279799999999994</v>
      </c>
      <c r="H16" s="2">
        <v>39.307200000000002</v>
      </c>
      <c r="I16" s="2">
        <v>311.36200000000002</v>
      </c>
      <c r="J16" s="2">
        <v>888.60599999999999</v>
      </c>
      <c r="K16" s="2">
        <v>757.43600000000004</v>
      </c>
      <c r="L16" s="2" t="s">
        <v>103</v>
      </c>
      <c r="M16" s="2">
        <v>1</v>
      </c>
      <c r="N16" s="2">
        <v>1</v>
      </c>
      <c r="O16" s="2">
        <v>83676.7</v>
      </c>
      <c r="P16" s="2" t="s">
        <v>103</v>
      </c>
      <c r="Q16" s="2">
        <v>1.4</v>
      </c>
      <c r="R16" s="2">
        <v>350.8</v>
      </c>
      <c r="S16" s="2">
        <v>0</v>
      </c>
    </row>
    <row r="17" spans="1:19">
      <c r="A17" s="2" t="s">
        <v>97</v>
      </c>
      <c r="B17" s="2" t="s">
        <v>98</v>
      </c>
      <c r="C17" s="2">
        <v>0</v>
      </c>
      <c r="D17" s="60">
        <v>79.802800000000005</v>
      </c>
      <c r="E17" s="2">
        <v>0</v>
      </c>
      <c r="F17" s="2">
        <v>2745.86</v>
      </c>
      <c r="G17" s="2">
        <v>350.96800000000002</v>
      </c>
      <c r="H17" s="2" t="s">
        <v>103</v>
      </c>
      <c r="I17" s="2">
        <v>10</v>
      </c>
      <c r="J17" s="2">
        <v>1.4115800000000001</v>
      </c>
      <c r="K17" s="2">
        <v>10.0001</v>
      </c>
      <c r="L17" s="2">
        <v>0</v>
      </c>
      <c r="M17" s="2">
        <v>0</v>
      </c>
    </row>
    <row r="18" spans="1:19">
      <c r="A18" s="2" t="s">
        <v>97</v>
      </c>
      <c r="B18" s="2" t="s">
        <v>99</v>
      </c>
      <c r="C18" s="2">
        <v>0</v>
      </c>
      <c r="D18" s="60">
        <v>22.0032</v>
      </c>
      <c r="E18" s="2">
        <v>0</v>
      </c>
      <c r="F18" s="2">
        <v>93.408699999999996</v>
      </c>
      <c r="G18" s="2">
        <v>311.36200000000002</v>
      </c>
      <c r="H18" s="2" t="s">
        <v>103</v>
      </c>
      <c r="I18" s="2">
        <v>52.4512</v>
      </c>
      <c r="J18" s="2">
        <v>6.4743700000000004</v>
      </c>
      <c r="K18" s="2">
        <v>53.8095</v>
      </c>
      <c r="L18" s="2">
        <v>0</v>
      </c>
      <c r="M18" s="2">
        <v>0</v>
      </c>
    </row>
    <row r="19" spans="1:19">
      <c r="A19" s="2" t="s">
        <v>97</v>
      </c>
      <c r="B19" s="2" t="s">
        <v>100</v>
      </c>
      <c r="C19" s="2">
        <v>0</v>
      </c>
      <c r="D19" s="60">
        <v>8.4006699999999999</v>
      </c>
      <c r="E19" s="2">
        <v>0</v>
      </c>
      <c r="F19" s="2">
        <v>2591.52</v>
      </c>
      <c r="G19" s="2">
        <v>389.64600000000002</v>
      </c>
      <c r="H19" s="2" t="s">
        <v>103</v>
      </c>
      <c r="I19" s="2">
        <v>0</v>
      </c>
      <c r="J19" s="2">
        <v>1.5035400000000001</v>
      </c>
      <c r="K19" s="2">
        <v>0</v>
      </c>
      <c r="L19" s="2">
        <v>0</v>
      </c>
      <c r="M19" s="2">
        <v>0</v>
      </c>
    </row>
    <row r="20" spans="1:19">
      <c r="A20" s="2" t="s">
        <v>97</v>
      </c>
      <c r="B20" s="2" t="s">
        <v>101</v>
      </c>
      <c r="C20" s="2">
        <v>0</v>
      </c>
      <c r="D20" s="60">
        <v>20.9633</v>
      </c>
      <c r="E20" s="2">
        <v>0</v>
      </c>
      <c r="F20" s="2">
        <v>507.62900000000002</v>
      </c>
      <c r="G20" s="2">
        <v>527.52700000000004</v>
      </c>
      <c r="H20" s="2" t="s">
        <v>103</v>
      </c>
      <c r="I20" s="2">
        <v>22.899799999999999</v>
      </c>
      <c r="J20" s="2">
        <v>2.4378099999999998</v>
      </c>
      <c r="K20" s="2">
        <v>21.158000000000001</v>
      </c>
      <c r="L20" s="2">
        <v>0</v>
      </c>
      <c r="M20" s="2">
        <v>0</v>
      </c>
    </row>
    <row r="21" spans="1:19">
      <c r="A21" s="2" t="s">
        <v>97</v>
      </c>
      <c r="B21" s="2" t="s">
        <v>55</v>
      </c>
      <c r="C21" s="2">
        <v>1</v>
      </c>
      <c r="D21" s="60">
        <v>218.631</v>
      </c>
      <c r="E21" s="2">
        <v>31701.5</v>
      </c>
      <c r="F21" s="2">
        <v>946.13400000000001</v>
      </c>
      <c r="G21" s="2">
        <v>158.691</v>
      </c>
      <c r="H21" s="2" t="s">
        <v>103</v>
      </c>
      <c r="I21" s="2">
        <v>49.633600000000001</v>
      </c>
      <c r="J21" s="2">
        <v>2.24722</v>
      </c>
      <c r="K21" s="2">
        <v>49.75</v>
      </c>
      <c r="L21" s="2">
        <v>0</v>
      </c>
      <c r="M21" s="2">
        <v>0</v>
      </c>
    </row>
    <row r="22" spans="1:19">
      <c r="A22" s="2" t="s">
        <v>97</v>
      </c>
      <c r="B22" s="2" t="s">
        <v>56</v>
      </c>
      <c r="C22" s="2">
        <v>1</v>
      </c>
      <c r="D22" s="60">
        <v>37.0837</v>
      </c>
      <c r="E22" s="2">
        <v>5191.72</v>
      </c>
      <c r="F22" s="2">
        <v>298.04000000000002</v>
      </c>
      <c r="G22" s="2">
        <v>58.373699999999999</v>
      </c>
      <c r="H22" s="2" t="s">
        <v>103</v>
      </c>
      <c r="I22" s="2">
        <v>36.522399999999998</v>
      </c>
      <c r="J22" s="2">
        <v>1.84216</v>
      </c>
      <c r="K22" s="2">
        <v>36.594000000000001</v>
      </c>
      <c r="L22" s="2">
        <v>0</v>
      </c>
      <c r="M22" s="2">
        <v>0</v>
      </c>
    </row>
    <row r="23" spans="1:19">
      <c r="A23" s="2" t="s">
        <v>97</v>
      </c>
      <c r="B23" s="2" t="s">
        <v>57</v>
      </c>
      <c r="C23" s="2">
        <v>1</v>
      </c>
      <c r="D23" s="60">
        <v>0</v>
      </c>
      <c r="E23" s="2">
        <v>0</v>
      </c>
      <c r="F23" s="2">
        <v>0</v>
      </c>
      <c r="G23" s="2">
        <v>0</v>
      </c>
      <c r="H23" s="2" t="s">
        <v>103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9">
      <c r="A24" s="2" t="s">
        <v>97</v>
      </c>
      <c r="B24" s="2" t="s">
        <v>58</v>
      </c>
      <c r="C24" s="2">
        <v>1</v>
      </c>
      <c r="D24" s="60">
        <v>138.07599999999999</v>
      </c>
      <c r="E24" s="2">
        <v>14498</v>
      </c>
      <c r="F24" s="2">
        <v>755.00699999999995</v>
      </c>
      <c r="G24" s="2">
        <v>158.94300000000001</v>
      </c>
      <c r="H24" s="2" t="s">
        <v>103</v>
      </c>
      <c r="I24" s="2">
        <v>45.403100000000002</v>
      </c>
      <c r="J24" s="2">
        <v>1.0444199999999999</v>
      </c>
      <c r="K24" s="2">
        <v>45.611400000000003</v>
      </c>
      <c r="L24" s="2">
        <v>0</v>
      </c>
      <c r="M24" s="2">
        <v>0</v>
      </c>
    </row>
    <row r="25" spans="1:19">
      <c r="A25" s="2" t="s">
        <v>97</v>
      </c>
      <c r="B25" s="2" t="s">
        <v>59</v>
      </c>
      <c r="C25" s="2">
        <v>1</v>
      </c>
      <c r="D25" s="60">
        <v>173.61</v>
      </c>
      <c r="E25" s="2">
        <v>17361</v>
      </c>
      <c r="F25" s="2">
        <v>1681.46</v>
      </c>
      <c r="G25" s="2">
        <v>351.697</v>
      </c>
      <c r="H25" s="2" t="s">
        <v>103</v>
      </c>
      <c r="I25" s="2">
        <v>33.392499999999998</v>
      </c>
      <c r="J25" s="2">
        <v>1.19363</v>
      </c>
      <c r="K25" s="2">
        <v>33.467500000000001</v>
      </c>
      <c r="L25" s="2">
        <v>0</v>
      </c>
      <c r="M25" s="2">
        <v>0</v>
      </c>
    </row>
    <row r="26" spans="1:19">
      <c r="A26" s="2" t="s">
        <v>97</v>
      </c>
      <c r="B26" s="2" t="s">
        <v>60</v>
      </c>
      <c r="C26" s="2">
        <v>1</v>
      </c>
      <c r="D26" s="60">
        <v>57.539299999999997</v>
      </c>
      <c r="E26" s="2">
        <v>5178.54</v>
      </c>
      <c r="F26" s="2">
        <v>954.17700000000002</v>
      </c>
      <c r="G26" s="2">
        <v>229.05199999999999</v>
      </c>
      <c r="H26" s="2" t="s">
        <v>103</v>
      </c>
      <c r="I26" s="2">
        <v>25.476400000000002</v>
      </c>
      <c r="J26" s="2">
        <v>1.00468</v>
      </c>
      <c r="K26" s="2">
        <v>25.6068</v>
      </c>
      <c r="L26" s="2">
        <v>0</v>
      </c>
      <c r="M26" s="2">
        <v>0</v>
      </c>
    </row>
    <row r="27" spans="1:19">
      <c r="A27" s="2" t="s">
        <v>97</v>
      </c>
      <c r="B27" s="2" t="s">
        <v>61</v>
      </c>
      <c r="C27" s="2">
        <v>1</v>
      </c>
      <c r="D27" s="60">
        <v>23.6496</v>
      </c>
      <c r="E27" s="2">
        <v>2010.22</v>
      </c>
      <c r="F27" s="2">
        <v>613.44299999999998</v>
      </c>
      <c r="G27" s="2">
        <v>133.88399999999999</v>
      </c>
      <c r="H27" s="2" t="s">
        <v>103</v>
      </c>
      <c r="I27" s="2">
        <v>19.252199999999998</v>
      </c>
      <c r="J27" s="2">
        <v>1.06748</v>
      </c>
      <c r="K27" s="2">
        <v>19.365300000000001</v>
      </c>
      <c r="L27" s="2">
        <v>0</v>
      </c>
      <c r="M27" s="2">
        <v>0</v>
      </c>
    </row>
    <row r="28" spans="1:19">
      <c r="A28" s="2" t="s">
        <v>97</v>
      </c>
      <c r="B28" s="2" t="s">
        <v>62</v>
      </c>
      <c r="C28" s="2">
        <v>1</v>
      </c>
      <c r="D28" s="60">
        <v>66.704400000000007</v>
      </c>
      <c r="E28" s="2">
        <v>5336.35</v>
      </c>
      <c r="F28" s="2">
        <v>630.88099999999997</v>
      </c>
      <c r="G28" s="2">
        <v>138.00200000000001</v>
      </c>
      <c r="H28" s="2" t="s">
        <v>103</v>
      </c>
      <c r="I28" s="2">
        <v>33.870600000000003</v>
      </c>
      <c r="J28" s="2">
        <v>1.00508</v>
      </c>
      <c r="K28" s="2">
        <v>34.269100000000002</v>
      </c>
      <c r="L28" s="2">
        <v>0</v>
      </c>
      <c r="M28" s="2">
        <v>0</v>
      </c>
    </row>
    <row r="29" spans="1:19">
      <c r="A29" s="2" t="s">
        <v>97</v>
      </c>
      <c r="B29" s="2" t="s">
        <v>63</v>
      </c>
      <c r="C29" s="2">
        <v>1</v>
      </c>
      <c r="D29" s="60">
        <v>28.376100000000001</v>
      </c>
      <c r="E29" s="2">
        <v>1986.33</v>
      </c>
      <c r="F29" s="2">
        <v>819.58900000000006</v>
      </c>
      <c r="G29" s="2">
        <v>195.26599999999999</v>
      </c>
      <c r="H29" s="2" t="s">
        <v>103</v>
      </c>
      <c r="I29" s="2">
        <v>18.041799999999999</v>
      </c>
      <c r="J29" s="2">
        <v>1.0681099999999999</v>
      </c>
      <c r="K29" s="2">
        <v>18.603200000000001</v>
      </c>
      <c r="L29" s="2">
        <v>0</v>
      </c>
      <c r="M29" s="2">
        <v>0</v>
      </c>
    </row>
    <row r="30" spans="1:19">
      <c r="A30" s="2" t="s">
        <v>97</v>
      </c>
      <c r="B30" s="2" t="s">
        <v>64</v>
      </c>
      <c r="C30" s="2">
        <v>1</v>
      </c>
      <c r="D30" s="60">
        <v>13.7652</v>
      </c>
      <c r="E30" s="2">
        <v>412.95499999999998</v>
      </c>
      <c r="F30" s="2">
        <v>483.85899999999998</v>
      </c>
      <c r="G30" s="2">
        <v>116.626</v>
      </c>
      <c r="H30" s="2" t="s">
        <v>103</v>
      </c>
      <c r="I30" s="2">
        <v>15.0472</v>
      </c>
      <c r="J30" s="2">
        <v>1.10527</v>
      </c>
      <c r="K30" s="2">
        <v>16.8505</v>
      </c>
      <c r="L30" s="2">
        <v>0</v>
      </c>
      <c r="M30" s="2">
        <v>0</v>
      </c>
    </row>
    <row r="31" spans="1:19">
      <c r="A31" s="2" t="s">
        <v>93</v>
      </c>
      <c r="B31" s="2" t="s">
        <v>94</v>
      </c>
      <c r="C31" s="2" t="s">
        <v>95</v>
      </c>
      <c r="D31" s="60" t="s">
        <v>104</v>
      </c>
      <c r="E31" s="2" t="s">
        <v>67</v>
      </c>
      <c r="F31" s="2">
        <v>28</v>
      </c>
      <c r="G31" s="2">
        <v>76.021600000000007</v>
      </c>
      <c r="H31" s="2">
        <v>26.816400000000002</v>
      </c>
      <c r="I31" s="2">
        <v>402.41399999999999</v>
      </c>
      <c r="J31" s="2">
        <v>637.505</v>
      </c>
      <c r="K31" s="2">
        <v>529.46900000000005</v>
      </c>
      <c r="L31" s="2">
        <v>0</v>
      </c>
      <c r="M31" s="2">
        <v>1</v>
      </c>
      <c r="N31" s="2">
        <v>1</v>
      </c>
      <c r="O31" s="2">
        <v>57432.9</v>
      </c>
      <c r="P31" s="2">
        <v>0</v>
      </c>
      <c r="Q31" s="2">
        <v>0</v>
      </c>
      <c r="R31" s="2">
        <v>402.41399999999999</v>
      </c>
      <c r="S31" s="2">
        <v>0</v>
      </c>
    </row>
    <row r="32" spans="1:19">
      <c r="A32" s="2" t="s">
        <v>97</v>
      </c>
      <c r="B32" s="2" t="s">
        <v>98</v>
      </c>
      <c r="C32" s="2">
        <v>0</v>
      </c>
      <c r="D32" s="60">
        <v>29.703700000000001</v>
      </c>
      <c r="E32" s="2">
        <v>0</v>
      </c>
      <c r="F32" s="2">
        <v>1351.2</v>
      </c>
      <c r="G32" s="2">
        <v>268.99700000000001</v>
      </c>
      <c r="H32" s="2">
        <v>0</v>
      </c>
      <c r="I32" s="2">
        <v>10.589600000000001</v>
      </c>
      <c r="J32" s="2">
        <v>1.7855700000000001</v>
      </c>
      <c r="K32" s="2">
        <v>10.158200000000001</v>
      </c>
      <c r="L32" s="2">
        <v>0</v>
      </c>
      <c r="M32" s="2">
        <v>0</v>
      </c>
    </row>
    <row r="33" spans="1:19">
      <c r="A33" s="2" t="s">
        <v>97</v>
      </c>
      <c r="B33" s="2" t="s">
        <v>99</v>
      </c>
      <c r="C33" s="2">
        <v>0</v>
      </c>
      <c r="D33" s="60">
        <v>23.196899999999999</v>
      </c>
      <c r="E33" s="2">
        <v>0</v>
      </c>
      <c r="F33" s="2">
        <v>120.724</v>
      </c>
      <c r="G33" s="2">
        <v>402.41399999999999</v>
      </c>
      <c r="H33" s="2">
        <v>0</v>
      </c>
      <c r="I33" s="2">
        <v>47.493299999999998</v>
      </c>
      <c r="J33" s="2">
        <v>8.0742399999999996</v>
      </c>
      <c r="K33" s="2">
        <v>48.284100000000002</v>
      </c>
      <c r="L33" s="2">
        <v>0</v>
      </c>
      <c r="M33" s="2">
        <v>0</v>
      </c>
    </row>
    <row r="34" spans="1:19">
      <c r="A34" s="2" t="s">
        <v>97</v>
      </c>
      <c r="B34" s="2" t="s">
        <v>100</v>
      </c>
      <c r="C34" s="2">
        <v>0</v>
      </c>
      <c r="D34" s="60">
        <v>6.3470899999999997</v>
      </c>
      <c r="E34" s="2">
        <v>0</v>
      </c>
      <c r="F34" s="2">
        <v>2008.33</v>
      </c>
      <c r="G34" s="2">
        <v>363.68799999999999</v>
      </c>
      <c r="H34" s="2">
        <v>0</v>
      </c>
      <c r="I34" s="2">
        <v>0</v>
      </c>
      <c r="J34" s="2">
        <v>1.81091</v>
      </c>
      <c r="K34" s="2">
        <v>0</v>
      </c>
      <c r="L34" s="2">
        <v>0</v>
      </c>
      <c r="M34" s="2">
        <v>0</v>
      </c>
    </row>
    <row r="35" spans="1:19">
      <c r="A35" s="2" t="s">
        <v>97</v>
      </c>
      <c r="B35" s="2" t="s">
        <v>101</v>
      </c>
      <c r="C35" s="2">
        <v>0</v>
      </c>
      <c r="D35" s="60">
        <v>48.787799999999997</v>
      </c>
      <c r="E35" s="2">
        <v>0</v>
      </c>
      <c r="F35" s="2">
        <v>1000.78</v>
      </c>
      <c r="G35" s="2">
        <v>650.46500000000003</v>
      </c>
      <c r="H35" s="2">
        <v>0</v>
      </c>
      <c r="I35" s="2">
        <v>21.538699999999999</v>
      </c>
      <c r="J35" s="2">
        <v>2.14167</v>
      </c>
      <c r="K35" s="2">
        <v>22.1724</v>
      </c>
      <c r="L35" s="2">
        <v>0</v>
      </c>
      <c r="M35" s="2">
        <v>0</v>
      </c>
    </row>
    <row r="36" spans="1:19">
      <c r="A36" s="2" t="s">
        <v>97</v>
      </c>
      <c r="B36" s="2" t="s">
        <v>55</v>
      </c>
      <c r="C36" s="2">
        <v>1</v>
      </c>
      <c r="D36" s="60">
        <v>113.434</v>
      </c>
      <c r="E36" s="2">
        <v>16447.900000000001</v>
      </c>
      <c r="F36" s="2">
        <v>583.32799999999997</v>
      </c>
      <c r="G36" s="2">
        <v>98.541799999999995</v>
      </c>
      <c r="H36" s="2">
        <v>0</v>
      </c>
      <c r="I36" s="2">
        <v>44.756</v>
      </c>
      <c r="J36" s="2">
        <v>2.4283899999999998</v>
      </c>
      <c r="K36" s="2">
        <v>44.840200000000003</v>
      </c>
      <c r="L36" s="2">
        <v>0</v>
      </c>
      <c r="M36" s="2">
        <v>0</v>
      </c>
    </row>
    <row r="37" spans="1:19">
      <c r="A37" s="2" t="s">
        <v>97</v>
      </c>
      <c r="B37" s="2" t="s">
        <v>56</v>
      </c>
      <c r="C37" s="2">
        <v>1</v>
      </c>
      <c r="D37" s="60">
        <v>93.892300000000006</v>
      </c>
      <c r="E37" s="2">
        <v>13144.9</v>
      </c>
      <c r="F37" s="2">
        <v>736.37400000000002</v>
      </c>
      <c r="G37" s="2">
        <v>155.02600000000001</v>
      </c>
      <c r="H37" s="2">
        <v>0</v>
      </c>
      <c r="I37" s="2">
        <v>36.744399999999999</v>
      </c>
      <c r="J37" s="2">
        <v>2.1692100000000001</v>
      </c>
      <c r="K37" s="2">
        <v>36.752699999999997</v>
      </c>
      <c r="L37" s="2">
        <v>0</v>
      </c>
      <c r="M37" s="2">
        <v>0</v>
      </c>
    </row>
    <row r="38" spans="1:19">
      <c r="A38" s="2" t="s">
        <v>97</v>
      </c>
      <c r="B38" s="2" t="s">
        <v>57</v>
      </c>
      <c r="C38" s="2">
        <v>1</v>
      </c>
      <c r="D38" s="60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9">
      <c r="A39" s="2" t="s">
        <v>97</v>
      </c>
      <c r="B39" s="2" t="s">
        <v>58</v>
      </c>
      <c r="C39" s="2">
        <v>1</v>
      </c>
      <c r="D39" s="60">
        <v>12.225</v>
      </c>
      <c r="E39" s="2">
        <v>1283.6300000000001</v>
      </c>
      <c r="F39" s="2">
        <v>79.010199999999998</v>
      </c>
      <c r="G39" s="2">
        <v>19.752600000000001</v>
      </c>
      <c r="H39" s="2">
        <v>0</v>
      </c>
      <c r="I39" s="2">
        <v>41.271999999999998</v>
      </c>
      <c r="J39" s="2">
        <v>1.4847399999999999</v>
      </c>
      <c r="K39" s="2">
        <v>41.271999999999998</v>
      </c>
      <c r="L39" s="2">
        <v>0</v>
      </c>
      <c r="M39" s="2">
        <v>0</v>
      </c>
    </row>
    <row r="40" spans="1:19">
      <c r="A40" s="2" t="s">
        <v>97</v>
      </c>
      <c r="B40" s="2" t="s">
        <v>59</v>
      </c>
      <c r="C40" s="2">
        <v>1</v>
      </c>
      <c r="D40" s="60">
        <v>152.05099999999999</v>
      </c>
      <c r="E40" s="2">
        <v>15205.1</v>
      </c>
      <c r="F40" s="2">
        <v>1402.23</v>
      </c>
      <c r="G40" s="2">
        <v>311.56299999999999</v>
      </c>
      <c r="H40" s="2">
        <v>0</v>
      </c>
      <c r="I40" s="2">
        <v>33.604799999999997</v>
      </c>
      <c r="J40" s="2">
        <v>1.45488</v>
      </c>
      <c r="K40" s="2">
        <v>33.744999999999997</v>
      </c>
      <c r="L40" s="2">
        <v>0</v>
      </c>
      <c r="M40" s="2">
        <v>0</v>
      </c>
    </row>
    <row r="41" spans="1:19">
      <c r="A41" s="2" t="s">
        <v>97</v>
      </c>
      <c r="B41" s="2" t="s">
        <v>60</v>
      </c>
      <c r="C41" s="2">
        <v>1</v>
      </c>
      <c r="D41" s="60">
        <v>50.533099999999997</v>
      </c>
      <c r="E41" s="2">
        <v>4547.9799999999996</v>
      </c>
      <c r="F41" s="2">
        <v>781.62</v>
      </c>
      <c r="G41" s="2">
        <v>167.34399999999999</v>
      </c>
      <c r="H41" s="2">
        <v>0</v>
      </c>
      <c r="I41" s="2">
        <v>25.287299999999998</v>
      </c>
      <c r="J41" s="2">
        <v>1.3441099999999999</v>
      </c>
      <c r="K41" s="2">
        <v>25.740600000000001</v>
      </c>
      <c r="L41" s="2">
        <v>0</v>
      </c>
      <c r="M41" s="2">
        <v>0</v>
      </c>
    </row>
    <row r="42" spans="1:19">
      <c r="A42" s="2" t="s">
        <v>97</v>
      </c>
      <c r="B42" s="2" t="s">
        <v>61</v>
      </c>
      <c r="C42" s="2">
        <v>1</v>
      </c>
      <c r="D42" s="60">
        <v>9.0264299999999995</v>
      </c>
      <c r="E42" s="2">
        <v>767.24699999999996</v>
      </c>
      <c r="F42" s="2">
        <v>261.68400000000003</v>
      </c>
      <c r="G42" s="2">
        <v>56.148800000000001</v>
      </c>
      <c r="H42" s="2">
        <v>0</v>
      </c>
      <c r="I42" s="2">
        <v>17.606000000000002</v>
      </c>
      <c r="J42" s="2">
        <v>1.2683599999999999</v>
      </c>
      <c r="K42" s="2">
        <v>17.5974</v>
      </c>
      <c r="L42" s="2">
        <v>0</v>
      </c>
      <c r="M42" s="2">
        <v>0</v>
      </c>
    </row>
    <row r="43" spans="1:19">
      <c r="A43" s="2" t="s">
        <v>97</v>
      </c>
      <c r="B43" s="2" t="s">
        <v>62</v>
      </c>
      <c r="C43" s="2">
        <v>1</v>
      </c>
      <c r="D43" s="60">
        <v>42.459299999999999</v>
      </c>
      <c r="E43" s="2">
        <v>3396.75</v>
      </c>
      <c r="F43" s="2">
        <v>507.709</v>
      </c>
      <c r="G43" s="2">
        <v>117.276</v>
      </c>
      <c r="H43" s="2">
        <v>0</v>
      </c>
      <c r="I43" s="2">
        <v>29.058800000000002</v>
      </c>
      <c r="J43" s="2">
        <v>1.5714900000000001</v>
      </c>
      <c r="K43" s="2">
        <v>28.996300000000002</v>
      </c>
      <c r="L43" s="2">
        <v>0</v>
      </c>
      <c r="M43" s="2">
        <v>0</v>
      </c>
    </row>
    <row r="44" spans="1:19">
      <c r="A44" s="2" t="s">
        <v>97</v>
      </c>
      <c r="B44" s="2" t="s">
        <v>63</v>
      </c>
      <c r="C44" s="2">
        <v>1</v>
      </c>
      <c r="D44" s="60">
        <v>24.098299999999998</v>
      </c>
      <c r="E44" s="2">
        <v>1686.88</v>
      </c>
      <c r="F44" s="2">
        <v>424.53800000000001</v>
      </c>
      <c r="G44" s="2">
        <v>76.937799999999996</v>
      </c>
      <c r="H44" s="2">
        <v>0</v>
      </c>
      <c r="I44" s="2">
        <v>22.1753</v>
      </c>
      <c r="J44" s="2">
        <v>1.6115299999999999</v>
      </c>
      <c r="K44" s="2">
        <v>22.064</v>
      </c>
      <c r="L44" s="2">
        <v>0</v>
      </c>
      <c r="M44" s="2">
        <v>0</v>
      </c>
    </row>
    <row r="45" spans="1:19">
      <c r="A45" s="2" t="s">
        <v>97</v>
      </c>
      <c r="B45" s="2" t="s">
        <v>64</v>
      </c>
      <c r="C45" s="2">
        <v>1</v>
      </c>
      <c r="D45" s="60">
        <v>31.7502</v>
      </c>
      <c r="E45" s="2">
        <v>952.50699999999995</v>
      </c>
      <c r="F45" s="2">
        <v>1023.76</v>
      </c>
      <c r="G45" s="2">
        <v>226.93</v>
      </c>
      <c r="H45" s="2">
        <v>0</v>
      </c>
      <c r="I45" s="2">
        <v>15.0067</v>
      </c>
      <c r="J45" s="2">
        <v>1.4651799999999999</v>
      </c>
      <c r="K45" s="2">
        <v>16.196300000000001</v>
      </c>
      <c r="L45" s="2">
        <v>0</v>
      </c>
      <c r="M45" s="2">
        <v>0</v>
      </c>
    </row>
    <row r="46" spans="1:19">
      <c r="A46" s="2" t="s">
        <v>93</v>
      </c>
      <c r="B46" s="2" t="s">
        <v>94</v>
      </c>
      <c r="C46" s="2" t="s">
        <v>95</v>
      </c>
      <c r="D46" s="60" t="s">
        <v>104</v>
      </c>
      <c r="E46" s="2" t="s">
        <v>68</v>
      </c>
      <c r="F46" s="2">
        <v>28</v>
      </c>
      <c r="G46" s="2">
        <v>82.569900000000004</v>
      </c>
      <c r="H46" s="2">
        <v>27.172000000000001</v>
      </c>
      <c r="I46" s="2">
        <v>385.35399999999998</v>
      </c>
      <c r="J46" s="2">
        <v>680.14200000000005</v>
      </c>
      <c r="K46" s="2">
        <v>466.06200000000001</v>
      </c>
      <c r="L46" s="2">
        <v>0</v>
      </c>
      <c r="M46" s="2">
        <v>1</v>
      </c>
      <c r="N46" s="2">
        <v>1</v>
      </c>
      <c r="O46" s="2">
        <v>44981.8</v>
      </c>
      <c r="P46" s="2">
        <v>0</v>
      </c>
      <c r="Q46" s="2">
        <v>0</v>
      </c>
      <c r="R46" s="2">
        <v>463.72899999999998</v>
      </c>
      <c r="S46" s="2">
        <v>0</v>
      </c>
    </row>
    <row r="47" spans="1:19">
      <c r="A47" s="2" t="s">
        <v>97</v>
      </c>
      <c r="B47" s="2" t="s">
        <v>98</v>
      </c>
      <c r="C47" s="2">
        <v>0</v>
      </c>
      <c r="D47" s="60">
        <v>44.743699999999997</v>
      </c>
      <c r="E47" s="2">
        <v>0</v>
      </c>
      <c r="F47" s="2">
        <v>1766.93</v>
      </c>
      <c r="G47" s="2">
        <v>346.77</v>
      </c>
      <c r="H47" s="2">
        <v>0</v>
      </c>
      <c r="I47" s="2">
        <v>10</v>
      </c>
      <c r="J47" s="2">
        <v>1.8876200000000001</v>
      </c>
      <c r="K47" s="2">
        <v>10</v>
      </c>
      <c r="L47" s="2">
        <v>0</v>
      </c>
      <c r="M47" s="2">
        <v>0</v>
      </c>
    </row>
    <row r="48" spans="1:19">
      <c r="A48" s="2" t="s">
        <v>97</v>
      </c>
      <c r="B48" s="2" t="s">
        <v>99</v>
      </c>
      <c r="C48" s="2">
        <v>0</v>
      </c>
      <c r="D48" s="60">
        <v>24.916499999999999</v>
      </c>
      <c r="E48" s="2">
        <v>0</v>
      </c>
      <c r="F48" s="2">
        <v>115.60599999999999</v>
      </c>
      <c r="G48" s="2">
        <v>385.35399999999998</v>
      </c>
      <c r="H48" s="2">
        <v>0</v>
      </c>
      <c r="I48" s="2">
        <v>50.589500000000001</v>
      </c>
      <c r="J48" s="2">
        <v>8.7066199999999991</v>
      </c>
      <c r="K48" s="2">
        <v>51.122900000000001</v>
      </c>
      <c r="L48" s="2">
        <v>0</v>
      </c>
      <c r="M48" s="2">
        <v>0</v>
      </c>
    </row>
    <row r="49" spans="1:19">
      <c r="A49" s="2" t="s">
        <v>97</v>
      </c>
      <c r="B49" s="2" t="s">
        <v>100</v>
      </c>
      <c r="C49" s="2">
        <v>0</v>
      </c>
      <c r="D49" s="60">
        <v>8.3280499999999993</v>
      </c>
      <c r="E49" s="2">
        <v>0</v>
      </c>
      <c r="F49" s="2">
        <v>2628.23</v>
      </c>
      <c r="G49" s="2">
        <v>482.47699999999998</v>
      </c>
      <c r="H49" s="2">
        <v>0</v>
      </c>
      <c r="I49" s="2">
        <v>0</v>
      </c>
      <c r="J49" s="2">
        <v>1.83575</v>
      </c>
      <c r="K49" s="2">
        <v>0</v>
      </c>
      <c r="L49" s="2">
        <v>0</v>
      </c>
      <c r="M49" s="2">
        <v>0</v>
      </c>
    </row>
    <row r="50" spans="1:19">
      <c r="A50" s="2" t="s">
        <v>97</v>
      </c>
      <c r="B50" s="2" t="s">
        <v>101</v>
      </c>
      <c r="C50" s="2">
        <v>0</v>
      </c>
      <c r="D50" s="60">
        <v>136.09200000000001</v>
      </c>
      <c r="E50" s="2">
        <v>0</v>
      </c>
      <c r="F50" s="2">
        <v>2636.32</v>
      </c>
      <c r="G50" s="2">
        <v>812.06100000000004</v>
      </c>
      <c r="H50" s="2">
        <v>0</v>
      </c>
      <c r="I50" s="2">
        <v>21.552299999999999</v>
      </c>
      <c r="J50" s="2">
        <v>1.94828</v>
      </c>
      <c r="K50" s="2">
        <v>20.192900000000002</v>
      </c>
      <c r="L50" s="2">
        <v>0</v>
      </c>
      <c r="M50" s="2">
        <v>0</v>
      </c>
    </row>
    <row r="51" spans="1:19">
      <c r="A51" s="2" t="s">
        <v>97</v>
      </c>
      <c r="B51" s="2" t="s">
        <v>55</v>
      </c>
      <c r="C51" s="2">
        <v>1</v>
      </c>
      <c r="D51" s="60">
        <v>64.477400000000003</v>
      </c>
      <c r="E51" s="2">
        <v>9349.2199999999993</v>
      </c>
      <c r="F51" s="2">
        <v>301.38900000000001</v>
      </c>
      <c r="G51" s="2">
        <v>59.040799999999997</v>
      </c>
      <c r="H51" s="2">
        <v>0</v>
      </c>
      <c r="I51" s="2">
        <v>46.900199999999998</v>
      </c>
      <c r="J51" s="2">
        <v>2.6563099999999999</v>
      </c>
      <c r="K51" s="2">
        <v>47.458399999999997</v>
      </c>
      <c r="L51" s="2">
        <v>0</v>
      </c>
      <c r="M51" s="2">
        <v>0</v>
      </c>
    </row>
    <row r="52" spans="1:19">
      <c r="A52" s="2" t="s">
        <v>97</v>
      </c>
      <c r="B52" s="2" t="s">
        <v>56</v>
      </c>
      <c r="C52" s="2">
        <v>1</v>
      </c>
      <c r="D52" s="60">
        <v>52.040599999999998</v>
      </c>
      <c r="E52" s="2">
        <v>7285.68</v>
      </c>
      <c r="F52" s="2">
        <v>384.98399999999998</v>
      </c>
      <c r="G52" s="2">
        <v>76.8249</v>
      </c>
      <c r="H52" s="2">
        <v>0</v>
      </c>
      <c r="I52" s="2">
        <v>37.159300000000002</v>
      </c>
      <c r="J52" s="2">
        <v>2.27129</v>
      </c>
      <c r="K52" s="2">
        <v>37.423699999999997</v>
      </c>
      <c r="L52" s="2">
        <v>0</v>
      </c>
      <c r="M52" s="2">
        <v>0</v>
      </c>
    </row>
    <row r="53" spans="1:19">
      <c r="A53" s="2" t="s">
        <v>97</v>
      </c>
      <c r="B53" s="2" t="s">
        <v>57</v>
      </c>
      <c r="C53" s="2">
        <v>1</v>
      </c>
      <c r="D53" s="60">
        <v>12.808400000000001</v>
      </c>
      <c r="E53" s="2">
        <v>1537</v>
      </c>
      <c r="F53" s="2">
        <v>77.884100000000004</v>
      </c>
      <c r="G53" s="2">
        <v>19.471</v>
      </c>
      <c r="H53" s="2">
        <v>0</v>
      </c>
      <c r="I53" s="2">
        <v>42.060200000000002</v>
      </c>
      <c r="J53" s="2">
        <v>2.7161200000000001</v>
      </c>
      <c r="K53" s="2">
        <v>42.060200000000002</v>
      </c>
      <c r="L53" s="2">
        <v>0</v>
      </c>
      <c r="M53" s="2">
        <v>0</v>
      </c>
    </row>
    <row r="54" spans="1:19">
      <c r="A54" s="2" t="s">
        <v>97</v>
      </c>
      <c r="B54" s="2" t="s">
        <v>58</v>
      </c>
      <c r="C54" s="2">
        <v>1</v>
      </c>
      <c r="D54" s="60">
        <v>12.997199999999999</v>
      </c>
      <c r="E54" s="2">
        <v>1364.71</v>
      </c>
      <c r="F54" s="2">
        <v>79.076899999999995</v>
      </c>
      <c r="G54" s="2">
        <v>19.769200000000001</v>
      </c>
      <c r="H54" s="2">
        <v>0</v>
      </c>
      <c r="I54" s="2">
        <v>42.604300000000002</v>
      </c>
      <c r="J54" s="2">
        <v>1.4986699999999999</v>
      </c>
      <c r="K54" s="2">
        <v>42.604300000000002</v>
      </c>
      <c r="L54" s="2">
        <v>0</v>
      </c>
      <c r="M54" s="2">
        <v>0</v>
      </c>
    </row>
    <row r="55" spans="1:19">
      <c r="A55" s="2" t="s">
        <v>97</v>
      </c>
      <c r="B55" s="2" t="s">
        <v>59</v>
      </c>
      <c r="C55" s="2">
        <v>1</v>
      </c>
      <c r="D55" s="60">
        <v>132.83099999999999</v>
      </c>
      <c r="E55" s="2">
        <v>13283.1</v>
      </c>
      <c r="F55" s="2">
        <v>1165.6400000000001</v>
      </c>
      <c r="G55" s="2">
        <v>252.51900000000001</v>
      </c>
      <c r="H55" s="2">
        <v>0</v>
      </c>
      <c r="I55" s="2">
        <v>34.713700000000003</v>
      </c>
      <c r="J55" s="2">
        <v>1.5303100000000001</v>
      </c>
      <c r="K55" s="2">
        <v>34.6327</v>
      </c>
      <c r="L55" s="2">
        <v>0</v>
      </c>
      <c r="M55" s="2">
        <v>0</v>
      </c>
    </row>
    <row r="56" spans="1:19">
      <c r="A56" s="2" t="s">
        <v>97</v>
      </c>
      <c r="B56" s="2" t="s">
        <v>60</v>
      </c>
      <c r="C56" s="2">
        <v>1</v>
      </c>
      <c r="D56" s="60">
        <v>32.442999999999998</v>
      </c>
      <c r="E56" s="2">
        <v>2919.87</v>
      </c>
      <c r="F56" s="2">
        <v>487.56700000000001</v>
      </c>
      <c r="G56" s="2">
        <v>113.182</v>
      </c>
      <c r="H56" s="2">
        <v>0</v>
      </c>
      <c r="I56" s="2">
        <v>26.172599999999999</v>
      </c>
      <c r="J56" s="2">
        <v>1.4494400000000001</v>
      </c>
      <c r="K56" s="2">
        <v>26.068999999999999</v>
      </c>
      <c r="L56" s="2">
        <v>0</v>
      </c>
      <c r="M56" s="2">
        <v>0</v>
      </c>
    </row>
    <row r="57" spans="1:19">
      <c r="A57" s="2" t="s">
        <v>97</v>
      </c>
      <c r="B57" s="2" t="s">
        <v>61</v>
      </c>
      <c r="C57" s="2">
        <v>1</v>
      </c>
      <c r="D57" s="60">
        <v>3.1062799999999999</v>
      </c>
      <c r="E57" s="2">
        <v>264.03399999999999</v>
      </c>
      <c r="F57" s="2">
        <v>78.049499999999995</v>
      </c>
      <c r="G57" s="2">
        <v>19.5124</v>
      </c>
      <c r="H57" s="2">
        <v>0</v>
      </c>
      <c r="I57" s="2">
        <v>18.2102</v>
      </c>
      <c r="J57" s="2">
        <v>2.0601699999999998</v>
      </c>
      <c r="K57" s="2">
        <v>18.2102</v>
      </c>
      <c r="L57" s="2">
        <v>0</v>
      </c>
      <c r="M57" s="2">
        <v>0</v>
      </c>
    </row>
    <row r="58" spans="1:19">
      <c r="A58" s="2" t="s">
        <v>97</v>
      </c>
      <c r="B58" s="2" t="s">
        <v>62</v>
      </c>
      <c r="C58" s="2">
        <v>1</v>
      </c>
      <c r="D58" s="60">
        <v>67.981800000000007</v>
      </c>
      <c r="E58" s="2">
        <v>5438.54</v>
      </c>
      <c r="F58" s="2">
        <v>506.49799999999999</v>
      </c>
      <c r="G58" s="2">
        <v>97.3994</v>
      </c>
      <c r="H58" s="2">
        <v>0</v>
      </c>
      <c r="I58" s="2">
        <v>37.1355</v>
      </c>
      <c r="J58" s="2">
        <v>2.0299700000000001</v>
      </c>
      <c r="K58" s="2">
        <v>36.917900000000003</v>
      </c>
      <c r="L58" s="2">
        <v>0</v>
      </c>
      <c r="M58" s="2">
        <v>0</v>
      </c>
    </row>
    <row r="59" spans="1:19">
      <c r="A59" s="2" t="s">
        <v>97</v>
      </c>
      <c r="B59" s="2" t="s">
        <v>63</v>
      </c>
      <c r="C59" s="2">
        <v>1</v>
      </c>
      <c r="D59" s="60">
        <v>22.957799999999999</v>
      </c>
      <c r="E59" s="2">
        <v>1607.04</v>
      </c>
      <c r="F59" s="2">
        <v>467.57</v>
      </c>
      <c r="G59" s="2">
        <v>97.574299999999994</v>
      </c>
      <c r="H59" s="2">
        <v>0</v>
      </c>
      <c r="I59" s="2">
        <v>20.1463</v>
      </c>
      <c r="J59" s="2">
        <v>1.5210300000000001</v>
      </c>
      <c r="K59" s="2">
        <v>20.602399999999999</v>
      </c>
      <c r="L59" s="2">
        <v>0</v>
      </c>
      <c r="M59" s="2">
        <v>0</v>
      </c>
    </row>
    <row r="60" spans="1:19">
      <c r="A60" s="2" t="s">
        <v>97</v>
      </c>
      <c r="B60" s="2" t="s">
        <v>64</v>
      </c>
      <c r="C60" s="2">
        <v>1</v>
      </c>
      <c r="D60" s="60">
        <v>64.418999999999997</v>
      </c>
      <c r="E60" s="2">
        <v>1932.57</v>
      </c>
      <c r="F60" s="2">
        <v>1356.95</v>
      </c>
      <c r="G60" s="2">
        <v>308.01299999999998</v>
      </c>
      <c r="H60" s="2">
        <v>0</v>
      </c>
      <c r="I60" s="2">
        <v>20.940899999999999</v>
      </c>
      <c r="J60" s="2">
        <v>1.2899499999999999</v>
      </c>
      <c r="K60" s="2">
        <v>21.8018</v>
      </c>
      <c r="L60" s="2">
        <v>0</v>
      </c>
      <c r="M60" s="2">
        <v>0</v>
      </c>
    </row>
    <row r="61" spans="1:19">
      <c r="A61" s="2" t="s">
        <v>93</v>
      </c>
      <c r="B61" s="2" t="s">
        <v>94</v>
      </c>
      <c r="C61" s="2" t="s">
        <v>95</v>
      </c>
      <c r="D61" s="60" t="s">
        <v>104</v>
      </c>
      <c r="E61" s="2" t="s">
        <v>69</v>
      </c>
      <c r="F61" s="2">
        <v>28</v>
      </c>
      <c r="G61" s="2">
        <v>72.209500000000006</v>
      </c>
      <c r="H61" s="2">
        <v>27.654399999999999</v>
      </c>
      <c r="I61" s="2">
        <v>348.82499999999999</v>
      </c>
      <c r="J61" s="2">
        <v>620.35799999999995</v>
      </c>
      <c r="K61" s="2">
        <v>519.59299999999996</v>
      </c>
      <c r="L61" s="2">
        <v>0</v>
      </c>
      <c r="M61" s="2">
        <v>1</v>
      </c>
      <c r="N61" s="2">
        <v>1</v>
      </c>
      <c r="O61" s="2">
        <v>50496.3</v>
      </c>
      <c r="P61" s="2">
        <v>0</v>
      </c>
      <c r="Q61" s="2">
        <v>0</v>
      </c>
      <c r="R61" s="2">
        <v>464.596</v>
      </c>
      <c r="S61" s="2">
        <v>0</v>
      </c>
    </row>
    <row r="62" spans="1:19">
      <c r="A62" s="2" t="s">
        <v>97</v>
      </c>
      <c r="B62" s="2" t="s">
        <v>98</v>
      </c>
      <c r="C62" s="2">
        <v>0</v>
      </c>
      <c r="D62" s="60">
        <v>23.822399999999998</v>
      </c>
      <c r="E62" s="2">
        <v>0</v>
      </c>
      <c r="F62" s="2">
        <v>1034.57</v>
      </c>
      <c r="G62" s="2">
        <v>213.875</v>
      </c>
      <c r="H62" s="2">
        <v>0</v>
      </c>
      <c r="I62" s="2">
        <v>11.5762</v>
      </c>
      <c r="J62" s="2">
        <v>1.7597799999999999</v>
      </c>
      <c r="K62" s="2">
        <v>11.601000000000001</v>
      </c>
      <c r="L62" s="2">
        <v>0</v>
      </c>
      <c r="M62" s="2">
        <v>0</v>
      </c>
    </row>
    <row r="63" spans="1:19">
      <c r="A63" s="2" t="s">
        <v>97</v>
      </c>
      <c r="B63" s="2" t="s">
        <v>99</v>
      </c>
      <c r="C63" s="2">
        <v>0</v>
      </c>
      <c r="D63" s="60">
        <v>21.9026</v>
      </c>
      <c r="E63" s="2">
        <v>0</v>
      </c>
      <c r="F63" s="2">
        <v>104.64700000000001</v>
      </c>
      <c r="G63" s="2">
        <v>348.82499999999999</v>
      </c>
      <c r="H63" s="2">
        <v>0</v>
      </c>
      <c r="I63" s="2">
        <v>49.821800000000003</v>
      </c>
      <c r="J63" s="2">
        <v>8.3233499999999996</v>
      </c>
      <c r="K63" s="2">
        <v>50.415199999999999</v>
      </c>
      <c r="L63" s="2">
        <v>0</v>
      </c>
      <c r="M63" s="2">
        <v>0</v>
      </c>
    </row>
    <row r="64" spans="1:19">
      <c r="A64" s="2" t="s">
        <v>97</v>
      </c>
      <c r="B64" s="2" t="s">
        <v>100</v>
      </c>
      <c r="C64" s="2">
        <v>0</v>
      </c>
      <c r="D64" s="60">
        <v>8.3968799999999995</v>
      </c>
      <c r="E64" s="2">
        <v>0</v>
      </c>
      <c r="F64" s="2">
        <v>2702.33</v>
      </c>
      <c r="G64" s="2">
        <v>445.38799999999998</v>
      </c>
      <c r="H64" s="2">
        <v>0</v>
      </c>
      <c r="I64" s="2">
        <v>0</v>
      </c>
      <c r="J64" s="2">
        <v>1.6481699999999999</v>
      </c>
      <c r="K64" s="2">
        <v>0</v>
      </c>
      <c r="L64" s="2">
        <v>0</v>
      </c>
      <c r="M64" s="2">
        <v>0</v>
      </c>
    </row>
    <row r="65" spans="1:19">
      <c r="A65" s="2" t="s">
        <v>97</v>
      </c>
      <c r="B65" s="2" t="s">
        <v>101</v>
      </c>
      <c r="C65" s="2">
        <v>0</v>
      </c>
      <c r="D65" s="60">
        <v>46.6432</v>
      </c>
      <c r="E65" s="2">
        <v>0</v>
      </c>
      <c r="F65" s="2">
        <v>1021.72</v>
      </c>
      <c r="G65" s="2">
        <v>852.97500000000002</v>
      </c>
      <c r="H65" s="2">
        <v>0</v>
      </c>
      <c r="I65" s="2">
        <v>18.952300000000001</v>
      </c>
      <c r="J65" s="2">
        <v>2.5968399999999998</v>
      </c>
      <c r="K65" s="2">
        <v>20.795000000000002</v>
      </c>
      <c r="L65" s="2">
        <v>0</v>
      </c>
      <c r="M65" s="2">
        <v>0</v>
      </c>
    </row>
    <row r="66" spans="1:19">
      <c r="A66" s="2" t="s">
        <v>97</v>
      </c>
      <c r="B66" s="2" t="s">
        <v>55</v>
      </c>
      <c r="C66" s="2">
        <v>1</v>
      </c>
      <c r="D66" s="60">
        <v>20.402200000000001</v>
      </c>
      <c r="E66" s="2">
        <v>2958.31</v>
      </c>
      <c r="F66" s="2">
        <v>119.89100000000001</v>
      </c>
      <c r="G66" s="2">
        <v>19.654199999999999</v>
      </c>
      <c r="H66" s="2">
        <v>0</v>
      </c>
      <c r="I66" s="2">
        <v>41.723300000000002</v>
      </c>
      <c r="J66" s="2">
        <v>2.2953299999999999</v>
      </c>
      <c r="K66" s="2">
        <v>41.723300000000002</v>
      </c>
      <c r="L66" s="2">
        <v>0</v>
      </c>
      <c r="M66" s="2">
        <v>0</v>
      </c>
    </row>
    <row r="67" spans="1:19">
      <c r="A67" s="2" t="s">
        <v>97</v>
      </c>
      <c r="B67" s="2" t="s">
        <v>56</v>
      </c>
      <c r="C67" s="2">
        <v>1</v>
      </c>
      <c r="D67" s="60">
        <v>92.552499999999995</v>
      </c>
      <c r="E67" s="2">
        <v>12957.4</v>
      </c>
      <c r="F67" s="2">
        <v>709.18399999999997</v>
      </c>
      <c r="G67" s="2">
        <v>135.88999999999999</v>
      </c>
      <c r="H67" s="2">
        <v>0</v>
      </c>
      <c r="I67" s="2">
        <v>36.790700000000001</v>
      </c>
      <c r="J67" s="2">
        <v>2.1067100000000001</v>
      </c>
      <c r="K67" s="2">
        <v>36.939799999999998</v>
      </c>
      <c r="L67" s="2">
        <v>0</v>
      </c>
      <c r="M67" s="2">
        <v>0</v>
      </c>
    </row>
    <row r="68" spans="1:19">
      <c r="A68" s="2" t="s">
        <v>97</v>
      </c>
      <c r="B68" s="2" t="s">
        <v>57</v>
      </c>
      <c r="C68" s="2">
        <v>1</v>
      </c>
      <c r="D68" s="60">
        <v>13.4489</v>
      </c>
      <c r="E68" s="2">
        <v>1613.87</v>
      </c>
      <c r="F68" s="2">
        <v>78.463499999999996</v>
      </c>
      <c r="G68" s="2">
        <v>19.6159</v>
      </c>
      <c r="H68" s="2">
        <v>0</v>
      </c>
      <c r="I68" s="2">
        <v>42.993200000000002</v>
      </c>
      <c r="J68" s="2">
        <v>2.7319300000000002</v>
      </c>
      <c r="K68" s="2">
        <v>42.993200000000002</v>
      </c>
      <c r="L68" s="2">
        <v>0</v>
      </c>
      <c r="M68" s="2">
        <v>0</v>
      </c>
    </row>
    <row r="69" spans="1:19">
      <c r="A69" s="2" t="s">
        <v>97</v>
      </c>
      <c r="B69" s="2" t="s">
        <v>58</v>
      </c>
      <c r="C69" s="2">
        <v>1</v>
      </c>
      <c r="D69" s="60">
        <v>54.414900000000003</v>
      </c>
      <c r="E69" s="2">
        <v>5713.57</v>
      </c>
      <c r="F69" s="2">
        <v>316.61200000000002</v>
      </c>
      <c r="G69" s="2">
        <v>79.152900000000002</v>
      </c>
      <c r="H69" s="2">
        <v>0</v>
      </c>
      <c r="I69" s="2">
        <v>43.601399999999998</v>
      </c>
      <c r="J69" s="2">
        <v>1.7436499999999999</v>
      </c>
      <c r="K69" s="2">
        <v>43.657800000000002</v>
      </c>
      <c r="L69" s="2">
        <v>0</v>
      </c>
      <c r="M69" s="2">
        <v>0</v>
      </c>
    </row>
    <row r="70" spans="1:19">
      <c r="A70" s="2" t="s">
        <v>97</v>
      </c>
      <c r="B70" s="2" t="s">
        <v>59</v>
      </c>
      <c r="C70" s="2">
        <v>1</v>
      </c>
      <c r="D70" s="60">
        <v>85.287700000000001</v>
      </c>
      <c r="E70" s="2">
        <v>8528.77</v>
      </c>
      <c r="F70" s="2">
        <v>857.08299999999997</v>
      </c>
      <c r="G70" s="2">
        <v>214.27099999999999</v>
      </c>
      <c r="H70" s="2">
        <v>0</v>
      </c>
      <c r="I70" s="2">
        <v>32.847200000000001</v>
      </c>
      <c r="J70" s="2">
        <v>1.3531299999999999</v>
      </c>
      <c r="K70" s="2">
        <v>32.909999999999997</v>
      </c>
      <c r="L70" s="2">
        <v>0</v>
      </c>
      <c r="M70" s="2">
        <v>0</v>
      </c>
    </row>
    <row r="71" spans="1:19">
      <c r="A71" s="2" t="s">
        <v>97</v>
      </c>
      <c r="B71" s="2" t="s">
        <v>60</v>
      </c>
      <c r="C71" s="2">
        <v>1</v>
      </c>
      <c r="D71" s="60">
        <v>72.423100000000005</v>
      </c>
      <c r="E71" s="2">
        <v>6518.08</v>
      </c>
      <c r="F71" s="2">
        <v>1034.4100000000001</v>
      </c>
      <c r="G71" s="2">
        <v>230.10300000000001</v>
      </c>
      <c r="H71" s="2">
        <v>0</v>
      </c>
      <c r="I71" s="2">
        <v>26.3032</v>
      </c>
      <c r="J71" s="2">
        <v>1.4871000000000001</v>
      </c>
      <c r="K71" s="2">
        <v>26.478300000000001</v>
      </c>
      <c r="L71" s="2">
        <v>0</v>
      </c>
      <c r="M71" s="2">
        <v>0</v>
      </c>
    </row>
    <row r="72" spans="1:19">
      <c r="A72" s="2" t="s">
        <v>97</v>
      </c>
      <c r="B72" s="2" t="s">
        <v>61</v>
      </c>
      <c r="C72" s="2">
        <v>1</v>
      </c>
      <c r="D72" s="60">
        <v>18.677399999999999</v>
      </c>
      <c r="E72" s="2">
        <v>1587.58</v>
      </c>
      <c r="F72" s="2">
        <v>463.779</v>
      </c>
      <c r="G72" s="2">
        <v>96.901899999999998</v>
      </c>
      <c r="H72" s="2">
        <v>0</v>
      </c>
      <c r="I72" s="2">
        <v>17.8278</v>
      </c>
      <c r="J72" s="2">
        <v>1.81325</v>
      </c>
      <c r="K72" s="2">
        <v>17.873699999999999</v>
      </c>
      <c r="L72" s="2">
        <v>0</v>
      </c>
      <c r="M72" s="2">
        <v>0</v>
      </c>
    </row>
    <row r="73" spans="1:19">
      <c r="A73" s="2" t="s">
        <v>97</v>
      </c>
      <c r="B73" s="2" t="s">
        <v>62</v>
      </c>
      <c r="C73" s="2">
        <v>1</v>
      </c>
      <c r="D73" s="60">
        <v>103.08799999999999</v>
      </c>
      <c r="E73" s="2">
        <v>8247.0499999999993</v>
      </c>
      <c r="F73" s="2">
        <v>669.51700000000005</v>
      </c>
      <c r="G73" s="2">
        <v>157.44300000000001</v>
      </c>
      <c r="H73" s="2">
        <v>0</v>
      </c>
      <c r="I73" s="2">
        <v>38.992400000000004</v>
      </c>
      <c r="J73" s="2">
        <v>1.9700800000000001</v>
      </c>
      <c r="K73" s="2">
        <v>40.617100000000001</v>
      </c>
      <c r="L73" s="2">
        <v>0</v>
      </c>
      <c r="M73" s="2">
        <v>0</v>
      </c>
    </row>
    <row r="74" spans="1:19">
      <c r="A74" s="2" t="s">
        <v>97</v>
      </c>
      <c r="B74" s="2" t="s">
        <v>63</v>
      </c>
      <c r="C74" s="2">
        <v>1</v>
      </c>
      <c r="D74" s="60">
        <v>14.818199999999999</v>
      </c>
      <c r="E74" s="2">
        <v>1037.27</v>
      </c>
      <c r="F74" s="2">
        <v>345.35599999999999</v>
      </c>
      <c r="G74" s="2">
        <v>76.555800000000005</v>
      </c>
      <c r="H74" s="2">
        <v>0</v>
      </c>
      <c r="I74" s="2">
        <v>20.735600000000002</v>
      </c>
      <c r="J74" s="2">
        <v>1.06054</v>
      </c>
      <c r="K74" s="2">
        <v>20.833600000000001</v>
      </c>
      <c r="L74" s="2">
        <v>0</v>
      </c>
      <c r="M74" s="2">
        <v>0</v>
      </c>
    </row>
    <row r="75" spans="1:19">
      <c r="A75" s="2" t="s">
        <v>97</v>
      </c>
      <c r="B75" s="2" t="s">
        <v>64</v>
      </c>
      <c r="C75" s="2">
        <v>1</v>
      </c>
      <c r="D75" s="60">
        <v>44.480200000000004</v>
      </c>
      <c r="E75" s="2">
        <v>1334.41</v>
      </c>
      <c r="F75" s="2">
        <v>1421.93</v>
      </c>
      <c r="G75" s="2">
        <v>308.8</v>
      </c>
      <c r="H75" s="2">
        <v>0</v>
      </c>
      <c r="I75" s="2">
        <v>14.745200000000001</v>
      </c>
      <c r="J75" s="2">
        <v>1.3075399999999999</v>
      </c>
      <c r="K75" s="2">
        <v>17.177199999999999</v>
      </c>
      <c r="L75" s="2">
        <v>0</v>
      </c>
      <c r="M75" s="2">
        <v>0</v>
      </c>
    </row>
    <row r="76" spans="1:19">
      <c r="A76" s="2" t="s">
        <v>93</v>
      </c>
      <c r="B76" s="2" t="s">
        <v>94</v>
      </c>
      <c r="C76" s="2" t="s">
        <v>95</v>
      </c>
      <c r="D76" s="60" t="s">
        <v>104</v>
      </c>
      <c r="E76" s="2" t="s">
        <v>70</v>
      </c>
      <c r="F76" s="2">
        <v>28</v>
      </c>
      <c r="G76" s="2">
        <v>78.016000000000005</v>
      </c>
      <c r="H76" s="2">
        <v>27.6798</v>
      </c>
      <c r="I76" s="2">
        <v>359.51900000000001</v>
      </c>
      <c r="J76" s="2">
        <v>665.48400000000004</v>
      </c>
      <c r="K76" s="2">
        <v>529.38199999999995</v>
      </c>
      <c r="L76" s="2">
        <v>0</v>
      </c>
      <c r="M76" s="2">
        <v>1</v>
      </c>
      <c r="N76" s="2">
        <v>1</v>
      </c>
      <c r="O76" s="2">
        <v>57621.8</v>
      </c>
      <c r="P76" s="2">
        <v>0</v>
      </c>
      <c r="Q76" s="2">
        <v>0</v>
      </c>
      <c r="R76" s="2">
        <v>387.24799999999999</v>
      </c>
      <c r="S76" s="2">
        <v>0</v>
      </c>
    </row>
    <row r="77" spans="1:19">
      <c r="A77" s="2" t="s">
        <v>97</v>
      </c>
      <c r="B77" s="2" t="s">
        <v>98</v>
      </c>
      <c r="C77" s="2">
        <v>0</v>
      </c>
      <c r="D77" s="60">
        <v>37.891300000000001</v>
      </c>
      <c r="E77" s="2">
        <v>0</v>
      </c>
      <c r="F77" s="2">
        <v>1368.18</v>
      </c>
      <c r="G77" s="2">
        <v>276.97199999999998</v>
      </c>
      <c r="H77" s="2">
        <v>0</v>
      </c>
      <c r="I77" s="2">
        <v>10.454800000000001</v>
      </c>
      <c r="J77" s="2">
        <v>1.93788</v>
      </c>
      <c r="K77" s="2">
        <v>10.281499999999999</v>
      </c>
      <c r="L77" s="2">
        <v>0</v>
      </c>
      <c r="M77" s="2">
        <v>0</v>
      </c>
    </row>
    <row r="78" spans="1:19">
      <c r="A78" s="2" t="s">
        <v>97</v>
      </c>
      <c r="B78" s="2" t="s">
        <v>99</v>
      </c>
      <c r="C78" s="2">
        <v>0</v>
      </c>
      <c r="D78" s="60">
        <v>23.464700000000001</v>
      </c>
      <c r="E78" s="2">
        <v>0</v>
      </c>
      <c r="F78" s="2">
        <v>107.85599999999999</v>
      </c>
      <c r="G78" s="2">
        <v>359.51900000000001</v>
      </c>
      <c r="H78" s="2">
        <v>0</v>
      </c>
      <c r="I78" s="2">
        <v>50.409199999999998</v>
      </c>
      <c r="J78" s="2">
        <v>8.3906399999999994</v>
      </c>
      <c r="K78" s="2">
        <v>51.4041</v>
      </c>
      <c r="L78" s="2">
        <v>0</v>
      </c>
      <c r="M78" s="2">
        <v>0</v>
      </c>
    </row>
    <row r="79" spans="1:19">
      <c r="A79" s="2" t="s">
        <v>97</v>
      </c>
      <c r="B79" s="2" t="s">
        <v>100</v>
      </c>
      <c r="C79" s="2">
        <v>0</v>
      </c>
      <c r="D79" s="60">
        <v>4.8919300000000003</v>
      </c>
      <c r="E79" s="2">
        <v>0</v>
      </c>
      <c r="F79" s="2">
        <v>1490.65</v>
      </c>
      <c r="G79" s="2">
        <v>333.209</v>
      </c>
      <c r="H79" s="2">
        <v>0</v>
      </c>
      <c r="I79" s="2">
        <v>0.40192899999999998</v>
      </c>
      <c r="J79" s="2">
        <v>2.1455000000000002</v>
      </c>
      <c r="K79" s="2">
        <v>0.38685000000000003</v>
      </c>
      <c r="L79" s="2">
        <v>0</v>
      </c>
      <c r="M79" s="2">
        <v>0</v>
      </c>
    </row>
    <row r="80" spans="1:19">
      <c r="A80" s="2" t="s">
        <v>97</v>
      </c>
      <c r="B80" s="2" t="s">
        <v>101</v>
      </c>
      <c r="C80" s="2">
        <v>0</v>
      </c>
      <c r="D80" s="60">
        <v>69.854200000000006</v>
      </c>
      <c r="E80" s="2">
        <v>0</v>
      </c>
      <c r="F80" s="2">
        <v>1263.9100000000001</v>
      </c>
      <c r="G80" s="2">
        <v>607.18499999999995</v>
      </c>
      <c r="H80" s="2">
        <v>0</v>
      </c>
      <c r="I80" s="2">
        <v>23.064299999999999</v>
      </c>
      <c r="J80" s="2">
        <v>2.1229499999999999</v>
      </c>
      <c r="K80" s="2">
        <v>21.7913</v>
      </c>
      <c r="L80" s="2">
        <v>0</v>
      </c>
      <c r="M80" s="2">
        <v>0</v>
      </c>
    </row>
    <row r="81" spans="1:19">
      <c r="A81" s="2" t="s">
        <v>97</v>
      </c>
      <c r="B81" s="2" t="s">
        <v>55</v>
      </c>
      <c r="C81" s="2">
        <v>1</v>
      </c>
      <c r="D81" s="60">
        <v>133.11199999999999</v>
      </c>
      <c r="E81" s="2">
        <v>19301.2</v>
      </c>
      <c r="F81" s="2">
        <v>697.13400000000001</v>
      </c>
      <c r="G81" s="2">
        <v>126.72</v>
      </c>
      <c r="H81" s="2">
        <v>0</v>
      </c>
      <c r="I81" s="2">
        <v>44.497700000000002</v>
      </c>
      <c r="J81" s="2">
        <v>2.4451700000000001</v>
      </c>
      <c r="K81" s="2">
        <v>44.696800000000003</v>
      </c>
      <c r="L81" s="2">
        <v>0</v>
      </c>
      <c r="M81" s="2">
        <v>0</v>
      </c>
    </row>
    <row r="82" spans="1:19">
      <c r="A82" s="2" t="s">
        <v>97</v>
      </c>
      <c r="B82" s="2" t="s">
        <v>56</v>
      </c>
      <c r="C82" s="2">
        <v>1</v>
      </c>
      <c r="D82" s="60">
        <v>66.101200000000006</v>
      </c>
      <c r="E82" s="2">
        <v>9254.16</v>
      </c>
      <c r="F82" s="2">
        <v>481.93599999999998</v>
      </c>
      <c r="G82" s="2">
        <v>97.425799999999995</v>
      </c>
      <c r="H82" s="2">
        <v>0</v>
      </c>
      <c r="I82" s="2">
        <v>37.859099999999998</v>
      </c>
      <c r="J82" s="2">
        <v>2.1846399999999999</v>
      </c>
      <c r="K82" s="2">
        <v>38.010800000000003</v>
      </c>
      <c r="L82" s="2">
        <v>0</v>
      </c>
      <c r="M82" s="2">
        <v>0</v>
      </c>
    </row>
    <row r="83" spans="1:19">
      <c r="A83" s="2" t="s">
        <v>97</v>
      </c>
      <c r="B83" s="2" t="s">
        <v>57</v>
      </c>
      <c r="C83" s="2">
        <v>1</v>
      </c>
      <c r="D83" s="60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</row>
    <row r="84" spans="1:19">
      <c r="A84" s="2" t="s">
        <v>97</v>
      </c>
      <c r="B84" s="2" t="s">
        <v>58</v>
      </c>
      <c r="C84" s="2">
        <v>1</v>
      </c>
      <c r="D84" s="60">
        <v>58.747399999999999</v>
      </c>
      <c r="E84" s="2">
        <v>6168.48</v>
      </c>
      <c r="F84" s="2">
        <v>311.71300000000002</v>
      </c>
      <c r="G84" s="2">
        <v>70.840900000000005</v>
      </c>
      <c r="H84" s="2">
        <v>0</v>
      </c>
      <c r="I84" s="2">
        <v>45.279299999999999</v>
      </c>
      <c r="J84" s="2">
        <v>1.5879700000000001</v>
      </c>
      <c r="K84" s="2">
        <v>45.271900000000002</v>
      </c>
      <c r="L84" s="2">
        <v>0</v>
      </c>
      <c r="M84" s="2">
        <v>0</v>
      </c>
    </row>
    <row r="85" spans="1:19">
      <c r="A85" s="2" t="s">
        <v>97</v>
      </c>
      <c r="B85" s="2" t="s">
        <v>59</v>
      </c>
      <c r="C85" s="2">
        <v>1</v>
      </c>
      <c r="D85" s="60">
        <v>125.843</v>
      </c>
      <c r="E85" s="2">
        <v>12584.3</v>
      </c>
      <c r="F85" s="2">
        <v>1170.68</v>
      </c>
      <c r="G85" s="2">
        <v>250.77099999999999</v>
      </c>
      <c r="H85" s="2">
        <v>0</v>
      </c>
      <c r="I85" s="2">
        <v>33.548999999999999</v>
      </c>
      <c r="J85" s="2">
        <v>1.47777</v>
      </c>
      <c r="K85" s="2">
        <v>33.5214</v>
      </c>
      <c r="L85" s="2">
        <v>0</v>
      </c>
      <c r="M85" s="2">
        <v>0</v>
      </c>
    </row>
    <row r="86" spans="1:19">
      <c r="A86" s="2" t="s">
        <v>97</v>
      </c>
      <c r="B86" s="2" t="s">
        <v>60</v>
      </c>
      <c r="C86" s="2">
        <v>1</v>
      </c>
      <c r="D86" s="60">
        <v>41.103299999999997</v>
      </c>
      <c r="E86" s="2">
        <v>3699.3</v>
      </c>
      <c r="F86" s="2">
        <v>618.34299999999996</v>
      </c>
      <c r="G86" s="2">
        <v>135.05699999999999</v>
      </c>
      <c r="H86" s="2">
        <v>0</v>
      </c>
      <c r="I86" s="2">
        <v>26.2182</v>
      </c>
      <c r="J86" s="2">
        <v>1.36253</v>
      </c>
      <c r="K86" s="2">
        <v>26.226700000000001</v>
      </c>
      <c r="L86" s="2">
        <v>0</v>
      </c>
      <c r="M86" s="2">
        <v>0</v>
      </c>
    </row>
    <row r="87" spans="1:19">
      <c r="A87" s="2" t="s">
        <v>97</v>
      </c>
      <c r="B87" s="2" t="s">
        <v>61</v>
      </c>
      <c r="C87" s="2">
        <v>1</v>
      </c>
      <c r="D87" s="60">
        <v>5.8340899999999998</v>
      </c>
      <c r="E87" s="2">
        <v>495.89800000000002</v>
      </c>
      <c r="F87" s="2">
        <v>135.815</v>
      </c>
      <c r="G87" s="2">
        <v>27.302099999999999</v>
      </c>
      <c r="H87" s="2">
        <v>0</v>
      </c>
      <c r="I87" s="2">
        <v>19.585899999999999</v>
      </c>
      <c r="J87" s="2">
        <v>1.4116</v>
      </c>
      <c r="K87" s="2">
        <v>19.621700000000001</v>
      </c>
      <c r="L87" s="2">
        <v>0</v>
      </c>
      <c r="M87" s="2">
        <v>0</v>
      </c>
    </row>
    <row r="88" spans="1:19">
      <c r="A88" s="2" t="s">
        <v>97</v>
      </c>
      <c r="B88" s="2" t="s">
        <v>62</v>
      </c>
      <c r="C88" s="2">
        <v>1</v>
      </c>
      <c r="D88" s="60">
        <v>51.272199999999998</v>
      </c>
      <c r="E88" s="2">
        <v>4101.78</v>
      </c>
      <c r="F88" s="2">
        <v>336.62599999999998</v>
      </c>
      <c r="G88" s="2">
        <v>84.156400000000005</v>
      </c>
      <c r="H88" s="2">
        <v>0</v>
      </c>
      <c r="I88" s="2">
        <v>38.781500000000001</v>
      </c>
      <c r="J88" s="2">
        <v>2.1015100000000002</v>
      </c>
      <c r="K88" s="2">
        <v>40.351700000000001</v>
      </c>
      <c r="L88" s="2">
        <v>0</v>
      </c>
      <c r="M88" s="2">
        <v>0</v>
      </c>
    </row>
    <row r="89" spans="1:19">
      <c r="A89" s="2" t="s">
        <v>97</v>
      </c>
      <c r="B89" s="2" t="s">
        <v>63</v>
      </c>
      <c r="C89" s="2">
        <v>1</v>
      </c>
      <c r="D89" s="60">
        <v>14.8889</v>
      </c>
      <c r="E89" s="2">
        <v>1042.22</v>
      </c>
      <c r="F89" s="2">
        <v>388.26100000000002</v>
      </c>
      <c r="G89" s="2">
        <v>83.158799999999999</v>
      </c>
      <c r="H89" s="2">
        <v>0</v>
      </c>
      <c r="I89" s="2">
        <v>17.635899999999999</v>
      </c>
      <c r="J89" s="2">
        <v>1.5932200000000001</v>
      </c>
      <c r="K89" s="2">
        <v>17.8614</v>
      </c>
      <c r="L89" s="2">
        <v>0</v>
      </c>
      <c r="M89" s="2">
        <v>0</v>
      </c>
    </row>
    <row r="90" spans="1:19">
      <c r="A90" s="2" t="s">
        <v>97</v>
      </c>
      <c r="B90" s="2" t="s">
        <v>64</v>
      </c>
      <c r="C90" s="2">
        <v>1</v>
      </c>
      <c r="D90" s="60">
        <v>32.480400000000003</v>
      </c>
      <c r="E90" s="2">
        <v>974.41200000000003</v>
      </c>
      <c r="F90" s="2">
        <v>818.971</v>
      </c>
      <c r="G90" s="2">
        <v>192.95400000000001</v>
      </c>
      <c r="H90" s="2">
        <v>0</v>
      </c>
      <c r="I90" s="2">
        <v>17.895099999999999</v>
      </c>
      <c r="J90" s="2">
        <v>1.55915</v>
      </c>
      <c r="K90" s="2">
        <v>19.102699999999999</v>
      </c>
      <c r="L90" s="2">
        <v>0</v>
      </c>
      <c r="M90" s="2">
        <v>0</v>
      </c>
    </row>
    <row r="91" spans="1:19">
      <c r="A91" s="2" t="s">
        <v>93</v>
      </c>
      <c r="B91" s="2" t="s">
        <v>94</v>
      </c>
      <c r="C91" s="2" t="s">
        <v>95</v>
      </c>
      <c r="D91" s="60" t="s">
        <v>104</v>
      </c>
      <c r="E91" s="2" t="s">
        <v>71</v>
      </c>
      <c r="F91" s="2">
        <v>28</v>
      </c>
      <c r="G91" s="2">
        <v>88.991600000000005</v>
      </c>
      <c r="H91" s="2">
        <v>27.155100000000001</v>
      </c>
      <c r="I91" s="2">
        <v>368.245</v>
      </c>
      <c r="J91" s="2">
        <v>748.44100000000003</v>
      </c>
      <c r="K91" s="2">
        <v>541.19200000000001</v>
      </c>
      <c r="L91" s="2">
        <v>0</v>
      </c>
      <c r="M91" s="2">
        <v>1</v>
      </c>
      <c r="N91" s="2">
        <v>1</v>
      </c>
      <c r="O91" s="2">
        <v>57896.9</v>
      </c>
      <c r="P91" s="2">
        <v>0</v>
      </c>
      <c r="Q91" s="2">
        <v>0</v>
      </c>
      <c r="R91" s="2">
        <v>427.06400000000002</v>
      </c>
      <c r="S91" s="2">
        <v>0</v>
      </c>
    </row>
    <row r="92" spans="1:19">
      <c r="A92" s="2" t="s">
        <v>97</v>
      </c>
      <c r="B92" s="2" t="s">
        <v>98</v>
      </c>
      <c r="C92" s="2">
        <v>0</v>
      </c>
      <c r="D92" s="60">
        <v>39.9236</v>
      </c>
      <c r="E92" s="2">
        <v>0</v>
      </c>
      <c r="F92" s="2">
        <v>1555.57</v>
      </c>
      <c r="G92" s="2">
        <v>314.233</v>
      </c>
      <c r="H92" s="2">
        <v>0</v>
      </c>
      <c r="I92" s="2">
        <v>10.0001</v>
      </c>
      <c r="J92" s="2">
        <v>2.1069</v>
      </c>
      <c r="K92" s="2">
        <v>10.0001</v>
      </c>
      <c r="L92" s="2">
        <v>0</v>
      </c>
      <c r="M92" s="2">
        <v>0</v>
      </c>
    </row>
    <row r="93" spans="1:19">
      <c r="A93" s="2" t="s">
        <v>97</v>
      </c>
      <c r="B93" s="2" t="s">
        <v>99</v>
      </c>
      <c r="C93" s="2">
        <v>0</v>
      </c>
      <c r="D93" s="60">
        <v>26.456900000000001</v>
      </c>
      <c r="E93" s="2">
        <v>0</v>
      </c>
      <c r="F93" s="2">
        <v>110.473</v>
      </c>
      <c r="G93" s="2">
        <v>368.245</v>
      </c>
      <c r="H93" s="2">
        <v>0</v>
      </c>
      <c r="I93" s="2">
        <v>52.8476</v>
      </c>
      <c r="J93" s="2">
        <v>8.91568</v>
      </c>
      <c r="K93" s="2">
        <v>53.914499999999997</v>
      </c>
      <c r="L93" s="2">
        <v>0</v>
      </c>
      <c r="M93" s="2">
        <v>0</v>
      </c>
    </row>
    <row r="94" spans="1:19">
      <c r="A94" s="2" t="s">
        <v>97</v>
      </c>
      <c r="B94" s="2" t="s">
        <v>100</v>
      </c>
      <c r="C94" s="2">
        <v>0</v>
      </c>
      <c r="D94" s="60">
        <v>6.2805099999999996</v>
      </c>
      <c r="E94" s="2">
        <v>0</v>
      </c>
      <c r="F94" s="2">
        <v>1944.21</v>
      </c>
      <c r="G94" s="2">
        <v>407.31599999999997</v>
      </c>
      <c r="H94" s="2">
        <v>0</v>
      </c>
      <c r="I94" s="2">
        <v>0</v>
      </c>
      <c r="J94" s="2">
        <v>2.0950299999999999</v>
      </c>
      <c r="K94" s="2">
        <v>0</v>
      </c>
      <c r="L94" s="2">
        <v>0</v>
      </c>
      <c r="M94" s="2">
        <v>0</v>
      </c>
    </row>
    <row r="95" spans="1:19">
      <c r="A95" s="2" t="s">
        <v>97</v>
      </c>
      <c r="B95" s="2" t="s">
        <v>101</v>
      </c>
      <c r="C95" s="2">
        <v>0</v>
      </c>
      <c r="D95" s="60">
        <v>134.58799999999999</v>
      </c>
      <c r="E95" s="2">
        <v>0</v>
      </c>
      <c r="F95" s="2">
        <v>2254.08</v>
      </c>
      <c r="G95" s="2">
        <v>672.92200000000003</v>
      </c>
      <c r="H95" s="2">
        <v>0</v>
      </c>
      <c r="I95" s="2">
        <v>22.709800000000001</v>
      </c>
      <c r="J95" s="2">
        <v>1.9881500000000001</v>
      </c>
      <c r="K95" s="2">
        <v>21.311599999999999</v>
      </c>
      <c r="L95" s="2">
        <v>0</v>
      </c>
      <c r="M95" s="2">
        <v>0</v>
      </c>
    </row>
    <row r="96" spans="1:19">
      <c r="A96" s="2" t="s">
        <v>97</v>
      </c>
      <c r="B96" s="2" t="s">
        <v>55</v>
      </c>
      <c r="C96" s="2">
        <v>1</v>
      </c>
      <c r="D96" s="60">
        <v>211.34800000000001</v>
      </c>
      <c r="E96" s="2">
        <v>30645.4</v>
      </c>
      <c r="F96" s="2">
        <v>1028.5999999999999</v>
      </c>
      <c r="G96" s="2">
        <v>198.18100000000001</v>
      </c>
      <c r="H96" s="2">
        <v>0</v>
      </c>
      <c r="I96" s="2">
        <v>46.269799999999996</v>
      </c>
      <c r="J96" s="2">
        <v>2.6156899999999998</v>
      </c>
      <c r="K96" s="2">
        <v>46.459699999999998</v>
      </c>
      <c r="L96" s="2">
        <v>0</v>
      </c>
      <c r="M96" s="2">
        <v>0</v>
      </c>
    </row>
    <row r="97" spans="1:19">
      <c r="A97" s="2" t="s">
        <v>97</v>
      </c>
      <c r="B97" s="2" t="s">
        <v>56</v>
      </c>
      <c r="C97" s="2">
        <v>1</v>
      </c>
      <c r="D97" s="60">
        <v>49.654499999999999</v>
      </c>
      <c r="E97" s="2">
        <v>6951.63</v>
      </c>
      <c r="F97" s="2">
        <v>338.63600000000002</v>
      </c>
      <c r="G97" s="2">
        <v>59.063099999999999</v>
      </c>
      <c r="H97" s="2">
        <v>0</v>
      </c>
      <c r="I97" s="2">
        <v>38.867199999999997</v>
      </c>
      <c r="J97" s="2">
        <v>2.1998500000000001</v>
      </c>
      <c r="K97" s="2">
        <v>38.859900000000003</v>
      </c>
      <c r="L97" s="2">
        <v>0</v>
      </c>
      <c r="M97" s="2">
        <v>0</v>
      </c>
    </row>
    <row r="98" spans="1:19">
      <c r="A98" s="2" t="s">
        <v>97</v>
      </c>
      <c r="B98" s="2" t="s">
        <v>57</v>
      </c>
      <c r="C98" s="2">
        <v>1</v>
      </c>
      <c r="D98" s="60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</row>
    <row r="99" spans="1:19">
      <c r="A99" s="2" t="s">
        <v>97</v>
      </c>
      <c r="B99" s="2" t="s">
        <v>58</v>
      </c>
      <c r="C99" s="2">
        <v>1</v>
      </c>
      <c r="D99" s="60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</row>
    <row r="100" spans="1:19">
      <c r="A100" s="2" t="s">
        <v>97</v>
      </c>
      <c r="B100" s="2" t="s">
        <v>59</v>
      </c>
      <c r="C100" s="2">
        <v>1</v>
      </c>
      <c r="D100" s="60">
        <v>68.244</v>
      </c>
      <c r="E100" s="2">
        <v>6824.4</v>
      </c>
      <c r="F100" s="2">
        <v>591.10400000000004</v>
      </c>
      <c r="G100" s="2">
        <v>137.87</v>
      </c>
      <c r="H100" s="2">
        <v>0</v>
      </c>
      <c r="I100" s="2">
        <v>34.935499999999998</v>
      </c>
      <c r="J100" s="2">
        <v>1.4881200000000001</v>
      </c>
      <c r="K100" s="2">
        <v>35.07</v>
      </c>
      <c r="L100" s="2">
        <v>0</v>
      </c>
      <c r="M100" s="2">
        <v>0</v>
      </c>
    </row>
    <row r="101" spans="1:19">
      <c r="A101" s="2" t="s">
        <v>97</v>
      </c>
      <c r="B101" s="2" t="s">
        <v>60</v>
      </c>
      <c r="C101" s="2">
        <v>1</v>
      </c>
      <c r="D101" s="60">
        <v>10.7811</v>
      </c>
      <c r="E101" s="2">
        <v>970.30200000000002</v>
      </c>
      <c r="F101" s="2">
        <v>187.61799999999999</v>
      </c>
      <c r="G101" s="2">
        <v>37.831499999999998</v>
      </c>
      <c r="H101" s="2">
        <v>0</v>
      </c>
      <c r="I101" s="2">
        <v>23.8081</v>
      </c>
      <c r="J101" s="2">
        <v>1.5943000000000001</v>
      </c>
      <c r="K101" s="2">
        <v>23.660900000000002</v>
      </c>
      <c r="L101" s="2">
        <v>0</v>
      </c>
      <c r="M101" s="2">
        <v>0</v>
      </c>
    </row>
    <row r="102" spans="1:19">
      <c r="A102" s="2" t="s">
        <v>97</v>
      </c>
      <c r="B102" s="2" t="s">
        <v>61</v>
      </c>
      <c r="C102" s="2">
        <v>1</v>
      </c>
      <c r="D102" s="60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</row>
    <row r="103" spans="1:19">
      <c r="A103" s="2" t="s">
        <v>97</v>
      </c>
      <c r="B103" s="2" t="s">
        <v>62</v>
      </c>
      <c r="C103" s="2">
        <v>1</v>
      </c>
      <c r="D103" s="60">
        <v>123.55800000000001</v>
      </c>
      <c r="E103" s="2">
        <v>9884.61</v>
      </c>
      <c r="F103" s="2">
        <v>910.60500000000002</v>
      </c>
      <c r="G103" s="2">
        <v>197.846</v>
      </c>
      <c r="H103" s="2">
        <v>0</v>
      </c>
      <c r="I103" s="2">
        <v>36.575800000000001</v>
      </c>
      <c r="J103" s="2">
        <v>1.62138</v>
      </c>
      <c r="K103" s="2">
        <v>37.339700000000001</v>
      </c>
      <c r="L103" s="2">
        <v>0</v>
      </c>
      <c r="M103" s="2">
        <v>0</v>
      </c>
    </row>
    <row r="104" spans="1:19">
      <c r="A104" s="2" t="s">
        <v>97</v>
      </c>
      <c r="B104" s="2" t="s">
        <v>63</v>
      </c>
      <c r="C104" s="2">
        <v>1</v>
      </c>
      <c r="D104" s="60">
        <v>7.3073100000000002</v>
      </c>
      <c r="E104" s="2">
        <v>511.51100000000002</v>
      </c>
      <c r="F104" s="2">
        <v>195.82900000000001</v>
      </c>
      <c r="G104" s="2">
        <v>39.165700000000001</v>
      </c>
      <c r="H104" s="2">
        <v>0</v>
      </c>
      <c r="I104" s="2">
        <v>19.696300000000001</v>
      </c>
      <c r="J104" s="2">
        <v>0.94193700000000002</v>
      </c>
      <c r="K104" s="2">
        <v>19.312100000000001</v>
      </c>
      <c r="L104" s="2">
        <v>0</v>
      </c>
      <c r="M104" s="2">
        <v>0</v>
      </c>
    </row>
    <row r="105" spans="1:19">
      <c r="A105" s="2" t="s">
        <v>97</v>
      </c>
      <c r="B105" s="2" t="s">
        <v>64</v>
      </c>
      <c r="C105" s="2">
        <v>1</v>
      </c>
      <c r="D105" s="60">
        <v>70.299800000000005</v>
      </c>
      <c r="E105" s="2">
        <v>2108.9899999999998</v>
      </c>
      <c r="F105" s="2">
        <v>1507.11</v>
      </c>
      <c r="G105" s="2">
        <v>305.072</v>
      </c>
      <c r="H105" s="2">
        <v>0</v>
      </c>
      <c r="I105" s="2">
        <v>19.822600000000001</v>
      </c>
      <c r="J105" s="2">
        <v>1.4237200000000001</v>
      </c>
      <c r="K105" s="2">
        <v>20.802199999999999</v>
      </c>
      <c r="L105" s="2">
        <v>0</v>
      </c>
      <c r="M105" s="2">
        <v>0</v>
      </c>
    </row>
    <row r="106" spans="1:19">
      <c r="A106" s="2" t="s">
        <v>93</v>
      </c>
      <c r="B106" s="2" t="s">
        <v>94</v>
      </c>
      <c r="C106" s="2" t="s">
        <v>95</v>
      </c>
      <c r="D106" s="60" t="s">
        <v>104</v>
      </c>
      <c r="E106" s="2" t="s">
        <v>72</v>
      </c>
      <c r="F106" s="2">
        <v>28</v>
      </c>
      <c r="G106" s="2">
        <v>86.885900000000007</v>
      </c>
      <c r="H106" s="2">
        <v>27.0916</v>
      </c>
      <c r="I106" s="2">
        <v>350.00599999999997</v>
      </c>
      <c r="J106" s="2">
        <v>751.23</v>
      </c>
      <c r="K106" s="2">
        <v>560.42700000000002</v>
      </c>
      <c r="L106" s="2">
        <v>0</v>
      </c>
      <c r="M106" s="2">
        <v>1</v>
      </c>
      <c r="N106" s="2">
        <v>1</v>
      </c>
      <c r="O106" s="2">
        <v>61109</v>
      </c>
      <c r="P106" s="2">
        <v>0</v>
      </c>
      <c r="Q106" s="2">
        <v>0</v>
      </c>
      <c r="R106" s="2">
        <v>408.75900000000001</v>
      </c>
      <c r="S106" s="2">
        <v>0</v>
      </c>
    </row>
    <row r="107" spans="1:19">
      <c r="A107" s="2" t="s">
        <v>97</v>
      </c>
      <c r="B107" s="2" t="s">
        <v>98</v>
      </c>
      <c r="C107" s="2">
        <v>0</v>
      </c>
      <c r="D107" s="60">
        <v>72.921000000000006</v>
      </c>
      <c r="E107" s="2">
        <v>0</v>
      </c>
      <c r="F107" s="2">
        <v>2244.0700000000002</v>
      </c>
      <c r="G107" s="2">
        <v>392.84500000000003</v>
      </c>
      <c r="H107" s="2">
        <v>0</v>
      </c>
      <c r="I107" s="2">
        <v>10.5085</v>
      </c>
      <c r="J107" s="2">
        <v>1.8153300000000001</v>
      </c>
      <c r="K107" s="2">
        <v>11.7393</v>
      </c>
      <c r="L107" s="2">
        <v>0</v>
      </c>
      <c r="M107" s="2">
        <v>0</v>
      </c>
    </row>
    <row r="108" spans="1:19">
      <c r="A108" s="2" t="s">
        <v>97</v>
      </c>
      <c r="B108" s="2" t="s">
        <v>99</v>
      </c>
      <c r="C108" s="2">
        <v>0</v>
      </c>
      <c r="D108" s="60">
        <v>25.9269</v>
      </c>
      <c r="E108" s="2">
        <v>0</v>
      </c>
      <c r="F108" s="2">
        <v>105.002</v>
      </c>
      <c r="G108" s="2">
        <v>350.00599999999997</v>
      </c>
      <c r="H108" s="2">
        <v>0</v>
      </c>
      <c r="I108" s="2">
        <v>54.323599999999999</v>
      </c>
      <c r="J108" s="2">
        <v>8.8966799999999999</v>
      </c>
      <c r="K108" s="2">
        <v>54.776600000000002</v>
      </c>
      <c r="L108" s="2">
        <v>0</v>
      </c>
      <c r="M108" s="2">
        <v>0</v>
      </c>
    </row>
    <row r="109" spans="1:19">
      <c r="A109" s="2" t="s">
        <v>97</v>
      </c>
      <c r="B109" s="2" t="s">
        <v>100</v>
      </c>
      <c r="C109" s="2">
        <v>0</v>
      </c>
      <c r="D109" s="60">
        <v>8.5468399999999995</v>
      </c>
      <c r="E109" s="2">
        <v>0</v>
      </c>
      <c r="F109" s="2">
        <v>2721.91</v>
      </c>
      <c r="G109" s="2">
        <v>464.66300000000001</v>
      </c>
      <c r="H109" s="2">
        <v>0</v>
      </c>
      <c r="I109" s="2">
        <v>0</v>
      </c>
      <c r="J109" s="2">
        <v>1.70713</v>
      </c>
      <c r="K109" s="2">
        <v>0</v>
      </c>
      <c r="L109" s="2">
        <v>0</v>
      </c>
      <c r="M109" s="2">
        <v>0</v>
      </c>
    </row>
    <row r="110" spans="1:19">
      <c r="A110" s="2" t="s">
        <v>97</v>
      </c>
      <c r="B110" s="2" t="s">
        <v>101</v>
      </c>
      <c r="C110" s="2">
        <v>0</v>
      </c>
      <c r="D110" s="60">
        <v>83.407499999999999</v>
      </c>
      <c r="E110" s="2">
        <v>0</v>
      </c>
      <c r="F110" s="2">
        <v>1434.24</v>
      </c>
      <c r="G110" s="2">
        <v>755.47</v>
      </c>
      <c r="H110" s="2">
        <v>0</v>
      </c>
      <c r="I110" s="2">
        <v>24.229900000000001</v>
      </c>
      <c r="J110" s="2">
        <v>2.5040399999999998</v>
      </c>
      <c r="K110" s="2">
        <v>23.743099999999998</v>
      </c>
      <c r="L110" s="2">
        <v>0</v>
      </c>
      <c r="M110" s="2">
        <v>0</v>
      </c>
    </row>
    <row r="111" spans="1:19">
      <c r="A111" s="2" t="s">
        <v>97</v>
      </c>
      <c r="B111" s="2" t="s">
        <v>55</v>
      </c>
      <c r="C111" s="2">
        <v>1</v>
      </c>
      <c r="D111" s="60">
        <v>166.173</v>
      </c>
      <c r="E111" s="2">
        <v>24095.1</v>
      </c>
      <c r="F111" s="2">
        <v>925.73800000000006</v>
      </c>
      <c r="G111" s="2">
        <v>176.864</v>
      </c>
      <c r="H111" s="2">
        <v>0</v>
      </c>
      <c r="I111" s="2">
        <v>43.461500000000001</v>
      </c>
      <c r="J111" s="2">
        <v>2.2987199999999999</v>
      </c>
      <c r="K111" s="2">
        <v>43.543399999999998</v>
      </c>
      <c r="L111" s="2">
        <v>0</v>
      </c>
      <c r="M111" s="2">
        <v>0</v>
      </c>
    </row>
    <row r="112" spans="1:19">
      <c r="A112" s="2" t="s">
        <v>97</v>
      </c>
      <c r="B112" s="2" t="s">
        <v>56</v>
      </c>
      <c r="C112" s="2">
        <v>1</v>
      </c>
      <c r="D112" s="60">
        <v>31.123999999999999</v>
      </c>
      <c r="E112" s="2">
        <v>4357.3500000000004</v>
      </c>
      <c r="F112" s="2">
        <v>233.529</v>
      </c>
      <c r="G112" s="2">
        <v>38.9176</v>
      </c>
      <c r="H112" s="2">
        <v>0</v>
      </c>
      <c r="I112" s="2">
        <v>37.121499999999997</v>
      </c>
      <c r="J112" s="2">
        <v>1.9670000000000001</v>
      </c>
      <c r="K112" s="2">
        <v>37.189100000000003</v>
      </c>
      <c r="L112" s="2">
        <v>0</v>
      </c>
      <c r="M112" s="2">
        <v>0</v>
      </c>
    </row>
    <row r="113" spans="1:19">
      <c r="A113" s="2" t="s">
        <v>97</v>
      </c>
      <c r="B113" s="2" t="s">
        <v>57</v>
      </c>
      <c r="C113" s="2">
        <v>1</v>
      </c>
      <c r="D113" s="60">
        <v>12.362</v>
      </c>
      <c r="E113" s="2">
        <v>1483.44</v>
      </c>
      <c r="F113" s="2">
        <v>78.853899999999996</v>
      </c>
      <c r="G113" s="2">
        <v>19.7135</v>
      </c>
      <c r="H113" s="2">
        <v>0</v>
      </c>
      <c r="I113" s="2">
        <v>42.253999999999998</v>
      </c>
      <c r="J113" s="2">
        <v>1.19973</v>
      </c>
      <c r="K113" s="2">
        <v>42.253999999999998</v>
      </c>
      <c r="L113" s="2">
        <v>0</v>
      </c>
      <c r="M113" s="2">
        <v>0</v>
      </c>
    </row>
    <row r="114" spans="1:19">
      <c r="A114" s="2" t="s">
        <v>97</v>
      </c>
      <c r="B114" s="2" t="s">
        <v>58</v>
      </c>
      <c r="C114" s="2">
        <v>1</v>
      </c>
      <c r="D114" s="60">
        <v>72.463999999999999</v>
      </c>
      <c r="E114" s="2">
        <v>7608.72</v>
      </c>
      <c r="F114" s="2">
        <v>433.04300000000001</v>
      </c>
      <c r="G114" s="2">
        <v>98.458699999999993</v>
      </c>
      <c r="H114" s="2">
        <v>0</v>
      </c>
      <c r="I114" s="2">
        <v>42.701900000000002</v>
      </c>
      <c r="J114" s="2">
        <v>1.8995</v>
      </c>
      <c r="K114" s="2">
        <v>42.587499999999999</v>
      </c>
      <c r="L114" s="2">
        <v>0</v>
      </c>
      <c r="M114" s="2">
        <v>0</v>
      </c>
    </row>
    <row r="115" spans="1:19">
      <c r="A115" s="2" t="s">
        <v>97</v>
      </c>
      <c r="B115" s="2" t="s">
        <v>59</v>
      </c>
      <c r="C115" s="2">
        <v>1</v>
      </c>
      <c r="D115" s="60">
        <v>129.07599999999999</v>
      </c>
      <c r="E115" s="2">
        <v>12907.6</v>
      </c>
      <c r="F115" s="2">
        <v>1139.1600000000001</v>
      </c>
      <c r="G115" s="2">
        <v>235.72800000000001</v>
      </c>
      <c r="H115" s="2">
        <v>0</v>
      </c>
      <c r="I115" s="2">
        <v>34.156700000000001</v>
      </c>
      <c r="J115" s="2">
        <v>1.44146</v>
      </c>
      <c r="K115" s="2">
        <v>34.153799999999997</v>
      </c>
      <c r="L115" s="2">
        <v>0</v>
      </c>
      <c r="M115" s="2">
        <v>0</v>
      </c>
    </row>
    <row r="116" spans="1:19">
      <c r="A116" s="2" t="s">
        <v>97</v>
      </c>
      <c r="B116" s="2" t="s">
        <v>60</v>
      </c>
      <c r="C116" s="2">
        <v>1</v>
      </c>
      <c r="D116" s="60">
        <v>18.544599999999999</v>
      </c>
      <c r="E116" s="2">
        <v>1669.01</v>
      </c>
      <c r="F116" s="2">
        <v>300.61099999999999</v>
      </c>
      <c r="G116" s="2">
        <v>75.152799999999999</v>
      </c>
      <c r="H116" s="2">
        <v>0</v>
      </c>
      <c r="I116" s="2">
        <v>25.249700000000001</v>
      </c>
      <c r="J116" s="2">
        <v>1.28023</v>
      </c>
      <c r="K116" s="2">
        <v>25.361499999999999</v>
      </c>
      <c r="L116" s="2">
        <v>0</v>
      </c>
      <c r="M116" s="2">
        <v>0</v>
      </c>
    </row>
    <row r="117" spans="1:19">
      <c r="A117" s="2" t="s">
        <v>97</v>
      </c>
      <c r="B117" s="2" t="s">
        <v>61</v>
      </c>
      <c r="C117" s="2">
        <v>1</v>
      </c>
      <c r="D117" s="60">
        <v>5.7205300000000001</v>
      </c>
      <c r="E117" s="2">
        <v>486.245</v>
      </c>
      <c r="F117" s="2">
        <v>157.06</v>
      </c>
      <c r="G117" s="2">
        <v>39.265000000000001</v>
      </c>
      <c r="H117" s="2">
        <v>0</v>
      </c>
      <c r="I117" s="2">
        <v>17.656700000000001</v>
      </c>
      <c r="J117" s="2">
        <v>1.8609</v>
      </c>
      <c r="K117" s="2">
        <v>17.6876</v>
      </c>
      <c r="L117" s="2">
        <v>0</v>
      </c>
      <c r="M117" s="2">
        <v>0</v>
      </c>
    </row>
    <row r="118" spans="1:19">
      <c r="A118" s="2" t="s">
        <v>97</v>
      </c>
      <c r="B118" s="2" t="s">
        <v>62</v>
      </c>
      <c r="C118" s="2">
        <v>1</v>
      </c>
      <c r="D118" s="60">
        <v>84.168400000000005</v>
      </c>
      <c r="E118" s="2">
        <v>6733.47</v>
      </c>
      <c r="F118" s="2">
        <v>628.64400000000001</v>
      </c>
      <c r="G118" s="2">
        <v>137.53800000000001</v>
      </c>
      <c r="H118" s="2">
        <v>0</v>
      </c>
      <c r="I118" s="2">
        <v>36.466500000000003</v>
      </c>
      <c r="J118" s="2">
        <v>1.97472</v>
      </c>
      <c r="K118" s="2">
        <v>37.146500000000003</v>
      </c>
      <c r="L118" s="2">
        <v>0</v>
      </c>
      <c r="M118" s="2">
        <v>0</v>
      </c>
    </row>
    <row r="119" spans="1:19">
      <c r="A119" s="2" t="s">
        <v>97</v>
      </c>
      <c r="B119" s="2" t="s">
        <v>63</v>
      </c>
      <c r="C119" s="2">
        <v>1</v>
      </c>
      <c r="D119" s="60">
        <v>13.603999999999999</v>
      </c>
      <c r="E119" s="2">
        <v>952.28099999999995</v>
      </c>
      <c r="F119" s="2">
        <v>353.12400000000002</v>
      </c>
      <c r="G119" s="2">
        <v>78.485799999999998</v>
      </c>
      <c r="H119" s="2">
        <v>0</v>
      </c>
      <c r="I119" s="2">
        <v>19.008299999999998</v>
      </c>
      <c r="J119" s="2">
        <v>1.27335</v>
      </c>
      <c r="K119" s="2">
        <v>19.079699999999999</v>
      </c>
      <c r="L119" s="2">
        <v>0</v>
      </c>
      <c r="M119" s="2">
        <v>0</v>
      </c>
    </row>
    <row r="120" spans="1:19">
      <c r="A120" s="2" t="s">
        <v>97</v>
      </c>
      <c r="B120" s="2" t="s">
        <v>64</v>
      </c>
      <c r="C120" s="2">
        <v>1</v>
      </c>
      <c r="D120" s="60">
        <v>27.190799999999999</v>
      </c>
      <c r="E120" s="2">
        <v>815.72299999999996</v>
      </c>
      <c r="F120" s="2">
        <v>541.07799999999997</v>
      </c>
      <c r="G120" s="2">
        <v>98.021799999999999</v>
      </c>
      <c r="H120" s="2">
        <v>0</v>
      </c>
      <c r="I120" s="2">
        <v>19.859300000000001</v>
      </c>
      <c r="J120" s="2">
        <v>1.7659499999999999</v>
      </c>
      <c r="K120" s="2">
        <v>21.047699999999999</v>
      </c>
      <c r="L120" s="2">
        <v>0</v>
      </c>
      <c r="M120" s="2">
        <v>0</v>
      </c>
    </row>
    <row r="121" spans="1:19">
      <c r="A121" s="2" t="s">
        <v>93</v>
      </c>
      <c r="B121" s="2" t="s">
        <v>94</v>
      </c>
      <c r="C121" s="2" t="s">
        <v>95</v>
      </c>
      <c r="D121" s="60" t="s">
        <v>104</v>
      </c>
      <c r="E121" s="2" t="s">
        <v>73</v>
      </c>
      <c r="F121" s="2">
        <v>28</v>
      </c>
      <c r="G121" s="2">
        <v>82.866699999999994</v>
      </c>
      <c r="H121" s="2">
        <v>26.159500000000001</v>
      </c>
      <c r="I121" s="2">
        <v>349.65899999999999</v>
      </c>
      <c r="J121" s="2">
        <v>667.38499999999999</v>
      </c>
      <c r="K121" s="2">
        <v>472.98200000000003</v>
      </c>
      <c r="L121" s="2">
        <v>0</v>
      </c>
      <c r="M121" s="2">
        <v>1</v>
      </c>
      <c r="N121" s="2">
        <v>1</v>
      </c>
      <c r="O121" s="2">
        <v>47404.7</v>
      </c>
      <c r="P121" s="2">
        <v>0</v>
      </c>
      <c r="Q121" s="2">
        <v>0</v>
      </c>
      <c r="R121" s="2">
        <v>428.41399999999999</v>
      </c>
      <c r="S121" s="2">
        <v>0</v>
      </c>
    </row>
    <row r="122" spans="1:19">
      <c r="A122" s="2" t="s">
        <v>97</v>
      </c>
      <c r="B122" s="2" t="s">
        <v>98</v>
      </c>
      <c r="C122" s="2">
        <v>0</v>
      </c>
      <c r="D122" s="60">
        <v>35.667999999999999</v>
      </c>
      <c r="E122" s="2">
        <v>0</v>
      </c>
      <c r="F122" s="2">
        <v>1314.97</v>
      </c>
      <c r="G122" s="2">
        <v>215.96199999999999</v>
      </c>
      <c r="H122" s="2">
        <v>0</v>
      </c>
      <c r="I122" s="2">
        <v>10.0001</v>
      </c>
      <c r="J122" s="2">
        <v>2.0331600000000001</v>
      </c>
      <c r="K122" s="2">
        <v>10.0001</v>
      </c>
      <c r="L122" s="2">
        <v>0</v>
      </c>
      <c r="M122" s="2">
        <v>0</v>
      </c>
    </row>
    <row r="123" spans="1:19">
      <c r="A123" s="2" t="s">
        <v>97</v>
      </c>
      <c r="B123" s="2" t="s">
        <v>99</v>
      </c>
      <c r="C123" s="2">
        <v>0</v>
      </c>
      <c r="D123" s="60">
        <v>24.7361</v>
      </c>
      <c r="E123" s="2">
        <v>0</v>
      </c>
      <c r="F123" s="2">
        <v>104.898</v>
      </c>
      <c r="G123" s="2">
        <v>349.65899999999999</v>
      </c>
      <c r="H123" s="2">
        <v>0</v>
      </c>
      <c r="I123" s="2">
        <v>52.840699999999998</v>
      </c>
      <c r="J123" s="2">
        <v>9.0100499999999997</v>
      </c>
      <c r="K123" s="2">
        <v>53.480400000000003</v>
      </c>
      <c r="L123" s="2">
        <v>0</v>
      </c>
      <c r="M123" s="2">
        <v>0</v>
      </c>
    </row>
    <row r="124" spans="1:19">
      <c r="A124" s="2" t="s">
        <v>97</v>
      </c>
      <c r="B124" s="2" t="s">
        <v>100</v>
      </c>
      <c r="C124" s="2">
        <v>0</v>
      </c>
      <c r="D124" s="60">
        <v>5.9839200000000003</v>
      </c>
      <c r="E124" s="2">
        <v>0</v>
      </c>
      <c r="F124" s="2">
        <v>1859.95</v>
      </c>
      <c r="G124" s="2">
        <v>370.70800000000003</v>
      </c>
      <c r="H124" s="2">
        <v>0</v>
      </c>
      <c r="I124" s="2">
        <v>0</v>
      </c>
      <c r="J124" s="2">
        <v>1.9931099999999999</v>
      </c>
      <c r="K124" s="2">
        <v>0</v>
      </c>
      <c r="L124" s="2">
        <v>0</v>
      </c>
      <c r="M124" s="2">
        <v>0</v>
      </c>
    </row>
    <row r="125" spans="1:19">
      <c r="A125" s="2" t="s">
        <v>97</v>
      </c>
      <c r="B125" s="2" t="s">
        <v>101</v>
      </c>
      <c r="C125" s="2">
        <v>0</v>
      </c>
      <c r="D125" s="60">
        <v>128.01499999999999</v>
      </c>
      <c r="E125" s="2">
        <v>0</v>
      </c>
      <c r="F125" s="2">
        <v>2003.91</v>
      </c>
      <c r="G125" s="2">
        <v>762.51499999999999</v>
      </c>
      <c r="H125" s="2">
        <v>0</v>
      </c>
      <c r="I125" s="2">
        <v>25.022600000000001</v>
      </c>
      <c r="J125" s="2">
        <v>2.25068</v>
      </c>
      <c r="K125" s="2">
        <v>24.247800000000002</v>
      </c>
      <c r="L125" s="2">
        <v>0</v>
      </c>
      <c r="M125" s="2">
        <v>0</v>
      </c>
    </row>
    <row r="126" spans="1:19">
      <c r="A126" s="2" t="s">
        <v>97</v>
      </c>
      <c r="B126" s="2" t="s">
        <v>55</v>
      </c>
      <c r="C126" s="2">
        <v>1</v>
      </c>
      <c r="D126" s="60">
        <v>126.158</v>
      </c>
      <c r="E126" s="2">
        <v>18292.900000000001</v>
      </c>
      <c r="F126" s="2">
        <v>676.50400000000002</v>
      </c>
      <c r="G126" s="2">
        <v>137.59299999999999</v>
      </c>
      <c r="H126" s="2">
        <v>0</v>
      </c>
      <c r="I126" s="2">
        <v>44.066899999999997</v>
      </c>
      <c r="J126" s="2">
        <v>2.5674199999999998</v>
      </c>
      <c r="K126" s="2">
        <v>44.325499999999998</v>
      </c>
      <c r="L126" s="2">
        <v>0</v>
      </c>
      <c r="M126" s="2">
        <v>0</v>
      </c>
    </row>
    <row r="127" spans="1:19">
      <c r="A127" s="2" t="s">
        <v>97</v>
      </c>
      <c r="B127" s="2" t="s">
        <v>56</v>
      </c>
      <c r="C127" s="2">
        <v>1</v>
      </c>
      <c r="D127" s="60">
        <v>56.4664</v>
      </c>
      <c r="E127" s="2">
        <v>7905.29</v>
      </c>
      <c r="F127" s="2">
        <v>395.82400000000001</v>
      </c>
      <c r="G127" s="2">
        <v>77.980699999999999</v>
      </c>
      <c r="H127" s="2">
        <v>0</v>
      </c>
      <c r="I127" s="2">
        <v>38.752400000000002</v>
      </c>
      <c r="J127" s="2">
        <v>2.2408100000000002</v>
      </c>
      <c r="K127" s="2">
        <v>38.715899999999998</v>
      </c>
      <c r="L127" s="2">
        <v>0</v>
      </c>
      <c r="M127" s="2">
        <v>0</v>
      </c>
    </row>
    <row r="128" spans="1:19">
      <c r="A128" s="2" t="s">
        <v>97</v>
      </c>
      <c r="B128" s="2" t="s">
        <v>57</v>
      </c>
      <c r="C128" s="2">
        <v>1</v>
      </c>
      <c r="D128" s="60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</row>
    <row r="129" spans="1:19">
      <c r="A129" s="2" t="s">
        <v>97</v>
      </c>
      <c r="B129" s="2" t="s">
        <v>58</v>
      </c>
      <c r="C129" s="2">
        <v>1</v>
      </c>
      <c r="D129" s="60">
        <v>12.093400000000001</v>
      </c>
      <c r="E129" s="2">
        <v>1269.8</v>
      </c>
      <c r="F129" s="2">
        <v>78.1584</v>
      </c>
      <c r="G129" s="2">
        <v>19.5396</v>
      </c>
      <c r="H129" s="2">
        <v>0</v>
      </c>
      <c r="I129" s="2">
        <v>40.863500000000002</v>
      </c>
      <c r="J129" s="2">
        <v>2.5833900000000001</v>
      </c>
      <c r="K129" s="2">
        <v>40.863500000000002</v>
      </c>
      <c r="L129" s="2">
        <v>0</v>
      </c>
      <c r="M129" s="2">
        <v>0</v>
      </c>
    </row>
    <row r="130" spans="1:19">
      <c r="A130" s="2" t="s">
        <v>97</v>
      </c>
      <c r="B130" s="2" t="s">
        <v>59</v>
      </c>
      <c r="C130" s="2">
        <v>1</v>
      </c>
      <c r="D130" s="60">
        <v>50.784700000000001</v>
      </c>
      <c r="E130" s="2">
        <v>5078.47</v>
      </c>
      <c r="F130" s="2">
        <v>430.17200000000003</v>
      </c>
      <c r="G130" s="2">
        <v>97.692700000000002</v>
      </c>
      <c r="H130" s="2">
        <v>0</v>
      </c>
      <c r="I130" s="2">
        <v>35.323900000000002</v>
      </c>
      <c r="J130" s="2">
        <v>1.33795</v>
      </c>
      <c r="K130" s="2">
        <v>35.440800000000003</v>
      </c>
      <c r="L130" s="2">
        <v>0</v>
      </c>
      <c r="M130" s="2">
        <v>0</v>
      </c>
    </row>
    <row r="131" spans="1:19">
      <c r="A131" s="2" t="s">
        <v>97</v>
      </c>
      <c r="B131" s="2" t="s">
        <v>60</v>
      </c>
      <c r="C131" s="2">
        <v>1</v>
      </c>
      <c r="D131" s="60">
        <v>10.423299999999999</v>
      </c>
      <c r="E131" s="2">
        <v>938.09699999999998</v>
      </c>
      <c r="F131" s="2">
        <v>116.64700000000001</v>
      </c>
      <c r="G131" s="2">
        <v>19.441199999999998</v>
      </c>
      <c r="H131" s="2">
        <v>0</v>
      </c>
      <c r="I131" s="2">
        <v>29.5108</v>
      </c>
      <c r="J131" s="2">
        <v>1.30155</v>
      </c>
      <c r="K131" s="2">
        <v>29.5108</v>
      </c>
      <c r="L131" s="2">
        <v>0</v>
      </c>
      <c r="M131" s="2">
        <v>0</v>
      </c>
    </row>
    <row r="132" spans="1:19">
      <c r="A132" s="2" t="s">
        <v>97</v>
      </c>
      <c r="B132" s="2" t="s">
        <v>61</v>
      </c>
      <c r="C132" s="2">
        <v>1</v>
      </c>
      <c r="D132" s="60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</row>
    <row r="133" spans="1:19">
      <c r="A133" s="2" t="s">
        <v>97</v>
      </c>
      <c r="B133" s="2" t="s">
        <v>62</v>
      </c>
      <c r="C133" s="2">
        <v>1</v>
      </c>
      <c r="D133" s="60">
        <v>118.898</v>
      </c>
      <c r="E133" s="2">
        <v>9511.84</v>
      </c>
      <c r="F133" s="2">
        <v>982.87400000000002</v>
      </c>
      <c r="G133" s="2">
        <v>216.27199999999999</v>
      </c>
      <c r="H133" s="2">
        <v>0</v>
      </c>
      <c r="I133" s="2">
        <v>34.604500000000002</v>
      </c>
      <c r="J133" s="2">
        <v>1.72166</v>
      </c>
      <c r="K133" s="2">
        <v>35.305100000000003</v>
      </c>
      <c r="L133" s="2">
        <v>0</v>
      </c>
      <c r="M133" s="2">
        <v>0</v>
      </c>
    </row>
    <row r="134" spans="1:19">
      <c r="A134" s="2" t="s">
        <v>97</v>
      </c>
      <c r="B134" s="2" t="s">
        <v>63</v>
      </c>
      <c r="C134" s="2">
        <v>1</v>
      </c>
      <c r="D134" s="60">
        <v>36.589700000000001</v>
      </c>
      <c r="E134" s="2">
        <v>2561.2800000000002</v>
      </c>
      <c r="F134" s="2">
        <v>732.44299999999998</v>
      </c>
      <c r="G134" s="2">
        <v>154.749</v>
      </c>
      <c r="H134" s="2">
        <v>0</v>
      </c>
      <c r="I134" s="2">
        <v>21.500399999999999</v>
      </c>
      <c r="J134" s="2">
        <v>1.5517000000000001</v>
      </c>
      <c r="K134" s="2">
        <v>21.3977</v>
      </c>
      <c r="L134" s="2">
        <v>0</v>
      </c>
      <c r="M134" s="2">
        <v>0</v>
      </c>
    </row>
    <row r="135" spans="1:19">
      <c r="A135" s="2" t="s">
        <v>97</v>
      </c>
      <c r="B135" s="2" t="s">
        <v>64</v>
      </c>
      <c r="C135" s="2">
        <v>1</v>
      </c>
      <c r="D135" s="60">
        <v>61.568399999999997</v>
      </c>
      <c r="E135" s="2">
        <v>1847.05</v>
      </c>
      <c r="F135" s="2">
        <v>1214.6099999999999</v>
      </c>
      <c r="G135" s="2">
        <v>272.49099999999999</v>
      </c>
      <c r="H135" s="2">
        <v>0</v>
      </c>
      <c r="I135" s="2">
        <v>20.127800000000001</v>
      </c>
      <c r="J135" s="2">
        <v>1.43136</v>
      </c>
      <c r="K135" s="2">
        <v>22.2605</v>
      </c>
      <c r="L135" s="2">
        <v>0</v>
      </c>
      <c r="M135" s="2">
        <v>0</v>
      </c>
    </row>
    <row r="136" spans="1:19">
      <c r="A136" s="2" t="s">
        <v>93</v>
      </c>
      <c r="B136" s="2" t="s">
        <v>94</v>
      </c>
      <c r="C136" s="2" t="s">
        <v>95</v>
      </c>
      <c r="D136" s="60" t="s">
        <v>104</v>
      </c>
      <c r="E136" s="2" t="s">
        <v>74</v>
      </c>
      <c r="F136" s="2">
        <v>28</v>
      </c>
      <c r="G136" s="2">
        <v>121.413</v>
      </c>
      <c r="H136" s="2">
        <v>26.833300000000001</v>
      </c>
      <c r="I136" s="2">
        <v>730.35299999999995</v>
      </c>
      <c r="J136" s="2">
        <v>1003.4</v>
      </c>
      <c r="K136" s="2">
        <v>795.05200000000002</v>
      </c>
      <c r="L136" s="2">
        <v>0</v>
      </c>
      <c r="M136" s="2">
        <v>1</v>
      </c>
      <c r="N136" s="2">
        <v>1</v>
      </c>
      <c r="O136" s="2">
        <v>63611.6</v>
      </c>
      <c r="P136" s="2">
        <v>0</v>
      </c>
      <c r="Q136" s="2">
        <v>0</v>
      </c>
      <c r="R136" s="2">
        <v>897.34699999999998</v>
      </c>
      <c r="S136" s="2">
        <v>0</v>
      </c>
    </row>
    <row r="137" spans="1:19">
      <c r="A137" s="2" t="s">
        <v>97</v>
      </c>
      <c r="B137" s="2" t="s">
        <v>98</v>
      </c>
      <c r="C137" s="2">
        <v>0</v>
      </c>
      <c r="D137" s="60">
        <v>70.9101</v>
      </c>
      <c r="E137" s="2">
        <v>0</v>
      </c>
      <c r="F137" s="2">
        <v>3105.05</v>
      </c>
      <c r="G137" s="2">
        <v>598.822</v>
      </c>
      <c r="H137" s="2">
        <v>0</v>
      </c>
      <c r="I137" s="2">
        <v>10</v>
      </c>
      <c r="J137" s="2">
        <v>1.9167400000000001</v>
      </c>
      <c r="K137" s="2">
        <v>10</v>
      </c>
      <c r="L137" s="2">
        <v>0</v>
      </c>
      <c r="M137" s="2">
        <v>0</v>
      </c>
    </row>
    <row r="138" spans="1:19">
      <c r="A138" s="2" t="s">
        <v>97</v>
      </c>
      <c r="B138" s="2" t="s">
        <v>99</v>
      </c>
      <c r="C138" s="2">
        <v>0</v>
      </c>
      <c r="D138" s="60">
        <v>37.376600000000003</v>
      </c>
      <c r="E138" s="2">
        <v>0</v>
      </c>
      <c r="F138" s="2">
        <v>219.10599999999999</v>
      </c>
      <c r="G138" s="2">
        <v>730.35299999999995</v>
      </c>
      <c r="H138" s="2">
        <v>0</v>
      </c>
      <c r="I138" s="2">
        <v>44.508699999999997</v>
      </c>
      <c r="J138" s="2">
        <v>7.9243800000000002</v>
      </c>
      <c r="K138" s="2">
        <v>45.446399999999997</v>
      </c>
      <c r="L138" s="2">
        <v>0</v>
      </c>
      <c r="M138" s="2">
        <v>0</v>
      </c>
    </row>
    <row r="139" spans="1:19">
      <c r="A139" s="2" t="s">
        <v>97</v>
      </c>
      <c r="B139" s="2" t="s">
        <v>100</v>
      </c>
      <c r="C139" s="2">
        <v>0</v>
      </c>
      <c r="D139" s="60">
        <v>15.088800000000001</v>
      </c>
      <c r="E139" s="2">
        <v>0</v>
      </c>
      <c r="F139" s="2">
        <v>4826.1099999999997</v>
      </c>
      <c r="G139" s="2">
        <v>857.19799999999998</v>
      </c>
      <c r="H139" s="2">
        <v>0</v>
      </c>
      <c r="I139" s="2">
        <v>0</v>
      </c>
      <c r="J139" s="2">
        <v>1.77617</v>
      </c>
      <c r="K139" s="2">
        <v>0</v>
      </c>
      <c r="L139" s="2">
        <v>0</v>
      </c>
      <c r="M139" s="2">
        <v>0</v>
      </c>
    </row>
    <row r="140" spans="1:19">
      <c r="A140" s="2" t="s">
        <v>97</v>
      </c>
      <c r="B140" s="2" t="s">
        <v>101</v>
      </c>
      <c r="C140" s="2">
        <v>0</v>
      </c>
      <c r="D140" s="60">
        <v>84.977400000000003</v>
      </c>
      <c r="E140" s="2">
        <v>0</v>
      </c>
      <c r="F140" s="2">
        <v>1462.69</v>
      </c>
      <c r="G140" s="2">
        <v>1464.57</v>
      </c>
      <c r="H140" s="2">
        <v>0</v>
      </c>
      <c r="I140" s="2">
        <v>22.5839</v>
      </c>
      <c r="J140" s="2">
        <v>2.8756200000000001</v>
      </c>
      <c r="K140" s="2">
        <v>22.177399999999999</v>
      </c>
      <c r="L140" s="2">
        <v>0</v>
      </c>
      <c r="M140" s="2">
        <v>0</v>
      </c>
    </row>
    <row r="141" spans="1:19">
      <c r="A141" s="2" t="s">
        <v>97</v>
      </c>
      <c r="B141" s="2" t="s">
        <v>55</v>
      </c>
      <c r="C141" s="2">
        <v>1</v>
      </c>
      <c r="D141" s="60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9">
      <c r="A142" s="2" t="s">
        <v>97</v>
      </c>
      <c r="B142" s="2" t="s">
        <v>56</v>
      </c>
      <c r="C142" s="2">
        <v>1</v>
      </c>
      <c r="D142" s="60">
        <v>74.123699999999999</v>
      </c>
      <c r="E142" s="2">
        <v>10377.299999999999</v>
      </c>
      <c r="F142" s="2">
        <v>559.096</v>
      </c>
      <c r="G142" s="2">
        <v>139.774</v>
      </c>
      <c r="H142" s="2">
        <v>0</v>
      </c>
      <c r="I142" s="2">
        <v>37.726900000000001</v>
      </c>
      <c r="J142" s="2">
        <v>2.4364300000000001</v>
      </c>
      <c r="K142" s="2">
        <v>37.762599999999999</v>
      </c>
      <c r="L142" s="2">
        <v>0</v>
      </c>
      <c r="M142" s="2">
        <v>0</v>
      </c>
    </row>
    <row r="143" spans="1:19">
      <c r="A143" s="2" t="s">
        <v>97</v>
      </c>
      <c r="B143" s="2" t="s">
        <v>57</v>
      </c>
      <c r="C143" s="2">
        <v>1</v>
      </c>
      <c r="D143" s="60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</row>
    <row r="144" spans="1:19">
      <c r="A144" s="2" t="s">
        <v>97</v>
      </c>
      <c r="B144" s="2" t="s">
        <v>58</v>
      </c>
      <c r="C144" s="2">
        <v>1</v>
      </c>
      <c r="D144" s="60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</row>
    <row r="145" spans="1:19">
      <c r="A145" s="2" t="s">
        <v>97</v>
      </c>
      <c r="B145" s="2" t="s">
        <v>59</v>
      </c>
      <c r="C145" s="2">
        <v>1</v>
      </c>
      <c r="D145" s="60">
        <v>203.45099999999999</v>
      </c>
      <c r="E145" s="2">
        <v>20345.099999999999</v>
      </c>
      <c r="F145" s="2">
        <v>1972.18</v>
      </c>
      <c r="G145" s="2">
        <v>421.18299999999999</v>
      </c>
      <c r="H145" s="2">
        <v>0</v>
      </c>
      <c r="I145" s="2">
        <v>32.971400000000003</v>
      </c>
      <c r="J145" s="2">
        <v>1.2759199999999999</v>
      </c>
      <c r="K145" s="2">
        <v>33.056800000000003</v>
      </c>
      <c r="L145" s="2">
        <v>0</v>
      </c>
      <c r="M145" s="2">
        <v>0</v>
      </c>
    </row>
    <row r="146" spans="1:19">
      <c r="A146" s="2" t="s">
        <v>97</v>
      </c>
      <c r="B146" s="2" t="s">
        <v>60</v>
      </c>
      <c r="C146" s="2">
        <v>1</v>
      </c>
      <c r="D146" s="60">
        <v>96.067800000000005</v>
      </c>
      <c r="E146" s="2">
        <v>8646.1</v>
      </c>
      <c r="F146" s="2">
        <v>1445.42</v>
      </c>
      <c r="G146" s="2">
        <v>316.82499999999999</v>
      </c>
      <c r="H146" s="2">
        <v>0</v>
      </c>
      <c r="I146" s="2">
        <v>25.918099999999999</v>
      </c>
      <c r="J146" s="2">
        <v>1.5114399999999999</v>
      </c>
      <c r="K146" s="2">
        <v>25.771799999999999</v>
      </c>
      <c r="L146" s="2">
        <v>0</v>
      </c>
      <c r="M146" s="2">
        <v>0</v>
      </c>
    </row>
    <row r="147" spans="1:19">
      <c r="A147" s="2" t="s">
        <v>97</v>
      </c>
      <c r="B147" s="2" t="s">
        <v>61</v>
      </c>
      <c r="C147" s="2">
        <v>1</v>
      </c>
      <c r="D147" s="60">
        <v>22.4953</v>
      </c>
      <c r="E147" s="2">
        <v>1912.1</v>
      </c>
      <c r="F147" s="2">
        <v>467.07799999999997</v>
      </c>
      <c r="G147" s="2">
        <v>93.520099999999999</v>
      </c>
      <c r="H147" s="2">
        <v>0</v>
      </c>
      <c r="I147" s="2">
        <v>18.674199999999999</v>
      </c>
      <c r="J147" s="2">
        <v>1.98617</v>
      </c>
      <c r="K147" s="2">
        <v>19.0808</v>
      </c>
      <c r="L147" s="2">
        <v>0</v>
      </c>
      <c r="M147" s="2">
        <v>0</v>
      </c>
    </row>
    <row r="148" spans="1:19">
      <c r="A148" s="2" t="s">
        <v>97</v>
      </c>
      <c r="B148" s="2" t="s">
        <v>62</v>
      </c>
      <c r="C148" s="2">
        <v>1</v>
      </c>
      <c r="D148" s="60">
        <v>176.11199999999999</v>
      </c>
      <c r="E148" s="2">
        <v>14088.9</v>
      </c>
      <c r="F148" s="2">
        <v>1467.72</v>
      </c>
      <c r="G148" s="2">
        <v>320.92099999999999</v>
      </c>
      <c r="H148" s="2">
        <v>0</v>
      </c>
      <c r="I148" s="2">
        <v>34.900599999999997</v>
      </c>
      <c r="J148" s="2">
        <v>1.9971399999999999</v>
      </c>
      <c r="K148" s="2">
        <v>35.540199999999999</v>
      </c>
      <c r="L148" s="2">
        <v>0</v>
      </c>
      <c r="M148" s="2">
        <v>0</v>
      </c>
    </row>
    <row r="149" spans="1:19">
      <c r="A149" s="2" t="s">
        <v>97</v>
      </c>
      <c r="B149" s="2" t="s">
        <v>63</v>
      </c>
      <c r="C149" s="2">
        <v>1</v>
      </c>
      <c r="D149" s="60">
        <v>38.950000000000003</v>
      </c>
      <c r="E149" s="2">
        <v>2726.5</v>
      </c>
      <c r="F149" s="2">
        <v>903.49599999999998</v>
      </c>
      <c r="G149" s="2">
        <v>166.15799999999999</v>
      </c>
      <c r="H149" s="2">
        <v>0</v>
      </c>
      <c r="I149" s="2">
        <v>19.963699999999999</v>
      </c>
      <c r="J149" s="2">
        <v>1.36181</v>
      </c>
      <c r="K149" s="2">
        <v>19.725300000000001</v>
      </c>
      <c r="L149" s="2">
        <v>0</v>
      </c>
      <c r="M149" s="2">
        <v>0</v>
      </c>
    </row>
    <row r="150" spans="1:19">
      <c r="A150" s="2" t="s">
        <v>97</v>
      </c>
      <c r="B150" s="2" t="s">
        <v>64</v>
      </c>
      <c r="C150" s="2">
        <v>1</v>
      </c>
      <c r="D150" s="60">
        <v>183.85300000000001</v>
      </c>
      <c r="E150" s="2">
        <v>5515.59</v>
      </c>
      <c r="F150" s="2">
        <v>4513.93</v>
      </c>
      <c r="G150" s="2">
        <v>923.18100000000004</v>
      </c>
      <c r="H150" s="2">
        <v>0</v>
      </c>
      <c r="I150" s="2">
        <v>18.743300000000001</v>
      </c>
      <c r="J150" s="2">
        <v>1.15188</v>
      </c>
      <c r="K150" s="2">
        <v>20.002099999999999</v>
      </c>
      <c r="L150" s="2">
        <v>0</v>
      </c>
      <c r="M150" s="2">
        <v>0</v>
      </c>
    </row>
    <row r="151" spans="1:19">
      <c r="A151" s="2" t="s">
        <v>93</v>
      </c>
      <c r="B151" s="2" t="s">
        <v>94</v>
      </c>
      <c r="C151" s="2" t="s">
        <v>95</v>
      </c>
      <c r="D151" s="60" t="s">
        <v>104</v>
      </c>
      <c r="E151" s="2" t="s">
        <v>75</v>
      </c>
      <c r="F151" s="2">
        <v>28</v>
      </c>
      <c r="G151" s="2">
        <v>70.725499999999997</v>
      </c>
      <c r="H151" s="2">
        <v>26.608799999999999</v>
      </c>
      <c r="I151" s="2">
        <v>330.68900000000002</v>
      </c>
      <c r="J151" s="2">
        <v>576.82899999999995</v>
      </c>
      <c r="K151" s="2">
        <v>422.673</v>
      </c>
      <c r="L151" s="2">
        <v>0</v>
      </c>
      <c r="M151" s="2">
        <v>1</v>
      </c>
      <c r="N151" s="2">
        <v>1</v>
      </c>
      <c r="O151" s="2">
        <v>46519.1</v>
      </c>
      <c r="P151" s="2">
        <v>0</v>
      </c>
      <c r="Q151" s="2">
        <v>0</v>
      </c>
      <c r="R151" s="2">
        <v>389.70600000000002</v>
      </c>
      <c r="S151" s="2">
        <v>0</v>
      </c>
    </row>
    <row r="152" spans="1:19">
      <c r="A152" s="2" t="s">
        <v>97</v>
      </c>
      <c r="B152" s="2" t="s">
        <v>98</v>
      </c>
      <c r="C152" s="2">
        <v>0</v>
      </c>
      <c r="D152" s="60">
        <v>40.731400000000001</v>
      </c>
      <c r="E152" s="2">
        <v>0</v>
      </c>
      <c r="F152" s="2">
        <v>1772.92</v>
      </c>
      <c r="G152" s="2">
        <v>332.08800000000002</v>
      </c>
      <c r="H152" s="2">
        <v>0</v>
      </c>
      <c r="I152" s="2">
        <v>10</v>
      </c>
      <c r="J152" s="2">
        <v>1.8509899999999999</v>
      </c>
      <c r="K152" s="2">
        <v>10</v>
      </c>
      <c r="L152" s="2">
        <v>0</v>
      </c>
      <c r="M152" s="2">
        <v>0</v>
      </c>
    </row>
    <row r="153" spans="1:19">
      <c r="A153" s="2" t="s">
        <v>97</v>
      </c>
      <c r="B153" s="2" t="s">
        <v>99</v>
      </c>
      <c r="C153" s="2">
        <v>0</v>
      </c>
      <c r="D153" s="60">
        <v>21.357600000000001</v>
      </c>
      <c r="E153" s="2">
        <v>0</v>
      </c>
      <c r="F153" s="2">
        <v>99.206699999999998</v>
      </c>
      <c r="G153" s="2">
        <v>330.68900000000002</v>
      </c>
      <c r="H153" s="2">
        <v>0</v>
      </c>
      <c r="I153" s="2">
        <v>50.6143</v>
      </c>
      <c r="J153" s="2">
        <v>8.6144200000000009</v>
      </c>
      <c r="K153" s="2">
        <v>51.102800000000002</v>
      </c>
      <c r="L153" s="2">
        <v>0</v>
      </c>
      <c r="M153" s="2">
        <v>0</v>
      </c>
    </row>
    <row r="154" spans="1:19">
      <c r="A154" s="2" t="s">
        <v>97</v>
      </c>
      <c r="B154" s="2" t="s">
        <v>100</v>
      </c>
      <c r="C154" s="2">
        <v>0</v>
      </c>
      <c r="D154" s="60">
        <v>7.0844300000000002</v>
      </c>
      <c r="E154" s="2">
        <v>0</v>
      </c>
      <c r="F154" s="2">
        <v>2264.08</v>
      </c>
      <c r="G154" s="2">
        <v>389.81900000000002</v>
      </c>
      <c r="H154" s="2">
        <v>0</v>
      </c>
      <c r="I154" s="2">
        <v>0</v>
      </c>
      <c r="J154" s="2">
        <v>1.72176</v>
      </c>
      <c r="K154" s="2">
        <v>0</v>
      </c>
      <c r="L154" s="2">
        <v>0</v>
      </c>
      <c r="M154" s="2">
        <v>0</v>
      </c>
    </row>
    <row r="155" spans="1:19">
      <c r="A155" s="2" t="s">
        <v>97</v>
      </c>
      <c r="B155" s="2" t="s">
        <v>101</v>
      </c>
      <c r="C155" s="2">
        <v>0</v>
      </c>
      <c r="D155" s="60">
        <v>84.982399999999998</v>
      </c>
      <c r="E155" s="2">
        <v>0</v>
      </c>
      <c r="F155" s="2">
        <v>1771.69</v>
      </c>
      <c r="G155" s="2">
        <v>643.83900000000006</v>
      </c>
      <c r="H155" s="2">
        <v>0</v>
      </c>
      <c r="I155" s="2">
        <v>23.381</v>
      </c>
      <c r="J155" s="2">
        <v>1.9420200000000001</v>
      </c>
      <c r="K155" s="2">
        <v>20.363800000000001</v>
      </c>
      <c r="L155" s="2">
        <v>0</v>
      </c>
      <c r="M155" s="2">
        <v>0</v>
      </c>
    </row>
    <row r="156" spans="1:19">
      <c r="A156" s="2" t="s">
        <v>97</v>
      </c>
      <c r="B156" s="2" t="s">
        <v>55</v>
      </c>
      <c r="C156" s="2">
        <v>1</v>
      </c>
      <c r="D156" s="60">
        <v>103.886</v>
      </c>
      <c r="E156" s="2">
        <v>15063.5</v>
      </c>
      <c r="F156" s="2">
        <v>541.86599999999999</v>
      </c>
      <c r="G156" s="2">
        <v>98.502700000000004</v>
      </c>
      <c r="H156" s="2">
        <v>0</v>
      </c>
      <c r="I156" s="2">
        <v>44.455599999999997</v>
      </c>
      <c r="J156" s="2">
        <v>2.4926599999999999</v>
      </c>
      <c r="K156" s="2">
        <v>44.625100000000003</v>
      </c>
      <c r="L156" s="2">
        <v>0</v>
      </c>
      <c r="M156" s="2">
        <v>0</v>
      </c>
    </row>
    <row r="157" spans="1:19">
      <c r="A157" s="2" t="s">
        <v>97</v>
      </c>
      <c r="B157" s="2" t="s">
        <v>56</v>
      </c>
      <c r="C157" s="2">
        <v>1</v>
      </c>
      <c r="D157" s="60">
        <v>51.1616</v>
      </c>
      <c r="E157" s="2">
        <v>7162.62</v>
      </c>
      <c r="F157" s="2">
        <v>388.46199999999999</v>
      </c>
      <c r="G157" s="2">
        <v>77.6203</v>
      </c>
      <c r="H157" s="2">
        <v>0</v>
      </c>
      <c r="I157" s="2">
        <v>36.924599999999998</v>
      </c>
      <c r="J157" s="2">
        <v>2.1874600000000002</v>
      </c>
      <c r="K157" s="2">
        <v>37.058500000000002</v>
      </c>
      <c r="L157" s="2">
        <v>0</v>
      </c>
      <c r="M157" s="2">
        <v>0</v>
      </c>
    </row>
    <row r="158" spans="1:19">
      <c r="A158" s="2" t="s">
        <v>97</v>
      </c>
      <c r="B158" s="2" t="s">
        <v>57</v>
      </c>
      <c r="C158" s="2">
        <v>1</v>
      </c>
      <c r="D158" s="60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</row>
    <row r="159" spans="1:19">
      <c r="A159" s="2" t="s">
        <v>97</v>
      </c>
      <c r="B159" s="2" t="s">
        <v>58</v>
      </c>
      <c r="C159" s="2">
        <v>1</v>
      </c>
      <c r="D159" s="60">
        <v>34.569400000000002</v>
      </c>
      <c r="E159" s="2">
        <v>3629.79</v>
      </c>
      <c r="F159" s="2">
        <v>196.661</v>
      </c>
      <c r="G159" s="2">
        <v>39.315399999999997</v>
      </c>
      <c r="H159" s="2">
        <v>0</v>
      </c>
      <c r="I159" s="2">
        <v>42.911700000000003</v>
      </c>
      <c r="J159" s="2">
        <v>2.4803899999999999</v>
      </c>
      <c r="K159" s="2">
        <v>42.958599999999997</v>
      </c>
      <c r="L159" s="2">
        <v>0</v>
      </c>
      <c r="M159" s="2">
        <v>0</v>
      </c>
    </row>
    <row r="160" spans="1:19">
      <c r="A160" s="2" t="s">
        <v>97</v>
      </c>
      <c r="B160" s="2" t="s">
        <v>59</v>
      </c>
      <c r="C160" s="2">
        <v>1</v>
      </c>
      <c r="D160" s="60">
        <v>143.45699999999999</v>
      </c>
      <c r="E160" s="2">
        <v>14345.7</v>
      </c>
      <c r="F160" s="2">
        <v>1283.81</v>
      </c>
      <c r="G160" s="2">
        <v>272.142</v>
      </c>
      <c r="H160" s="2">
        <v>0</v>
      </c>
      <c r="I160" s="2">
        <v>33.939300000000003</v>
      </c>
      <c r="J160" s="2">
        <v>1.61337</v>
      </c>
      <c r="K160" s="2">
        <v>33.992100000000001</v>
      </c>
      <c r="L160" s="2">
        <v>0</v>
      </c>
      <c r="M160" s="2">
        <v>0</v>
      </c>
    </row>
    <row r="161" spans="1:19">
      <c r="A161" s="2" t="s">
        <v>97</v>
      </c>
      <c r="B161" s="2" t="s">
        <v>60</v>
      </c>
      <c r="C161" s="2">
        <v>1</v>
      </c>
      <c r="D161" s="60">
        <v>23.598800000000001</v>
      </c>
      <c r="E161" s="2">
        <v>2123.89</v>
      </c>
      <c r="F161" s="2">
        <v>349.84199999999998</v>
      </c>
      <c r="G161" s="2">
        <v>77.652500000000003</v>
      </c>
      <c r="H161" s="2">
        <v>0</v>
      </c>
      <c r="I161" s="2">
        <v>26.444700000000001</v>
      </c>
      <c r="J161" s="2">
        <v>1.2772300000000001</v>
      </c>
      <c r="K161" s="2">
        <v>26.294699999999999</v>
      </c>
      <c r="L161" s="2">
        <v>0</v>
      </c>
      <c r="M161" s="2">
        <v>0</v>
      </c>
    </row>
    <row r="162" spans="1:19">
      <c r="A162" s="2" t="s">
        <v>97</v>
      </c>
      <c r="B162" s="2" t="s">
        <v>61</v>
      </c>
      <c r="C162" s="2">
        <v>1</v>
      </c>
      <c r="D162" s="60">
        <v>9.3960100000000004</v>
      </c>
      <c r="E162" s="2">
        <v>798.66099999999994</v>
      </c>
      <c r="F162" s="2">
        <v>196.661</v>
      </c>
      <c r="G162" s="2">
        <v>39.315399999999997</v>
      </c>
      <c r="H162" s="2">
        <v>0</v>
      </c>
      <c r="I162" s="2">
        <v>20.006499999999999</v>
      </c>
      <c r="J162" s="2">
        <v>1.6091200000000001</v>
      </c>
      <c r="K162" s="2">
        <v>19.834</v>
      </c>
      <c r="L162" s="2">
        <v>0</v>
      </c>
      <c r="M162" s="2">
        <v>0</v>
      </c>
    </row>
    <row r="163" spans="1:19">
      <c r="A163" s="2" t="s">
        <v>97</v>
      </c>
      <c r="B163" s="2" t="s">
        <v>62</v>
      </c>
      <c r="C163" s="2">
        <v>1</v>
      </c>
      <c r="D163" s="60">
        <v>21.979099999999999</v>
      </c>
      <c r="E163" s="2">
        <v>1758.33</v>
      </c>
      <c r="F163" s="2">
        <v>193.90100000000001</v>
      </c>
      <c r="G163" s="2">
        <v>38.8386</v>
      </c>
      <c r="H163" s="2">
        <v>0</v>
      </c>
      <c r="I163" s="2">
        <v>35.084099999999999</v>
      </c>
      <c r="J163" s="2">
        <v>1.7548299999999999</v>
      </c>
      <c r="K163" s="2">
        <v>34.381399999999999</v>
      </c>
      <c r="L163" s="2">
        <v>0</v>
      </c>
      <c r="M163" s="2">
        <v>0</v>
      </c>
    </row>
    <row r="164" spans="1:19">
      <c r="A164" s="2" t="s">
        <v>97</v>
      </c>
      <c r="B164" s="2" t="s">
        <v>63</v>
      </c>
      <c r="C164" s="2">
        <v>1</v>
      </c>
      <c r="D164" s="60">
        <v>14.946999999999999</v>
      </c>
      <c r="E164" s="2">
        <v>1046.29</v>
      </c>
      <c r="F164" s="2">
        <v>273.57499999999999</v>
      </c>
      <c r="G164" s="2">
        <v>58.648299999999999</v>
      </c>
      <c r="H164" s="2">
        <v>0</v>
      </c>
      <c r="I164" s="2">
        <v>22.252600000000001</v>
      </c>
      <c r="J164" s="2">
        <v>1.59277</v>
      </c>
      <c r="K164" s="2">
        <v>22.086500000000001</v>
      </c>
      <c r="L164" s="2">
        <v>0</v>
      </c>
      <c r="M164" s="2">
        <v>0</v>
      </c>
    </row>
    <row r="165" spans="1:19">
      <c r="A165" s="2" t="s">
        <v>97</v>
      </c>
      <c r="B165" s="2" t="s">
        <v>64</v>
      </c>
      <c r="C165" s="2">
        <v>1</v>
      </c>
      <c r="D165" s="60">
        <v>19.6782</v>
      </c>
      <c r="E165" s="2">
        <v>590.34699999999998</v>
      </c>
      <c r="F165" s="2">
        <v>442.78</v>
      </c>
      <c r="G165" s="2">
        <v>97.555800000000005</v>
      </c>
      <c r="H165" s="2">
        <v>0</v>
      </c>
      <c r="I165" s="2">
        <v>19.456700000000001</v>
      </c>
      <c r="J165" s="2">
        <v>1.3519600000000001</v>
      </c>
      <c r="K165" s="2">
        <v>20.529800000000002</v>
      </c>
      <c r="L165" s="2">
        <v>0</v>
      </c>
      <c r="M165" s="2">
        <v>0</v>
      </c>
    </row>
    <row r="166" spans="1:19">
      <c r="A166" s="2" t="s">
        <v>102</v>
      </c>
      <c r="B166" s="2" t="s">
        <v>94</v>
      </c>
      <c r="C166" s="2" t="s">
        <v>95</v>
      </c>
      <c r="D166" s="60" t="s">
        <v>104</v>
      </c>
      <c r="E166" s="2" t="s">
        <v>66</v>
      </c>
      <c r="F166" s="2">
        <v>28</v>
      </c>
      <c r="G166" s="2">
        <v>84.411100000000005</v>
      </c>
      <c r="H166" s="2">
        <v>27.018999999999998</v>
      </c>
      <c r="I166" s="2">
        <v>402.78500000000003</v>
      </c>
      <c r="J166" s="2">
        <v>705.64200000000005</v>
      </c>
      <c r="K166" s="2">
        <v>537.42600000000004</v>
      </c>
      <c r="L166" s="2">
        <v>35.311</v>
      </c>
      <c r="M166" s="2">
        <v>9</v>
      </c>
      <c r="N166" s="2">
        <v>9</v>
      </c>
      <c r="O166" s="2">
        <v>54119.3</v>
      </c>
      <c r="P166" s="2">
        <v>2285.0500000000002</v>
      </c>
      <c r="Q166" s="2">
        <v>100</v>
      </c>
      <c r="R166" s="2">
        <v>474.36399999999998</v>
      </c>
      <c r="S166" s="2">
        <v>0</v>
      </c>
    </row>
    <row r="167" spans="1:19">
      <c r="A167" s="2" t="s">
        <v>97</v>
      </c>
      <c r="B167" s="2" t="s">
        <v>98</v>
      </c>
      <c r="C167" s="2">
        <v>0</v>
      </c>
      <c r="D167" s="60">
        <v>44.034999999999997</v>
      </c>
      <c r="E167" s="2">
        <v>0</v>
      </c>
      <c r="F167" s="2">
        <v>1723.72</v>
      </c>
      <c r="G167" s="2">
        <v>328.952</v>
      </c>
      <c r="H167" s="2">
        <v>5.6601400000000002</v>
      </c>
      <c r="I167" s="2">
        <v>10.2775</v>
      </c>
      <c r="J167" s="2">
        <v>1.90015</v>
      </c>
      <c r="K167" s="2">
        <v>10.4191</v>
      </c>
      <c r="L167" s="2">
        <v>0</v>
      </c>
      <c r="M167" s="2">
        <v>0</v>
      </c>
    </row>
    <row r="168" spans="1:19">
      <c r="A168" s="2" t="s">
        <v>97</v>
      </c>
      <c r="B168" s="2" t="s">
        <v>99</v>
      </c>
      <c r="C168" s="2">
        <v>0</v>
      </c>
      <c r="D168" s="60">
        <v>25.4816</v>
      </c>
      <c r="E168" s="2">
        <v>0</v>
      </c>
      <c r="F168" s="2">
        <v>120.83499999999999</v>
      </c>
      <c r="G168" s="2">
        <v>402.78500000000003</v>
      </c>
      <c r="H168" s="2">
        <v>1.5926100000000001</v>
      </c>
      <c r="I168" s="2">
        <v>49.738199999999999</v>
      </c>
      <c r="J168" s="2">
        <v>8.47105</v>
      </c>
      <c r="K168" s="2">
        <v>50.581299999999999</v>
      </c>
      <c r="L168" s="2">
        <v>0</v>
      </c>
      <c r="M168" s="2">
        <v>0</v>
      </c>
    </row>
    <row r="169" spans="1:19">
      <c r="A169" s="2" t="s">
        <v>97</v>
      </c>
      <c r="B169" s="2" t="s">
        <v>100</v>
      </c>
      <c r="C169" s="2">
        <v>0</v>
      </c>
      <c r="D169" s="60">
        <v>7.8831600000000002</v>
      </c>
      <c r="E169" s="2">
        <v>0</v>
      </c>
      <c r="F169" s="2">
        <v>2493.98</v>
      </c>
      <c r="G169" s="2">
        <v>457.16300000000001</v>
      </c>
      <c r="H169" s="2">
        <v>0.99263800000000002</v>
      </c>
      <c r="I169" s="2">
        <v>3.2550099999999998E-2</v>
      </c>
      <c r="J169" s="2">
        <v>1.82711</v>
      </c>
      <c r="K169" s="2">
        <v>9.96924E-2</v>
      </c>
      <c r="L169" s="2">
        <v>0</v>
      </c>
      <c r="M169" s="2">
        <v>0</v>
      </c>
    </row>
    <row r="170" spans="1:19">
      <c r="A170" s="2" t="s">
        <v>97</v>
      </c>
      <c r="B170" s="2" t="s">
        <v>101</v>
      </c>
      <c r="C170" s="2">
        <v>0</v>
      </c>
      <c r="D170" s="60">
        <v>90.816400000000002</v>
      </c>
      <c r="E170" s="2">
        <v>0</v>
      </c>
      <c r="F170" s="2">
        <v>1649.93</v>
      </c>
      <c r="G170" s="2">
        <v>802.44500000000005</v>
      </c>
      <c r="H170" s="2">
        <v>11.5648</v>
      </c>
      <c r="I170" s="2">
        <v>22.497699999999998</v>
      </c>
      <c r="J170" s="2">
        <v>2.2119399999999998</v>
      </c>
      <c r="K170" s="2">
        <v>21.825600000000001</v>
      </c>
      <c r="L170" s="2">
        <v>0</v>
      </c>
      <c r="M170" s="2">
        <v>0</v>
      </c>
    </row>
    <row r="171" spans="1:19">
      <c r="A171" s="2" t="s">
        <v>97</v>
      </c>
      <c r="B171" s="2" t="s">
        <v>55</v>
      </c>
      <c r="C171" s="2">
        <v>1</v>
      </c>
      <c r="D171" s="60">
        <v>104.33199999999999</v>
      </c>
      <c r="E171" s="2">
        <v>15128.2</v>
      </c>
      <c r="F171" s="2">
        <v>541.60599999999999</v>
      </c>
      <c r="G171" s="2">
        <v>101.67700000000001</v>
      </c>
      <c r="H171" s="2">
        <v>22.417200000000001</v>
      </c>
      <c r="I171" s="2">
        <v>44.735100000000003</v>
      </c>
      <c r="J171" s="2">
        <v>2.4829400000000001</v>
      </c>
      <c r="K171" s="2">
        <v>44.922600000000003</v>
      </c>
      <c r="L171" s="2">
        <v>0</v>
      </c>
      <c r="M171" s="2">
        <v>0</v>
      </c>
    </row>
    <row r="172" spans="1:19">
      <c r="A172" s="2" t="s">
        <v>97</v>
      </c>
      <c r="B172" s="2" t="s">
        <v>56</v>
      </c>
      <c r="C172" s="2">
        <v>1</v>
      </c>
      <c r="D172" s="60">
        <v>63.012999999999998</v>
      </c>
      <c r="E172" s="2">
        <v>8821.81</v>
      </c>
      <c r="F172" s="2">
        <v>469.78100000000001</v>
      </c>
      <c r="G172" s="2">
        <v>95.391300000000001</v>
      </c>
      <c r="H172" s="2">
        <v>6.9303699999999999</v>
      </c>
      <c r="I172" s="2">
        <v>37.437100000000001</v>
      </c>
      <c r="J172" s="2">
        <v>2.20478</v>
      </c>
      <c r="K172" s="2">
        <v>37.5336</v>
      </c>
      <c r="L172" s="2">
        <v>0</v>
      </c>
      <c r="M172" s="2">
        <v>0</v>
      </c>
    </row>
    <row r="173" spans="1:19">
      <c r="A173" s="2" t="s">
        <v>97</v>
      </c>
      <c r="B173" s="2" t="s">
        <v>57</v>
      </c>
      <c r="C173" s="2">
        <v>1</v>
      </c>
      <c r="D173" s="60">
        <v>4.2910399999999997</v>
      </c>
      <c r="E173" s="2">
        <v>514.92399999999998</v>
      </c>
      <c r="F173" s="2">
        <v>26.133500000000002</v>
      </c>
      <c r="G173" s="2">
        <v>6.5333699999999997</v>
      </c>
      <c r="H173" s="2">
        <v>2.1474500000000001</v>
      </c>
      <c r="I173" s="2">
        <v>42.436399999999999</v>
      </c>
      <c r="J173" s="2">
        <v>2.2130100000000001</v>
      </c>
      <c r="K173" s="2">
        <v>42.438299999999998</v>
      </c>
      <c r="L173" s="2">
        <v>0</v>
      </c>
      <c r="M173" s="2">
        <v>0</v>
      </c>
    </row>
    <row r="174" spans="1:19">
      <c r="A174" s="2" t="s">
        <v>97</v>
      </c>
      <c r="B174" s="2" t="s">
        <v>58</v>
      </c>
      <c r="C174" s="2">
        <v>1</v>
      </c>
      <c r="D174" s="60">
        <v>28.612400000000001</v>
      </c>
      <c r="E174" s="2">
        <v>3004.3</v>
      </c>
      <c r="F174" s="2">
        <v>166.03</v>
      </c>
      <c r="G174" s="2">
        <v>38.5366</v>
      </c>
      <c r="H174" s="2">
        <v>9.09436</v>
      </c>
      <c r="I174" s="2">
        <v>43.266800000000003</v>
      </c>
      <c r="J174" s="2">
        <v>1.8705700000000001</v>
      </c>
      <c r="K174" s="2">
        <v>43.282200000000003</v>
      </c>
      <c r="L174" s="2">
        <v>0</v>
      </c>
      <c r="M174" s="2">
        <v>0</v>
      </c>
    </row>
    <row r="175" spans="1:19">
      <c r="A175" s="2" t="s">
        <v>97</v>
      </c>
      <c r="B175" s="2" t="s">
        <v>59</v>
      </c>
      <c r="C175" s="2">
        <v>1</v>
      </c>
      <c r="D175" s="60">
        <v>121.22499999999999</v>
      </c>
      <c r="E175" s="2">
        <v>12122.5</v>
      </c>
      <c r="F175" s="2">
        <v>1112.45</v>
      </c>
      <c r="G175" s="2">
        <v>243.749</v>
      </c>
      <c r="H175" s="2">
        <v>15.5829</v>
      </c>
      <c r="I175" s="2">
        <v>33.791400000000003</v>
      </c>
      <c r="J175" s="2">
        <v>1.43811</v>
      </c>
      <c r="K175" s="2">
        <v>33.851799999999997</v>
      </c>
      <c r="L175" s="2">
        <v>0</v>
      </c>
      <c r="M175" s="2">
        <v>0</v>
      </c>
    </row>
    <row r="176" spans="1:19">
      <c r="A176" s="2" t="s">
        <v>97</v>
      </c>
      <c r="B176" s="2" t="s">
        <v>60</v>
      </c>
      <c r="C176" s="2">
        <v>1</v>
      </c>
      <c r="D176" s="60">
        <v>39.546500000000002</v>
      </c>
      <c r="E176" s="2">
        <v>3559.18</v>
      </c>
      <c r="F176" s="2">
        <v>591.34100000000001</v>
      </c>
      <c r="G176" s="2">
        <v>130.28800000000001</v>
      </c>
      <c r="H176" s="2">
        <v>9.7326300000000003</v>
      </c>
      <c r="I176" s="2">
        <v>25.946300000000001</v>
      </c>
      <c r="J176" s="2">
        <v>1.42902</v>
      </c>
      <c r="K176" s="2">
        <v>26.014199999999999</v>
      </c>
      <c r="L176" s="2">
        <v>0</v>
      </c>
      <c r="M176" s="2">
        <v>0</v>
      </c>
    </row>
    <row r="177" spans="1:19">
      <c r="A177" s="2" t="s">
        <v>97</v>
      </c>
      <c r="B177" s="2" t="s">
        <v>61</v>
      </c>
      <c r="C177" s="2">
        <v>1</v>
      </c>
      <c r="D177" s="60">
        <v>8.2506699999999995</v>
      </c>
      <c r="E177" s="2">
        <v>701.30700000000002</v>
      </c>
      <c r="F177" s="2">
        <v>195.57</v>
      </c>
      <c r="G177" s="2">
        <v>41.329500000000003</v>
      </c>
      <c r="H177" s="2">
        <v>2.60446</v>
      </c>
      <c r="I177" s="2">
        <v>18.368400000000001</v>
      </c>
      <c r="J177" s="2">
        <v>1.73953</v>
      </c>
      <c r="K177" s="2">
        <v>18.523299999999999</v>
      </c>
      <c r="L177" s="2">
        <v>0</v>
      </c>
      <c r="M177" s="2">
        <v>0</v>
      </c>
    </row>
    <row r="178" spans="1:19">
      <c r="A178" s="2" t="s">
        <v>97</v>
      </c>
      <c r="B178" s="2" t="s">
        <v>62</v>
      </c>
      <c r="C178" s="2">
        <v>1</v>
      </c>
      <c r="D178" s="60">
        <v>87.724000000000004</v>
      </c>
      <c r="E178" s="2">
        <v>7017.92</v>
      </c>
      <c r="F178" s="2">
        <v>689.34400000000005</v>
      </c>
      <c r="G178" s="2">
        <v>151.965</v>
      </c>
      <c r="H178" s="2">
        <v>15.989000000000001</v>
      </c>
      <c r="I178" s="2">
        <v>35.626800000000003</v>
      </c>
      <c r="J178" s="2">
        <v>1.8590899999999999</v>
      </c>
      <c r="K178" s="2">
        <v>36.3887</v>
      </c>
      <c r="L178" s="2">
        <v>0</v>
      </c>
      <c r="M178" s="2">
        <v>0</v>
      </c>
    </row>
    <row r="179" spans="1:19">
      <c r="A179" s="2" t="s">
        <v>97</v>
      </c>
      <c r="B179" s="2" t="s">
        <v>63</v>
      </c>
      <c r="C179" s="2">
        <v>1</v>
      </c>
      <c r="D179" s="60">
        <v>20.9068</v>
      </c>
      <c r="E179" s="2">
        <v>1463.48</v>
      </c>
      <c r="F179" s="2">
        <v>453.79899999999998</v>
      </c>
      <c r="G179" s="2">
        <v>92.381500000000003</v>
      </c>
      <c r="H179" s="2">
        <v>3.5997400000000002</v>
      </c>
      <c r="I179" s="2">
        <v>20.372699999999998</v>
      </c>
      <c r="J179" s="2">
        <v>1.4242600000000001</v>
      </c>
      <c r="K179" s="2">
        <v>20.407</v>
      </c>
      <c r="L179" s="2">
        <v>0</v>
      </c>
      <c r="M179" s="2">
        <v>0</v>
      </c>
    </row>
    <row r="180" spans="1:19">
      <c r="A180" s="2" t="s">
        <v>97</v>
      </c>
      <c r="B180" s="2" t="s">
        <v>64</v>
      </c>
      <c r="C180" s="2">
        <v>1</v>
      </c>
      <c r="D180" s="60">
        <v>59.5244</v>
      </c>
      <c r="E180" s="2">
        <v>1785.73</v>
      </c>
      <c r="F180" s="2">
        <v>1426.79</v>
      </c>
      <c r="G180" s="2">
        <v>303.66899999999998</v>
      </c>
      <c r="H180" s="2">
        <v>16.651700000000002</v>
      </c>
      <c r="I180" s="2">
        <v>18.493099999999998</v>
      </c>
      <c r="J180" s="2">
        <v>1.3257699999999999</v>
      </c>
      <c r="K180" s="2">
        <v>19.964600000000001</v>
      </c>
      <c r="L180" s="2">
        <v>0</v>
      </c>
      <c r="M180" s="2">
        <v>0</v>
      </c>
    </row>
    <row r="181" spans="1:19">
      <c r="A181" s="2" t="s">
        <v>93</v>
      </c>
      <c r="B181" s="2" t="s">
        <v>94</v>
      </c>
      <c r="C181" s="2" t="s">
        <v>95</v>
      </c>
      <c r="D181" s="60" t="s">
        <v>105</v>
      </c>
      <c r="E181" s="2" t="s">
        <v>76</v>
      </c>
      <c r="F181" s="2">
        <v>28</v>
      </c>
      <c r="G181" s="2">
        <v>51.001300000000001</v>
      </c>
      <c r="H181" s="2">
        <v>27.307500000000001</v>
      </c>
      <c r="I181" s="2">
        <v>236.12</v>
      </c>
      <c r="J181" s="2">
        <v>388.18200000000002</v>
      </c>
      <c r="K181" s="2">
        <v>290.91399999999999</v>
      </c>
      <c r="L181" s="2">
        <v>0</v>
      </c>
      <c r="M181" s="2">
        <v>1</v>
      </c>
      <c r="N181" s="2">
        <v>1</v>
      </c>
      <c r="O181" s="2">
        <v>29191.3</v>
      </c>
      <c r="P181" s="2">
        <v>0</v>
      </c>
      <c r="Q181" s="2">
        <v>0</v>
      </c>
      <c r="R181" s="2">
        <v>216.227</v>
      </c>
      <c r="S181" s="2">
        <v>0</v>
      </c>
    </row>
    <row r="182" spans="1:19">
      <c r="A182" s="2" t="s">
        <v>97</v>
      </c>
      <c r="B182" s="2" t="s">
        <v>98</v>
      </c>
      <c r="C182" s="2">
        <v>0</v>
      </c>
      <c r="D182" s="60">
        <v>36.676200000000001</v>
      </c>
      <c r="E182" s="2">
        <v>0</v>
      </c>
      <c r="F182" s="2">
        <v>1298.78</v>
      </c>
      <c r="G182" s="2">
        <v>196.71600000000001</v>
      </c>
      <c r="H182" s="2">
        <v>0</v>
      </c>
      <c r="I182" s="2">
        <v>10</v>
      </c>
      <c r="J182" s="2">
        <v>1.8992800000000001</v>
      </c>
      <c r="K182" s="2">
        <v>10</v>
      </c>
      <c r="L182" s="2">
        <v>0</v>
      </c>
      <c r="M182" s="2">
        <v>0</v>
      </c>
    </row>
    <row r="183" spans="1:19">
      <c r="A183" s="2" t="s">
        <v>97</v>
      </c>
      <c r="B183" s="2" t="s">
        <v>99</v>
      </c>
      <c r="C183" s="2">
        <v>0</v>
      </c>
      <c r="D183" s="60">
        <v>15.404</v>
      </c>
      <c r="E183" s="2">
        <v>0</v>
      </c>
      <c r="F183" s="2">
        <v>70.836100000000002</v>
      </c>
      <c r="G183" s="2">
        <v>236.12</v>
      </c>
      <c r="H183" s="2">
        <v>0</v>
      </c>
      <c r="I183" s="2">
        <v>51.015799999999999</v>
      </c>
      <c r="J183" s="2">
        <v>8.7781400000000005</v>
      </c>
      <c r="K183" s="2">
        <v>51.351399999999998</v>
      </c>
      <c r="L183" s="2">
        <v>0</v>
      </c>
      <c r="M183" s="2">
        <v>0</v>
      </c>
    </row>
    <row r="184" spans="1:19">
      <c r="A184" s="2" t="s">
        <v>97</v>
      </c>
      <c r="B184" s="2" t="s">
        <v>100</v>
      </c>
      <c r="C184" s="2">
        <v>0</v>
      </c>
      <c r="D184" s="60">
        <v>2.9645999999999999</v>
      </c>
      <c r="E184" s="2">
        <v>0</v>
      </c>
      <c r="F184" s="2">
        <v>884.29399999999998</v>
      </c>
      <c r="G184" s="2">
        <v>216.227</v>
      </c>
      <c r="H184" s="2">
        <v>0</v>
      </c>
      <c r="I184" s="2">
        <v>0</v>
      </c>
      <c r="J184" s="2">
        <v>2.4451999999999998</v>
      </c>
      <c r="K184" s="2">
        <v>0</v>
      </c>
      <c r="L184" s="2">
        <v>0</v>
      </c>
      <c r="M184" s="2">
        <v>0</v>
      </c>
    </row>
    <row r="185" spans="1:19">
      <c r="A185" s="2" t="s">
        <v>97</v>
      </c>
      <c r="B185" s="2" t="s">
        <v>101</v>
      </c>
      <c r="C185" s="2">
        <v>0</v>
      </c>
      <c r="D185" s="60">
        <v>42.222999999999999</v>
      </c>
      <c r="E185" s="2">
        <v>0</v>
      </c>
      <c r="F185" s="2">
        <v>504.89800000000002</v>
      </c>
      <c r="G185" s="2">
        <v>295.24599999999998</v>
      </c>
      <c r="H185" s="2">
        <v>0</v>
      </c>
      <c r="I185" s="2">
        <v>25.537199999999999</v>
      </c>
      <c r="J185" s="2">
        <v>2.6288</v>
      </c>
      <c r="K185" s="2">
        <v>28.208300000000001</v>
      </c>
      <c r="L185" s="2">
        <v>0</v>
      </c>
      <c r="M185" s="2">
        <v>0</v>
      </c>
    </row>
    <row r="186" spans="1:19">
      <c r="A186" s="2" t="s">
        <v>97</v>
      </c>
      <c r="B186" s="2" t="s">
        <v>55</v>
      </c>
      <c r="C186" s="2">
        <v>1</v>
      </c>
      <c r="D186" s="60">
        <v>30.244800000000001</v>
      </c>
      <c r="E186" s="2">
        <v>4385.5</v>
      </c>
      <c r="F186" s="2">
        <v>158.45500000000001</v>
      </c>
      <c r="G186" s="2">
        <v>39.613599999999998</v>
      </c>
      <c r="H186" s="2">
        <v>0</v>
      </c>
      <c r="I186" s="2">
        <v>45.328800000000001</v>
      </c>
      <c r="J186" s="2">
        <v>2.8927200000000002</v>
      </c>
      <c r="K186" s="2">
        <v>45.3444</v>
      </c>
      <c r="L186" s="2">
        <v>0</v>
      </c>
      <c r="M186" s="2">
        <v>0</v>
      </c>
    </row>
    <row r="187" spans="1:19">
      <c r="A187" s="2" t="s">
        <v>97</v>
      </c>
      <c r="B187" s="2" t="s">
        <v>56</v>
      </c>
      <c r="C187" s="2">
        <v>1</v>
      </c>
      <c r="D187" s="60">
        <v>62.607100000000003</v>
      </c>
      <c r="E187" s="2">
        <v>8765</v>
      </c>
      <c r="F187" s="2">
        <v>463.90600000000001</v>
      </c>
      <c r="G187" s="2">
        <v>98.253200000000007</v>
      </c>
      <c r="H187" s="2">
        <v>0</v>
      </c>
      <c r="I187" s="2">
        <v>37.781799999999997</v>
      </c>
      <c r="J187" s="2">
        <v>2.2546200000000001</v>
      </c>
      <c r="K187" s="2">
        <v>37.817900000000002</v>
      </c>
      <c r="L187" s="2">
        <v>0</v>
      </c>
      <c r="M187" s="2">
        <v>0</v>
      </c>
    </row>
    <row r="188" spans="1:19">
      <c r="A188" s="2" t="s">
        <v>97</v>
      </c>
      <c r="B188" s="2" t="s">
        <v>57</v>
      </c>
      <c r="C188" s="2">
        <v>1</v>
      </c>
      <c r="D188" s="60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</row>
    <row r="189" spans="1:19">
      <c r="A189" s="2" t="s">
        <v>97</v>
      </c>
      <c r="B189" s="2" t="s">
        <v>58</v>
      </c>
      <c r="C189" s="2">
        <v>1</v>
      </c>
      <c r="D189" s="60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</row>
    <row r="190" spans="1:19">
      <c r="A190" s="2" t="s">
        <v>97</v>
      </c>
      <c r="B190" s="2" t="s">
        <v>59</v>
      </c>
      <c r="C190" s="2">
        <v>1</v>
      </c>
      <c r="D190" s="60">
        <v>53.827399999999997</v>
      </c>
      <c r="E190" s="2">
        <v>5382.74</v>
      </c>
      <c r="F190" s="2">
        <v>547.69100000000003</v>
      </c>
      <c r="G190" s="2">
        <v>117.428</v>
      </c>
      <c r="H190" s="2">
        <v>0</v>
      </c>
      <c r="I190" s="2">
        <v>32.386699999999998</v>
      </c>
      <c r="J190" s="2">
        <v>1.46835</v>
      </c>
      <c r="K190" s="2">
        <v>32.232700000000001</v>
      </c>
      <c r="L190" s="2">
        <v>0</v>
      </c>
      <c r="M190" s="2">
        <v>0</v>
      </c>
    </row>
    <row r="191" spans="1:19">
      <c r="A191" s="2" t="s">
        <v>97</v>
      </c>
      <c r="B191" s="2" t="s">
        <v>60</v>
      </c>
      <c r="C191" s="2">
        <v>1</v>
      </c>
      <c r="D191" s="60">
        <v>11.8085</v>
      </c>
      <c r="E191" s="2">
        <v>1062.77</v>
      </c>
      <c r="F191" s="2">
        <v>157.65600000000001</v>
      </c>
      <c r="G191" s="2">
        <v>39.414000000000001</v>
      </c>
      <c r="H191" s="2">
        <v>0</v>
      </c>
      <c r="I191" s="2">
        <v>27.7029</v>
      </c>
      <c r="J191" s="2">
        <v>1.4953399999999999</v>
      </c>
      <c r="K191" s="2">
        <v>27.729199999999999</v>
      </c>
      <c r="L191" s="2">
        <v>0</v>
      </c>
      <c r="M191" s="2">
        <v>0</v>
      </c>
    </row>
    <row r="192" spans="1:19">
      <c r="A192" s="2" t="s">
        <v>97</v>
      </c>
      <c r="B192" s="2" t="s">
        <v>61</v>
      </c>
      <c r="C192" s="2">
        <v>1</v>
      </c>
      <c r="D192" s="60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</row>
    <row r="193" spans="1:19">
      <c r="A193" s="2" t="s">
        <v>97</v>
      </c>
      <c r="B193" s="2" t="s">
        <v>62</v>
      </c>
      <c r="C193" s="2">
        <v>1</v>
      </c>
      <c r="D193" s="60">
        <v>101.887</v>
      </c>
      <c r="E193" s="2">
        <v>8150.98</v>
      </c>
      <c r="F193" s="2">
        <v>868.99599999999998</v>
      </c>
      <c r="G193" s="2">
        <v>197.50800000000001</v>
      </c>
      <c r="H193" s="2">
        <v>0</v>
      </c>
      <c r="I193" s="2">
        <v>34.4437</v>
      </c>
      <c r="J193" s="2">
        <v>1.6314299999999999</v>
      </c>
      <c r="K193" s="2">
        <v>35.211199999999998</v>
      </c>
      <c r="L193" s="2">
        <v>0</v>
      </c>
      <c r="M193" s="2">
        <v>0</v>
      </c>
    </row>
    <row r="194" spans="1:19">
      <c r="A194" s="2" t="s">
        <v>97</v>
      </c>
      <c r="B194" s="2" t="s">
        <v>63</v>
      </c>
      <c r="C194" s="2">
        <v>1</v>
      </c>
      <c r="D194" s="60">
        <v>13.2027</v>
      </c>
      <c r="E194" s="2">
        <v>924.18799999999999</v>
      </c>
      <c r="F194" s="2">
        <v>276.39699999999999</v>
      </c>
      <c r="G194" s="2">
        <v>59.267499999999998</v>
      </c>
      <c r="H194" s="2">
        <v>0</v>
      </c>
      <c r="I194" s="2">
        <v>20.4422</v>
      </c>
      <c r="J194" s="2">
        <v>1.8629800000000001</v>
      </c>
      <c r="K194" s="2">
        <v>20.0913</v>
      </c>
      <c r="L194" s="2">
        <v>0</v>
      </c>
      <c r="M194" s="2">
        <v>0</v>
      </c>
    </row>
    <row r="195" spans="1:19">
      <c r="A195" s="2" t="s">
        <v>97</v>
      </c>
      <c r="B195" s="2" t="s">
        <v>64</v>
      </c>
      <c r="C195" s="2">
        <v>1</v>
      </c>
      <c r="D195" s="60">
        <v>17.336300000000001</v>
      </c>
      <c r="E195" s="2">
        <v>520.09</v>
      </c>
      <c r="F195" s="2">
        <v>371.99599999999998</v>
      </c>
      <c r="G195" s="2">
        <v>78.382000000000005</v>
      </c>
      <c r="H195" s="2">
        <v>0</v>
      </c>
      <c r="I195" s="2">
        <v>20.109500000000001</v>
      </c>
      <c r="J195" s="2">
        <v>1.5603899999999999</v>
      </c>
      <c r="K195" s="2">
        <v>20.642199999999999</v>
      </c>
      <c r="L195" s="2">
        <v>0</v>
      </c>
      <c r="M195" s="2">
        <v>0</v>
      </c>
    </row>
    <row r="196" spans="1:19">
      <c r="A196" s="2" t="s">
        <v>93</v>
      </c>
      <c r="B196" s="2" t="s">
        <v>94</v>
      </c>
      <c r="C196" s="2" t="s">
        <v>95</v>
      </c>
      <c r="D196" s="60" t="s">
        <v>105</v>
      </c>
      <c r="E196" s="2" t="s">
        <v>77</v>
      </c>
      <c r="F196" s="2">
        <v>28</v>
      </c>
      <c r="G196" s="2">
        <v>69.732299999999995</v>
      </c>
      <c r="H196" s="2">
        <v>29.238199999999999</v>
      </c>
      <c r="I196" s="2">
        <v>274.23599999999999</v>
      </c>
      <c r="J196" s="2">
        <v>639.63499999999999</v>
      </c>
      <c r="K196" s="2">
        <v>508.03300000000002</v>
      </c>
      <c r="L196" s="2">
        <v>0</v>
      </c>
      <c r="M196" s="2">
        <v>1</v>
      </c>
      <c r="N196" s="2">
        <v>1</v>
      </c>
      <c r="O196" s="2">
        <v>55246.9</v>
      </c>
      <c r="P196" s="2">
        <v>0</v>
      </c>
      <c r="Q196" s="2">
        <v>0</v>
      </c>
      <c r="R196" s="2">
        <v>293.99599999999998</v>
      </c>
      <c r="S196" s="2">
        <v>0</v>
      </c>
    </row>
    <row r="197" spans="1:19">
      <c r="A197" s="2" t="s">
        <v>97</v>
      </c>
      <c r="B197" s="2" t="s">
        <v>98</v>
      </c>
      <c r="C197" s="2">
        <v>0</v>
      </c>
      <c r="D197" s="60">
        <v>47.079599999999999</v>
      </c>
      <c r="E197" s="2">
        <v>0</v>
      </c>
      <c r="F197" s="2">
        <v>1785.01</v>
      </c>
      <c r="G197" s="2">
        <v>293.58800000000002</v>
      </c>
      <c r="H197" s="2">
        <v>0</v>
      </c>
      <c r="I197" s="2">
        <v>10.0001</v>
      </c>
      <c r="J197" s="2">
        <v>1.9209000000000001</v>
      </c>
      <c r="K197" s="2">
        <v>10.0001</v>
      </c>
      <c r="L197" s="2">
        <v>0</v>
      </c>
      <c r="M197" s="2">
        <v>0</v>
      </c>
    </row>
    <row r="198" spans="1:19">
      <c r="A198" s="2" t="s">
        <v>97</v>
      </c>
      <c r="B198" s="2" t="s">
        <v>99</v>
      </c>
      <c r="C198" s="2">
        <v>0</v>
      </c>
      <c r="D198" s="60">
        <v>20.7789</v>
      </c>
      <c r="E198" s="2">
        <v>0</v>
      </c>
      <c r="F198" s="2">
        <v>82.270799999999994</v>
      </c>
      <c r="G198" s="2">
        <v>274.23599999999999</v>
      </c>
      <c r="H198" s="2">
        <v>0</v>
      </c>
      <c r="I198" s="2">
        <v>54.85</v>
      </c>
      <c r="J198" s="2">
        <v>8.67</v>
      </c>
      <c r="K198" s="2">
        <v>55.445399999999999</v>
      </c>
      <c r="L198" s="2">
        <v>0</v>
      </c>
      <c r="M198" s="2">
        <v>0</v>
      </c>
    </row>
    <row r="199" spans="1:19">
      <c r="A199" s="2" t="s">
        <v>97</v>
      </c>
      <c r="B199" s="2" t="s">
        <v>100</v>
      </c>
      <c r="C199" s="2">
        <v>0</v>
      </c>
      <c r="D199" s="60">
        <v>4.7339900000000004</v>
      </c>
      <c r="E199" s="2">
        <v>0</v>
      </c>
      <c r="F199" s="2">
        <v>1429.81</v>
      </c>
      <c r="G199" s="2">
        <v>313.34899999999999</v>
      </c>
      <c r="H199" s="2">
        <v>0</v>
      </c>
      <c r="I199" s="2">
        <v>0</v>
      </c>
      <c r="J199" s="2">
        <v>2.19156</v>
      </c>
      <c r="K199" s="2">
        <v>0</v>
      </c>
      <c r="L199" s="2">
        <v>0</v>
      </c>
      <c r="M199" s="2">
        <v>0</v>
      </c>
    </row>
    <row r="200" spans="1:19">
      <c r="A200" s="2" t="s">
        <v>97</v>
      </c>
      <c r="B200" s="2" t="s">
        <v>101</v>
      </c>
      <c r="C200" s="2">
        <v>0</v>
      </c>
      <c r="D200" s="60">
        <v>59.009599999999999</v>
      </c>
      <c r="E200" s="2">
        <v>0</v>
      </c>
      <c r="F200" s="2">
        <v>851.73099999999999</v>
      </c>
      <c r="G200" s="2">
        <v>490.13400000000001</v>
      </c>
      <c r="H200" s="2">
        <v>0</v>
      </c>
      <c r="I200" s="2">
        <v>26.180499999999999</v>
      </c>
      <c r="J200" s="2">
        <v>2.1787700000000001</v>
      </c>
      <c r="K200" s="2">
        <v>26.305399999999999</v>
      </c>
      <c r="L200" s="2">
        <v>0</v>
      </c>
      <c r="M200" s="2">
        <v>0</v>
      </c>
    </row>
    <row r="201" spans="1:19">
      <c r="A201" s="2" t="s">
        <v>97</v>
      </c>
      <c r="B201" s="2" t="s">
        <v>55</v>
      </c>
      <c r="C201" s="2">
        <v>1</v>
      </c>
      <c r="D201" s="60">
        <v>160.184</v>
      </c>
      <c r="E201" s="2">
        <v>23226.7</v>
      </c>
      <c r="F201" s="2">
        <v>762.36599999999999</v>
      </c>
      <c r="G201" s="2">
        <v>138.20500000000001</v>
      </c>
      <c r="H201" s="2">
        <v>0</v>
      </c>
      <c r="I201" s="2">
        <v>46.676299999999998</v>
      </c>
      <c r="J201" s="2">
        <v>2.3992800000000001</v>
      </c>
      <c r="K201" s="2">
        <v>47.066299999999998</v>
      </c>
      <c r="L201" s="2">
        <v>0</v>
      </c>
      <c r="M201" s="2">
        <v>0</v>
      </c>
    </row>
    <row r="202" spans="1:19">
      <c r="A202" s="2" t="s">
        <v>97</v>
      </c>
      <c r="B202" s="2" t="s">
        <v>56</v>
      </c>
      <c r="C202" s="2">
        <v>1</v>
      </c>
      <c r="D202" s="60">
        <v>21.446200000000001</v>
      </c>
      <c r="E202" s="2">
        <v>3002.47</v>
      </c>
      <c r="F202" s="2">
        <v>177.86699999999999</v>
      </c>
      <c r="G202" s="2">
        <v>38.660899999999998</v>
      </c>
      <c r="H202" s="2">
        <v>0</v>
      </c>
      <c r="I202" s="2">
        <v>35.877200000000002</v>
      </c>
      <c r="J202" s="2">
        <v>2.1221800000000002</v>
      </c>
      <c r="K202" s="2">
        <v>35.843600000000002</v>
      </c>
      <c r="L202" s="2">
        <v>0</v>
      </c>
      <c r="M202" s="2">
        <v>0</v>
      </c>
    </row>
    <row r="203" spans="1:19">
      <c r="A203" s="2" t="s">
        <v>97</v>
      </c>
      <c r="B203" s="2" t="s">
        <v>57</v>
      </c>
      <c r="C203" s="2">
        <v>1</v>
      </c>
      <c r="D203" s="60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</row>
    <row r="204" spans="1:19">
      <c r="A204" s="2" t="s">
        <v>97</v>
      </c>
      <c r="B204" s="2" t="s">
        <v>58</v>
      </c>
      <c r="C204" s="2">
        <v>1</v>
      </c>
      <c r="D204" s="60">
        <v>85.194000000000003</v>
      </c>
      <c r="E204" s="2">
        <v>8945.3700000000008</v>
      </c>
      <c r="F204" s="2">
        <v>475.07</v>
      </c>
      <c r="G204" s="2">
        <v>118.767</v>
      </c>
      <c r="H204" s="2">
        <v>0</v>
      </c>
      <c r="I204" s="2">
        <v>44.609099999999998</v>
      </c>
      <c r="J204" s="2">
        <v>1.65001</v>
      </c>
      <c r="K204" s="2">
        <v>44.683</v>
      </c>
      <c r="L204" s="2">
        <v>0</v>
      </c>
      <c r="M204" s="2">
        <v>0</v>
      </c>
    </row>
    <row r="205" spans="1:19">
      <c r="A205" s="2" t="s">
        <v>97</v>
      </c>
      <c r="B205" s="2" t="s">
        <v>59</v>
      </c>
      <c r="C205" s="2">
        <v>1</v>
      </c>
      <c r="D205" s="60">
        <v>111.47</v>
      </c>
      <c r="E205" s="2">
        <v>11147</v>
      </c>
      <c r="F205" s="2">
        <v>1017.51</v>
      </c>
      <c r="G205" s="2">
        <v>215.001</v>
      </c>
      <c r="H205" s="2">
        <v>0</v>
      </c>
      <c r="I205" s="2">
        <v>33.474800000000002</v>
      </c>
      <c r="J205" s="2">
        <v>1.56149</v>
      </c>
      <c r="K205" s="2">
        <v>33.536299999999997</v>
      </c>
      <c r="L205" s="2">
        <v>0</v>
      </c>
      <c r="M205" s="2">
        <v>0</v>
      </c>
    </row>
    <row r="206" spans="1:19">
      <c r="A206" s="2" t="s">
        <v>97</v>
      </c>
      <c r="B206" s="2" t="s">
        <v>60</v>
      </c>
      <c r="C206" s="2">
        <v>1</v>
      </c>
      <c r="D206" s="60">
        <v>24.838699999999999</v>
      </c>
      <c r="E206" s="2">
        <v>2235.48</v>
      </c>
      <c r="F206" s="2">
        <v>353.14400000000001</v>
      </c>
      <c r="G206" s="2">
        <v>78.5458</v>
      </c>
      <c r="H206" s="2">
        <v>0</v>
      </c>
      <c r="I206" s="2">
        <v>25.903500000000001</v>
      </c>
      <c r="J206" s="2">
        <v>1.7541599999999999</v>
      </c>
      <c r="K206" s="2">
        <v>25.7468</v>
      </c>
      <c r="L206" s="2">
        <v>0</v>
      </c>
      <c r="M206" s="2">
        <v>0</v>
      </c>
    </row>
    <row r="207" spans="1:19">
      <c r="A207" s="2" t="s">
        <v>97</v>
      </c>
      <c r="B207" s="2" t="s">
        <v>61</v>
      </c>
      <c r="C207" s="2">
        <v>1</v>
      </c>
      <c r="D207" s="60">
        <v>2.6045799999999999</v>
      </c>
      <c r="E207" s="2">
        <v>221.38900000000001</v>
      </c>
      <c r="F207" s="2">
        <v>77.920699999999997</v>
      </c>
      <c r="G207" s="2">
        <v>19.4802</v>
      </c>
      <c r="H207" s="2">
        <v>0</v>
      </c>
      <c r="I207" s="2">
        <v>17.199100000000001</v>
      </c>
      <c r="J207" s="2">
        <v>1.64917</v>
      </c>
      <c r="K207" s="2">
        <v>17.199100000000001</v>
      </c>
      <c r="L207" s="2">
        <v>0</v>
      </c>
      <c r="M207" s="2">
        <v>0</v>
      </c>
    </row>
    <row r="208" spans="1:19">
      <c r="A208" s="2" t="s">
        <v>97</v>
      </c>
      <c r="B208" s="2" t="s">
        <v>62</v>
      </c>
      <c r="C208" s="2">
        <v>1</v>
      </c>
      <c r="D208" s="60">
        <v>61.201500000000003</v>
      </c>
      <c r="E208" s="2">
        <v>4896.12</v>
      </c>
      <c r="F208" s="2">
        <v>545.18700000000001</v>
      </c>
      <c r="G208" s="2">
        <v>97.486599999999996</v>
      </c>
      <c r="H208" s="2">
        <v>0</v>
      </c>
      <c r="I208" s="2">
        <v>34.111499999999999</v>
      </c>
      <c r="J208" s="2">
        <v>1.44181</v>
      </c>
      <c r="K208" s="2">
        <v>34.0321</v>
      </c>
      <c r="L208" s="2">
        <v>0</v>
      </c>
      <c r="M208" s="2">
        <v>0</v>
      </c>
    </row>
    <row r="209" spans="1:19">
      <c r="A209" s="2" t="s">
        <v>97</v>
      </c>
      <c r="B209" s="2" t="s">
        <v>63</v>
      </c>
      <c r="C209" s="2">
        <v>1</v>
      </c>
      <c r="D209" s="60">
        <v>8.4883500000000005</v>
      </c>
      <c r="E209" s="2">
        <v>594.18399999999997</v>
      </c>
      <c r="F209" s="2">
        <v>235.49199999999999</v>
      </c>
      <c r="G209" s="2">
        <v>58.872999999999998</v>
      </c>
      <c r="H209" s="2">
        <v>0</v>
      </c>
      <c r="I209" s="2">
        <v>18.302199999999999</v>
      </c>
      <c r="J209" s="2">
        <v>1.41547</v>
      </c>
      <c r="K209" s="2">
        <v>18.502600000000001</v>
      </c>
      <c r="L209" s="2">
        <v>0</v>
      </c>
      <c r="M209" s="2">
        <v>0</v>
      </c>
    </row>
    <row r="210" spans="1:19">
      <c r="A210" s="2" t="s">
        <v>97</v>
      </c>
      <c r="B210" s="2" t="s">
        <v>64</v>
      </c>
      <c r="C210" s="2">
        <v>1</v>
      </c>
      <c r="D210" s="60">
        <v>32.606200000000001</v>
      </c>
      <c r="E210" s="2">
        <v>978.18499999999995</v>
      </c>
      <c r="F210" s="2">
        <v>651.13199999999995</v>
      </c>
      <c r="G210" s="2">
        <v>136.51400000000001</v>
      </c>
      <c r="H210" s="2">
        <v>0</v>
      </c>
      <c r="I210" s="2">
        <v>20.845199999999998</v>
      </c>
      <c r="J210" s="2">
        <v>1.49146</v>
      </c>
      <c r="K210" s="2">
        <v>21.419799999999999</v>
      </c>
      <c r="L210" s="2">
        <v>0</v>
      </c>
      <c r="M210" s="2">
        <v>0</v>
      </c>
    </row>
    <row r="211" spans="1:19">
      <c r="A211" s="2" t="s">
        <v>93</v>
      </c>
      <c r="B211" s="2" t="s">
        <v>94</v>
      </c>
      <c r="C211" s="2" t="s">
        <v>95</v>
      </c>
      <c r="D211" s="60" t="s">
        <v>105</v>
      </c>
      <c r="E211" s="2" t="s">
        <v>78</v>
      </c>
      <c r="F211" s="2">
        <v>28</v>
      </c>
      <c r="G211" s="2">
        <v>92.930599999999998</v>
      </c>
      <c r="H211" s="2">
        <v>29.760999999999999</v>
      </c>
      <c r="I211" s="2">
        <v>385.464</v>
      </c>
      <c r="J211" s="2">
        <v>807.99699999999996</v>
      </c>
      <c r="K211" s="2">
        <v>597.03399999999999</v>
      </c>
      <c r="L211" s="2">
        <v>0</v>
      </c>
      <c r="M211" s="2">
        <v>1</v>
      </c>
      <c r="N211" s="2">
        <v>1</v>
      </c>
      <c r="O211" s="2">
        <v>57821.4</v>
      </c>
      <c r="P211" s="2">
        <v>0</v>
      </c>
      <c r="Q211" s="2">
        <v>0</v>
      </c>
      <c r="R211" s="2">
        <v>462.36099999999999</v>
      </c>
      <c r="S211" s="2">
        <v>0</v>
      </c>
    </row>
    <row r="212" spans="1:19">
      <c r="A212" s="2" t="s">
        <v>97</v>
      </c>
      <c r="B212" s="2" t="s">
        <v>98</v>
      </c>
      <c r="C212" s="2">
        <v>0</v>
      </c>
      <c r="D212" s="60">
        <v>45.319400000000002</v>
      </c>
      <c r="E212" s="2">
        <v>0</v>
      </c>
      <c r="F212" s="2">
        <v>1632.56</v>
      </c>
      <c r="G212" s="2">
        <v>291.38</v>
      </c>
      <c r="H212" s="2">
        <v>0</v>
      </c>
      <c r="I212" s="2">
        <v>10.0001</v>
      </c>
      <c r="J212" s="2">
        <v>1.95661</v>
      </c>
      <c r="K212" s="2">
        <v>10.0001</v>
      </c>
      <c r="L212" s="2">
        <v>0</v>
      </c>
      <c r="M212" s="2">
        <v>0</v>
      </c>
    </row>
    <row r="213" spans="1:19">
      <c r="A213" s="2" t="s">
        <v>97</v>
      </c>
      <c r="B213" s="2" t="s">
        <v>99</v>
      </c>
      <c r="C213" s="2">
        <v>0</v>
      </c>
      <c r="D213" s="60">
        <v>27.6358</v>
      </c>
      <c r="E213" s="2">
        <v>0</v>
      </c>
      <c r="F213" s="2">
        <v>115.639</v>
      </c>
      <c r="G213" s="2">
        <v>385.464</v>
      </c>
      <c r="H213" s="2">
        <v>0</v>
      </c>
      <c r="I213" s="2">
        <v>52.472799999999999</v>
      </c>
      <c r="J213" s="2">
        <v>8.4615399999999994</v>
      </c>
      <c r="K213" s="2">
        <v>53.919499999999999</v>
      </c>
      <c r="L213" s="2">
        <v>0</v>
      </c>
      <c r="M213" s="2">
        <v>0</v>
      </c>
    </row>
    <row r="214" spans="1:19">
      <c r="A214" s="2" t="s">
        <v>97</v>
      </c>
      <c r="B214" s="2" t="s">
        <v>100</v>
      </c>
      <c r="C214" s="2">
        <v>0</v>
      </c>
      <c r="D214" s="60">
        <v>7.1423899999999998</v>
      </c>
      <c r="E214" s="2">
        <v>0</v>
      </c>
      <c r="F214" s="2">
        <v>2186.19</v>
      </c>
      <c r="G214" s="2">
        <v>423.02699999999999</v>
      </c>
      <c r="H214" s="2">
        <v>0</v>
      </c>
      <c r="I214" s="2">
        <v>0.38618999999999998</v>
      </c>
      <c r="J214" s="2">
        <v>1.86029</v>
      </c>
      <c r="K214" s="2">
        <v>1.2022699999999999</v>
      </c>
      <c r="L214" s="2">
        <v>0</v>
      </c>
      <c r="M214" s="2">
        <v>0</v>
      </c>
    </row>
    <row r="215" spans="1:19">
      <c r="A215" s="2" t="s">
        <v>97</v>
      </c>
      <c r="B215" s="2" t="s">
        <v>101</v>
      </c>
      <c r="C215" s="2">
        <v>0</v>
      </c>
      <c r="D215" s="60">
        <v>130.86500000000001</v>
      </c>
      <c r="E215" s="2">
        <v>0</v>
      </c>
      <c r="F215" s="2">
        <v>1610.13</v>
      </c>
      <c r="G215" s="2">
        <v>887.125</v>
      </c>
      <c r="H215" s="2">
        <v>0</v>
      </c>
      <c r="I215" s="2">
        <v>26.863399999999999</v>
      </c>
      <c r="J215" s="2">
        <v>2.3830300000000002</v>
      </c>
      <c r="K215" s="2">
        <v>27.9511</v>
      </c>
      <c r="L215" s="2">
        <v>0</v>
      </c>
      <c r="M215" s="2">
        <v>0</v>
      </c>
    </row>
    <row r="216" spans="1:19">
      <c r="A216" s="2" t="s">
        <v>97</v>
      </c>
      <c r="B216" s="2" t="s">
        <v>55</v>
      </c>
      <c r="C216" s="2">
        <v>1</v>
      </c>
      <c r="D216" s="60">
        <v>49.965400000000002</v>
      </c>
      <c r="E216" s="2">
        <v>7244.98</v>
      </c>
      <c r="F216" s="2">
        <v>240.76900000000001</v>
      </c>
      <c r="G216" s="2">
        <v>39.470300000000002</v>
      </c>
      <c r="H216" s="2">
        <v>0</v>
      </c>
      <c r="I216" s="2">
        <v>46.290500000000002</v>
      </c>
      <c r="J216" s="2">
        <v>2.3710200000000001</v>
      </c>
      <c r="K216" s="2">
        <v>46.515099999999997</v>
      </c>
      <c r="L216" s="2">
        <v>0</v>
      </c>
      <c r="M216" s="2">
        <v>0</v>
      </c>
    </row>
    <row r="217" spans="1:19">
      <c r="A217" s="2" t="s">
        <v>97</v>
      </c>
      <c r="B217" s="2" t="s">
        <v>56</v>
      </c>
      <c r="C217" s="2">
        <v>1</v>
      </c>
      <c r="D217" s="60">
        <v>43.563099999999999</v>
      </c>
      <c r="E217" s="2">
        <v>6098.84</v>
      </c>
      <c r="F217" s="2">
        <v>314.851</v>
      </c>
      <c r="G217" s="2">
        <v>58.188800000000001</v>
      </c>
      <c r="H217" s="2">
        <v>0</v>
      </c>
      <c r="I217" s="2">
        <v>37.646000000000001</v>
      </c>
      <c r="J217" s="2">
        <v>2.1057100000000002</v>
      </c>
      <c r="K217" s="2">
        <v>37.997999999999998</v>
      </c>
      <c r="L217" s="2">
        <v>0</v>
      </c>
      <c r="M217" s="2">
        <v>0</v>
      </c>
    </row>
    <row r="218" spans="1:19">
      <c r="A218" s="2" t="s">
        <v>97</v>
      </c>
      <c r="B218" s="2" t="s">
        <v>57</v>
      </c>
      <c r="C218" s="2">
        <v>1</v>
      </c>
      <c r="D218" s="60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</row>
    <row r="219" spans="1:19">
      <c r="A219" s="2" t="s">
        <v>97</v>
      </c>
      <c r="B219" s="2" t="s">
        <v>58</v>
      </c>
      <c r="C219" s="2">
        <v>1</v>
      </c>
      <c r="D219" s="60">
        <v>153.88300000000001</v>
      </c>
      <c r="E219" s="2">
        <v>16157.7</v>
      </c>
      <c r="F219" s="2">
        <v>751.79300000000001</v>
      </c>
      <c r="G219" s="2">
        <v>158.23599999999999</v>
      </c>
      <c r="H219" s="2">
        <v>0</v>
      </c>
      <c r="I219" s="2">
        <v>46.830500000000001</v>
      </c>
      <c r="J219" s="2">
        <v>1.93713</v>
      </c>
      <c r="K219" s="2">
        <v>46.941899999999997</v>
      </c>
      <c r="L219" s="2">
        <v>0</v>
      </c>
      <c r="M219" s="2">
        <v>0</v>
      </c>
    </row>
    <row r="220" spans="1:19">
      <c r="A220" s="2" t="s">
        <v>97</v>
      </c>
      <c r="B220" s="2" t="s">
        <v>59</v>
      </c>
      <c r="C220" s="2">
        <v>1</v>
      </c>
      <c r="D220" s="60">
        <v>113.619</v>
      </c>
      <c r="E220" s="2">
        <v>11361.9</v>
      </c>
      <c r="F220" s="2">
        <v>973.98099999999999</v>
      </c>
      <c r="G220" s="2">
        <v>194.36</v>
      </c>
      <c r="H220" s="2">
        <v>0</v>
      </c>
      <c r="I220" s="2">
        <v>34.223100000000002</v>
      </c>
      <c r="J220" s="2">
        <v>1.48044</v>
      </c>
      <c r="K220" s="2">
        <v>34.6374</v>
      </c>
      <c r="L220" s="2">
        <v>0</v>
      </c>
      <c r="M220" s="2">
        <v>0</v>
      </c>
    </row>
    <row r="221" spans="1:19">
      <c r="A221" s="2" t="s">
        <v>97</v>
      </c>
      <c r="B221" s="2" t="s">
        <v>60</v>
      </c>
      <c r="C221" s="2">
        <v>1</v>
      </c>
      <c r="D221" s="60">
        <v>34.060299999999998</v>
      </c>
      <c r="E221" s="2">
        <v>3065.43</v>
      </c>
      <c r="F221" s="2">
        <v>531.40099999999995</v>
      </c>
      <c r="G221" s="2">
        <v>113.68</v>
      </c>
      <c r="H221" s="2">
        <v>0</v>
      </c>
      <c r="I221" s="2">
        <v>25.1782</v>
      </c>
      <c r="J221" s="2">
        <v>1.4313400000000001</v>
      </c>
      <c r="K221" s="2">
        <v>25.071100000000001</v>
      </c>
      <c r="L221" s="2">
        <v>0</v>
      </c>
      <c r="M221" s="2">
        <v>0</v>
      </c>
    </row>
    <row r="222" spans="1:19">
      <c r="A222" s="2" t="s">
        <v>97</v>
      </c>
      <c r="B222" s="2" t="s">
        <v>61</v>
      </c>
      <c r="C222" s="2">
        <v>1</v>
      </c>
      <c r="D222" s="60">
        <v>9.8866999999999994</v>
      </c>
      <c r="E222" s="2">
        <v>840.37</v>
      </c>
      <c r="F222" s="2">
        <v>235.53800000000001</v>
      </c>
      <c r="G222" s="2">
        <v>58.884399999999999</v>
      </c>
      <c r="H222" s="2">
        <v>0</v>
      </c>
      <c r="I222" s="2">
        <v>18.8964</v>
      </c>
      <c r="J222" s="2">
        <v>2.0007600000000001</v>
      </c>
      <c r="K222" s="2">
        <v>18.9451</v>
      </c>
      <c r="L222" s="2">
        <v>0</v>
      </c>
      <c r="M222" s="2">
        <v>0</v>
      </c>
    </row>
    <row r="223" spans="1:19">
      <c r="A223" s="2" t="s">
        <v>97</v>
      </c>
      <c r="B223" s="2" t="s">
        <v>62</v>
      </c>
      <c r="C223" s="2">
        <v>1</v>
      </c>
      <c r="D223" s="60">
        <v>111.068</v>
      </c>
      <c r="E223" s="2">
        <v>8885.41</v>
      </c>
      <c r="F223" s="2">
        <v>1095.1500000000001</v>
      </c>
      <c r="G223" s="2">
        <v>234.631</v>
      </c>
      <c r="H223" s="2">
        <v>0</v>
      </c>
      <c r="I223" s="2">
        <v>31.976700000000001</v>
      </c>
      <c r="J223" s="2">
        <v>1.5248999999999999</v>
      </c>
      <c r="K223" s="2">
        <v>32.363599999999998</v>
      </c>
      <c r="L223" s="2">
        <v>0</v>
      </c>
      <c r="M223" s="2">
        <v>0</v>
      </c>
    </row>
    <row r="224" spans="1:19">
      <c r="A224" s="2" t="s">
        <v>97</v>
      </c>
      <c r="B224" s="2" t="s">
        <v>63</v>
      </c>
      <c r="C224" s="2">
        <v>1</v>
      </c>
      <c r="D224" s="60">
        <v>43.427</v>
      </c>
      <c r="E224" s="2">
        <v>3039.89</v>
      </c>
      <c r="F224" s="2">
        <v>1064.81</v>
      </c>
      <c r="G224" s="2">
        <v>228.91399999999999</v>
      </c>
      <c r="H224" s="2">
        <v>0</v>
      </c>
      <c r="I224" s="2">
        <v>19.686599999999999</v>
      </c>
      <c r="J224" s="2">
        <v>1.21143</v>
      </c>
      <c r="K224" s="2">
        <v>19.835699999999999</v>
      </c>
      <c r="L224" s="2">
        <v>0</v>
      </c>
      <c r="M224" s="2">
        <v>0</v>
      </c>
    </row>
    <row r="225" spans="1:19">
      <c r="A225" s="2" t="s">
        <v>97</v>
      </c>
      <c r="B225" s="2" t="s">
        <v>64</v>
      </c>
      <c r="C225" s="2">
        <v>1</v>
      </c>
      <c r="D225" s="60">
        <v>37.562800000000003</v>
      </c>
      <c r="E225" s="2">
        <v>1126.8800000000001</v>
      </c>
      <c r="F225" s="2">
        <v>685.73299999999995</v>
      </c>
      <c r="G225" s="2">
        <v>172.333</v>
      </c>
      <c r="H225" s="2">
        <v>0</v>
      </c>
      <c r="I225" s="2">
        <v>21.011299999999999</v>
      </c>
      <c r="J225" s="2">
        <v>1.2049799999999999</v>
      </c>
      <c r="K225" s="2">
        <v>24.031700000000001</v>
      </c>
      <c r="L225" s="2">
        <v>0</v>
      </c>
      <c r="M225" s="2">
        <v>0</v>
      </c>
    </row>
    <row r="226" spans="1:19">
      <c r="A226" s="2" t="s">
        <v>93</v>
      </c>
      <c r="B226" s="2" t="s">
        <v>94</v>
      </c>
      <c r="C226" s="2" t="s">
        <v>95</v>
      </c>
      <c r="D226" s="60" t="s">
        <v>105</v>
      </c>
      <c r="E226" s="2" t="s">
        <v>79</v>
      </c>
      <c r="F226" s="2">
        <v>28</v>
      </c>
      <c r="G226" s="2">
        <v>84.466700000000003</v>
      </c>
      <c r="H226" s="2">
        <v>29.600899999999999</v>
      </c>
      <c r="I226" s="2">
        <v>451.64800000000002</v>
      </c>
      <c r="J226" s="2">
        <v>756.86099999999999</v>
      </c>
      <c r="K226" s="2">
        <v>586.61099999999999</v>
      </c>
      <c r="L226" s="2">
        <v>0</v>
      </c>
      <c r="M226" s="2">
        <v>1</v>
      </c>
      <c r="N226" s="2">
        <v>1</v>
      </c>
      <c r="O226" s="2">
        <v>65823.8</v>
      </c>
      <c r="P226" s="2">
        <v>0</v>
      </c>
      <c r="Q226" s="2">
        <v>0</v>
      </c>
      <c r="R226" s="2">
        <v>451.64800000000002</v>
      </c>
      <c r="S226" s="2">
        <v>0</v>
      </c>
    </row>
    <row r="227" spans="1:19">
      <c r="A227" s="2" t="s">
        <v>97</v>
      </c>
      <c r="B227" s="2" t="s">
        <v>98</v>
      </c>
      <c r="C227" s="2">
        <v>0</v>
      </c>
      <c r="D227" s="60">
        <v>62.730200000000004</v>
      </c>
      <c r="E227" s="2">
        <v>0</v>
      </c>
      <c r="F227" s="2">
        <v>2168.6999999999998</v>
      </c>
      <c r="G227" s="2">
        <v>382.69</v>
      </c>
      <c r="H227" s="2">
        <v>0</v>
      </c>
      <c r="I227" s="2">
        <v>11.1945</v>
      </c>
      <c r="J227" s="2">
        <v>1.7521100000000001</v>
      </c>
      <c r="K227" s="2">
        <v>11.1081</v>
      </c>
      <c r="L227" s="2">
        <v>0</v>
      </c>
      <c r="M227" s="2">
        <v>0</v>
      </c>
    </row>
    <row r="228" spans="1:19">
      <c r="A228" s="2" t="s">
        <v>97</v>
      </c>
      <c r="B228" s="2" t="s">
        <v>99</v>
      </c>
      <c r="C228" s="2">
        <v>0</v>
      </c>
      <c r="D228" s="60">
        <v>25.828499999999998</v>
      </c>
      <c r="E228" s="2">
        <v>0</v>
      </c>
      <c r="F228" s="2">
        <v>135.494</v>
      </c>
      <c r="G228" s="2">
        <v>451.64800000000002</v>
      </c>
      <c r="H228" s="2">
        <v>0</v>
      </c>
      <c r="I228" s="2">
        <v>47.015999999999998</v>
      </c>
      <c r="J228" s="2">
        <v>7.6142200000000004</v>
      </c>
      <c r="K228" s="2">
        <v>48.153399999999998</v>
      </c>
      <c r="L228" s="2">
        <v>0</v>
      </c>
      <c r="M228" s="2">
        <v>0</v>
      </c>
    </row>
    <row r="229" spans="1:19">
      <c r="A229" s="2" t="s">
        <v>97</v>
      </c>
      <c r="B229" s="2" t="s">
        <v>100</v>
      </c>
      <c r="C229" s="2">
        <v>0</v>
      </c>
      <c r="D229" s="60">
        <v>6.7819399999999996</v>
      </c>
      <c r="E229" s="2">
        <v>0</v>
      </c>
      <c r="F229" s="2">
        <v>2099.38</v>
      </c>
      <c r="G229" s="2">
        <v>412.44400000000002</v>
      </c>
      <c r="H229" s="2">
        <v>0</v>
      </c>
      <c r="I229" s="2">
        <v>0</v>
      </c>
      <c r="J229" s="2">
        <v>1.9645999999999999</v>
      </c>
      <c r="K229" s="2">
        <v>0</v>
      </c>
      <c r="L229" s="2">
        <v>0</v>
      </c>
      <c r="M229" s="2">
        <v>0</v>
      </c>
    </row>
    <row r="230" spans="1:19">
      <c r="A230" s="2" t="s">
        <v>97</v>
      </c>
      <c r="B230" s="2" t="s">
        <v>101</v>
      </c>
      <c r="C230" s="2">
        <v>0</v>
      </c>
      <c r="D230" s="60">
        <v>74.908900000000003</v>
      </c>
      <c r="E230" s="2">
        <v>0</v>
      </c>
      <c r="F230" s="2">
        <v>1525.46</v>
      </c>
      <c r="G230" s="2">
        <v>510.32900000000001</v>
      </c>
      <c r="H230" s="2">
        <v>0</v>
      </c>
      <c r="I230" s="2">
        <v>21.2409</v>
      </c>
      <c r="J230" s="2">
        <v>1.78732</v>
      </c>
      <c r="K230" s="2">
        <v>19.654</v>
      </c>
      <c r="L230" s="2">
        <v>0</v>
      </c>
      <c r="M230" s="2">
        <v>0</v>
      </c>
    </row>
    <row r="231" spans="1:19">
      <c r="A231" s="2" t="s">
        <v>97</v>
      </c>
      <c r="B231" s="2" t="s">
        <v>55</v>
      </c>
      <c r="C231" s="2">
        <v>1</v>
      </c>
      <c r="D231" s="60">
        <v>127.536</v>
      </c>
      <c r="E231" s="2">
        <v>18492.7</v>
      </c>
      <c r="F231" s="2">
        <v>603.96</v>
      </c>
      <c r="G231" s="2">
        <v>118.419</v>
      </c>
      <c r="H231" s="2">
        <v>0</v>
      </c>
      <c r="I231" s="2">
        <v>47.372500000000002</v>
      </c>
      <c r="J231" s="2">
        <v>2.5813100000000002</v>
      </c>
      <c r="K231" s="2">
        <v>47.348799999999997</v>
      </c>
      <c r="L231" s="2">
        <v>0</v>
      </c>
      <c r="M231" s="2">
        <v>0</v>
      </c>
    </row>
    <row r="232" spans="1:19">
      <c r="A232" s="2" t="s">
        <v>97</v>
      </c>
      <c r="B232" s="2" t="s">
        <v>56</v>
      </c>
      <c r="C232" s="2">
        <v>1</v>
      </c>
      <c r="D232" s="60">
        <v>128.15199999999999</v>
      </c>
      <c r="E232" s="2">
        <v>17941.3</v>
      </c>
      <c r="F232" s="2">
        <v>980.63800000000003</v>
      </c>
      <c r="G232" s="2">
        <v>174.68899999999999</v>
      </c>
      <c r="H232" s="2">
        <v>0</v>
      </c>
      <c r="I232" s="2">
        <v>36.842700000000001</v>
      </c>
      <c r="J232" s="2">
        <v>2.0006200000000001</v>
      </c>
      <c r="K232" s="2">
        <v>36.9009</v>
      </c>
      <c r="L232" s="2">
        <v>0</v>
      </c>
      <c r="M232" s="2">
        <v>0</v>
      </c>
    </row>
    <row r="233" spans="1:19">
      <c r="A233" s="2" t="s">
        <v>97</v>
      </c>
      <c r="B233" s="2" t="s">
        <v>57</v>
      </c>
      <c r="C233" s="2">
        <v>1</v>
      </c>
      <c r="D233" s="60">
        <v>11.9278</v>
      </c>
      <c r="E233" s="2">
        <v>1431.33</v>
      </c>
      <c r="F233" s="2">
        <v>78.773200000000003</v>
      </c>
      <c r="G233" s="2">
        <v>19.693300000000001</v>
      </c>
      <c r="H233" s="2">
        <v>0</v>
      </c>
      <c r="I233" s="2">
        <v>41.402200000000001</v>
      </c>
      <c r="J233" s="2">
        <v>1.2220899999999999</v>
      </c>
      <c r="K233" s="2">
        <v>41.402200000000001</v>
      </c>
      <c r="L233" s="2">
        <v>0</v>
      </c>
      <c r="M233" s="2">
        <v>0</v>
      </c>
    </row>
    <row r="234" spans="1:19">
      <c r="A234" s="2" t="s">
        <v>97</v>
      </c>
      <c r="B234" s="2" t="s">
        <v>58</v>
      </c>
      <c r="C234" s="2">
        <v>1</v>
      </c>
      <c r="D234" s="60">
        <v>39.273099999999999</v>
      </c>
      <c r="E234" s="2">
        <v>4123.67</v>
      </c>
      <c r="F234" s="2">
        <v>237.572</v>
      </c>
      <c r="G234" s="2">
        <v>59.392899999999997</v>
      </c>
      <c r="H234" s="2">
        <v>0</v>
      </c>
      <c r="I234" s="2">
        <v>42.915100000000002</v>
      </c>
      <c r="J234" s="2">
        <v>1.4010100000000001</v>
      </c>
      <c r="K234" s="2">
        <v>42.964199999999998</v>
      </c>
      <c r="L234" s="2">
        <v>0</v>
      </c>
      <c r="M234" s="2">
        <v>0</v>
      </c>
    </row>
    <row r="235" spans="1:19">
      <c r="A235" s="2" t="s">
        <v>97</v>
      </c>
      <c r="B235" s="2" t="s">
        <v>59</v>
      </c>
      <c r="C235" s="2">
        <v>1</v>
      </c>
      <c r="D235" s="60">
        <v>118.627</v>
      </c>
      <c r="E235" s="2">
        <v>11862.7</v>
      </c>
      <c r="F235" s="2">
        <v>1167.05</v>
      </c>
      <c r="G235" s="2">
        <v>272.08499999999998</v>
      </c>
      <c r="H235" s="2">
        <v>0</v>
      </c>
      <c r="I235" s="2">
        <v>32.788600000000002</v>
      </c>
      <c r="J235" s="2">
        <v>1.4042300000000001</v>
      </c>
      <c r="K235" s="2">
        <v>32.860999999999997</v>
      </c>
      <c r="L235" s="2">
        <v>0</v>
      </c>
      <c r="M235" s="2">
        <v>0</v>
      </c>
    </row>
    <row r="236" spans="1:19">
      <c r="A236" s="2" t="s">
        <v>97</v>
      </c>
      <c r="B236" s="2" t="s">
        <v>60</v>
      </c>
      <c r="C236" s="2">
        <v>1</v>
      </c>
      <c r="D236" s="60">
        <v>32.608600000000003</v>
      </c>
      <c r="E236" s="2">
        <v>2934.77</v>
      </c>
      <c r="F236" s="2">
        <v>531.93799999999999</v>
      </c>
      <c r="G236" s="2">
        <v>114.054</v>
      </c>
      <c r="H236" s="2">
        <v>0</v>
      </c>
      <c r="I236" s="2">
        <v>24.942499999999999</v>
      </c>
      <c r="J236" s="2">
        <v>1.2293400000000001</v>
      </c>
      <c r="K236" s="2">
        <v>25.0487</v>
      </c>
      <c r="L236" s="2">
        <v>0</v>
      </c>
      <c r="M236" s="2">
        <v>0</v>
      </c>
    </row>
    <row r="237" spans="1:19">
      <c r="A237" s="2" t="s">
        <v>97</v>
      </c>
      <c r="B237" s="2" t="s">
        <v>61</v>
      </c>
      <c r="C237" s="2">
        <v>1</v>
      </c>
      <c r="D237" s="60">
        <v>20.099299999999999</v>
      </c>
      <c r="E237" s="2">
        <v>1708.44</v>
      </c>
      <c r="F237" s="2">
        <v>463.33100000000002</v>
      </c>
      <c r="G237" s="2">
        <v>96.215999999999994</v>
      </c>
      <c r="H237" s="2">
        <v>0</v>
      </c>
      <c r="I237" s="2">
        <v>18.6067</v>
      </c>
      <c r="J237" s="2">
        <v>1.63531</v>
      </c>
      <c r="K237" s="2">
        <v>18.993400000000001</v>
      </c>
      <c r="L237" s="2">
        <v>0</v>
      </c>
      <c r="M237" s="2">
        <v>0</v>
      </c>
    </row>
    <row r="238" spans="1:19">
      <c r="A238" s="2" t="s">
        <v>97</v>
      </c>
      <c r="B238" s="2" t="s">
        <v>62</v>
      </c>
      <c r="C238" s="2">
        <v>1</v>
      </c>
      <c r="D238" s="60">
        <v>60.775100000000002</v>
      </c>
      <c r="E238" s="2">
        <v>4862</v>
      </c>
      <c r="F238" s="2">
        <v>572.32100000000003</v>
      </c>
      <c r="G238" s="2">
        <v>133.33799999999999</v>
      </c>
      <c r="H238" s="2">
        <v>0</v>
      </c>
      <c r="I238" s="2">
        <v>33.409100000000002</v>
      </c>
      <c r="J238" s="2">
        <v>1.42418</v>
      </c>
      <c r="K238" s="2">
        <v>33.909300000000002</v>
      </c>
      <c r="L238" s="2">
        <v>0</v>
      </c>
      <c r="M238" s="2">
        <v>0</v>
      </c>
    </row>
    <row r="239" spans="1:19">
      <c r="A239" s="2" t="s">
        <v>97</v>
      </c>
      <c r="B239" s="2" t="s">
        <v>63</v>
      </c>
      <c r="C239" s="2">
        <v>1</v>
      </c>
      <c r="D239" s="60">
        <v>25.962800000000001</v>
      </c>
      <c r="E239" s="2">
        <v>1817.4</v>
      </c>
      <c r="F239" s="2">
        <v>614.48900000000003</v>
      </c>
      <c r="G239" s="2">
        <v>138.24299999999999</v>
      </c>
      <c r="H239" s="2">
        <v>0</v>
      </c>
      <c r="I239" s="2">
        <v>20.299399999999999</v>
      </c>
      <c r="J239" s="2">
        <v>1.3260099999999999</v>
      </c>
      <c r="K239" s="2">
        <v>20.534099999999999</v>
      </c>
      <c r="L239" s="2">
        <v>0</v>
      </c>
      <c r="M239" s="2">
        <v>0</v>
      </c>
    </row>
    <row r="240" spans="1:19">
      <c r="A240" s="2" t="s">
        <v>97</v>
      </c>
      <c r="B240" s="2" t="s">
        <v>64</v>
      </c>
      <c r="C240" s="2">
        <v>1</v>
      </c>
      <c r="D240" s="60">
        <v>21.6495</v>
      </c>
      <c r="E240" s="2">
        <v>649.48500000000001</v>
      </c>
      <c r="F240" s="2">
        <v>526.23699999999997</v>
      </c>
      <c r="G240" s="2">
        <v>120.35899999999999</v>
      </c>
      <c r="H240" s="2">
        <v>0</v>
      </c>
      <c r="I240" s="2">
        <v>19.424099999999999</v>
      </c>
      <c r="J240" s="2">
        <v>1.2955099999999999</v>
      </c>
      <c r="K240" s="2">
        <v>20.2013</v>
      </c>
      <c r="L240" s="2">
        <v>0</v>
      </c>
      <c r="M240" s="2">
        <v>0</v>
      </c>
    </row>
    <row r="241" spans="1:19">
      <c r="A241" s="2" t="s">
        <v>93</v>
      </c>
      <c r="B241" s="2" t="s">
        <v>94</v>
      </c>
      <c r="C241" s="2" t="s">
        <v>95</v>
      </c>
      <c r="D241" s="60" t="s">
        <v>105</v>
      </c>
      <c r="E241" s="2" t="s">
        <v>80</v>
      </c>
      <c r="F241" s="2">
        <v>28</v>
      </c>
      <c r="G241" s="2">
        <v>79.124200000000002</v>
      </c>
      <c r="H241" s="2">
        <v>28.102499999999999</v>
      </c>
      <c r="I241" s="2">
        <v>330.28100000000001</v>
      </c>
      <c r="J241" s="2">
        <v>715.66300000000001</v>
      </c>
      <c r="K241" s="2">
        <v>584.84199999999998</v>
      </c>
      <c r="L241" s="2">
        <v>0</v>
      </c>
      <c r="M241" s="2">
        <v>1</v>
      </c>
      <c r="N241" s="2">
        <v>1</v>
      </c>
      <c r="O241" s="2">
        <v>59161.1</v>
      </c>
      <c r="P241" s="2">
        <v>0</v>
      </c>
      <c r="Q241" s="2">
        <v>0</v>
      </c>
      <c r="R241" s="2">
        <v>330.28100000000001</v>
      </c>
      <c r="S241" s="2">
        <v>0</v>
      </c>
    </row>
    <row r="242" spans="1:19">
      <c r="A242" s="2" t="s">
        <v>97</v>
      </c>
      <c r="B242" s="2" t="s">
        <v>98</v>
      </c>
      <c r="C242" s="2">
        <v>0</v>
      </c>
      <c r="D242" s="60">
        <v>30.622499999999999</v>
      </c>
      <c r="E242" s="2">
        <v>0</v>
      </c>
      <c r="F242" s="2">
        <v>1527.05</v>
      </c>
      <c r="G242" s="2">
        <v>330.28100000000001</v>
      </c>
      <c r="H242" s="2">
        <v>0</v>
      </c>
      <c r="I242" s="2">
        <v>10</v>
      </c>
      <c r="J242" s="2">
        <v>2.0343900000000001</v>
      </c>
      <c r="K242" s="2">
        <v>10</v>
      </c>
      <c r="L242" s="2">
        <v>0</v>
      </c>
      <c r="M242" s="2">
        <v>0</v>
      </c>
    </row>
    <row r="243" spans="1:19">
      <c r="A243" s="2" t="s">
        <v>97</v>
      </c>
      <c r="B243" s="2" t="s">
        <v>99</v>
      </c>
      <c r="C243" s="2">
        <v>0</v>
      </c>
      <c r="D243" s="60">
        <v>23.724699999999999</v>
      </c>
      <c r="E243" s="2">
        <v>0</v>
      </c>
      <c r="F243" s="2">
        <v>99.084199999999996</v>
      </c>
      <c r="G243" s="2">
        <v>330.28100000000001</v>
      </c>
      <c r="H243" s="2">
        <v>0</v>
      </c>
      <c r="I243" s="2">
        <v>53.574399999999997</v>
      </c>
      <c r="J243" s="2">
        <v>8.6811199999999999</v>
      </c>
      <c r="K243" s="2">
        <v>53.954500000000003</v>
      </c>
      <c r="L243" s="2">
        <v>0</v>
      </c>
      <c r="M243" s="2">
        <v>0</v>
      </c>
    </row>
    <row r="244" spans="1:19">
      <c r="A244" s="2" t="s">
        <v>97</v>
      </c>
      <c r="B244" s="2" t="s">
        <v>100</v>
      </c>
      <c r="C244" s="2">
        <v>0</v>
      </c>
      <c r="D244" s="60">
        <v>4.3431199999999999</v>
      </c>
      <c r="E244" s="2">
        <v>0</v>
      </c>
      <c r="F244" s="2">
        <v>1264.5899999999999</v>
      </c>
      <c r="G244" s="2">
        <v>330.28100000000001</v>
      </c>
      <c r="H244" s="2">
        <v>0</v>
      </c>
      <c r="I244" s="2">
        <v>0</v>
      </c>
      <c r="J244" s="2">
        <v>2.6117699999999999</v>
      </c>
      <c r="K244" s="2">
        <v>0</v>
      </c>
      <c r="L244" s="2">
        <v>0</v>
      </c>
      <c r="M244" s="2">
        <v>0</v>
      </c>
    </row>
    <row r="245" spans="1:19">
      <c r="A245" s="2" t="s">
        <v>97</v>
      </c>
      <c r="B245" s="2" t="s">
        <v>101</v>
      </c>
      <c r="C245" s="2">
        <v>0</v>
      </c>
      <c r="D245" s="60">
        <v>72.130799999999994</v>
      </c>
      <c r="E245" s="2">
        <v>0</v>
      </c>
      <c r="F245" s="2">
        <v>983.71</v>
      </c>
      <c r="G245" s="2">
        <v>543.00400000000002</v>
      </c>
      <c r="H245" s="2">
        <v>0</v>
      </c>
      <c r="I245" s="2">
        <v>25.948799999999999</v>
      </c>
      <c r="J245" s="2">
        <v>1.8598399999999999</v>
      </c>
      <c r="K245" s="2">
        <v>25.446200000000001</v>
      </c>
      <c r="L245" s="2">
        <v>0</v>
      </c>
      <c r="M245" s="2">
        <v>0</v>
      </c>
    </row>
    <row r="246" spans="1:19">
      <c r="A246" s="2" t="s">
        <v>97</v>
      </c>
      <c r="B246" s="2" t="s">
        <v>55</v>
      </c>
      <c r="C246" s="2">
        <v>1</v>
      </c>
      <c r="D246" s="60">
        <v>121.426</v>
      </c>
      <c r="E246" s="2">
        <v>17606.7</v>
      </c>
      <c r="F246" s="2">
        <v>682.87</v>
      </c>
      <c r="G246" s="2">
        <v>136.95400000000001</v>
      </c>
      <c r="H246" s="2">
        <v>0</v>
      </c>
      <c r="I246" s="2">
        <v>43.428899999999999</v>
      </c>
      <c r="J246" s="2">
        <v>2.4251100000000001</v>
      </c>
      <c r="K246" s="2">
        <v>43.450299999999999</v>
      </c>
      <c r="L246" s="2">
        <v>0</v>
      </c>
      <c r="M246" s="2">
        <v>0</v>
      </c>
    </row>
    <row r="247" spans="1:19">
      <c r="A247" s="2" t="s">
        <v>97</v>
      </c>
      <c r="B247" s="2" t="s">
        <v>56</v>
      </c>
      <c r="C247" s="2">
        <v>1</v>
      </c>
      <c r="D247" s="60">
        <v>56.212699999999998</v>
      </c>
      <c r="E247" s="2">
        <v>7869.78</v>
      </c>
      <c r="F247" s="2">
        <v>430.72800000000001</v>
      </c>
      <c r="G247" s="2">
        <v>77.224000000000004</v>
      </c>
      <c r="H247" s="2">
        <v>0</v>
      </c>
      <c r="I247" s="2">
        <v>36.836100000000002</v>
      </c>
      <c r="J247" s="2">
        <v>1.8391</v>
      </c>
      <c r="K247" s="2">
        <v>36.975999999999999</v>
      </c>
      <c r="L247" s="2">
        <v>0</v>
      </c>
      <c r="M247" s="2">
        <v>0</v>
      </c>
    </row>
    <row r="248" spans="1:19">
      <c r="A248" s="2" t="s">
        <v>97</v>
      </c>
      <c r="B248" s="2" t="s">
        <v>57</v>
      </c>
      <c r="C248" s="2">
        <v>1</v>
      </c>
      <c r="D248" s="60">
        <v>18.094999999999999</v>
      </c>
      <c r="E248" s="2">
        <v>2171.4</v>
      </c>
      <c r="F248" s="2">
        <v>118.05800000000001</v>
      </c>
      <c r="G248" s="2">
        <v>19.676300000000001</v>
      </c>
      <c r="H248" s="2">
        <v>0</v>
      </c>
      <c r="I248" s="2">
        <v>40.084600000000002</v>
      </c>
      <c r="J248" s="2">
        <v>1.2964100000000001</v>
      </c>
      <c r="K248" s="2">
        <v>40.084600000000002</v>
      </c>
      <c r="L248" s="2">
        <v>0</v>
      </c>
      <c r="M248" s="2">
        <v>0</v>
      </c>
    </row>
    <row r="249" spans="1:19">
      <c r="A249" s="2" t="s">
        <v>97</v>
      </c>
      <c r="B249" s="2" t="s">
        <v>58</v>
      </c>
      <c r="C249" s="2">
        <v>1</v>
      </c>
      <c r="D249" s="60">
        <v>23.444500000000001</v>
      </c>
      <c r="E249" s="2">
        <v>2461.67</v>
      </c>
      <c r="F249" s="2">
        <v>118.773</v>
      </c>
      <c r="G249" s="2">
        <v>19.795500000000001</v>
      </c>
      <c r="H249" s="2">
        <v>0</v>
      </c>
      <c r="I249" s="2">
        <v>45.7258</v>
      </c>
      <c r="J249" s="2">
        <v>1.40371</v>
      </c>
      <c r="K249" s="2">
        <v>45.7258</v>
      </c>
      <c r="L249" s="2">
        <v>0</v>
      </c>
      <c r="M249" s="2">
        <v>0</v>
      </c>
    </row>
    <row r="250" spans="1:19">
      <c r="A250" s="2" t="s">
        <v>97</v>
      </c>
      <c r="B250" s="2" t="s">
        <v>59</v>
      </c>
      <c r="C250" s="2">
        <v>1</v>
      </c>
      <c r="D250" s="60">
        <v>53.917400000000001</v>
      </c>
      <c r="E250" s="2">
        <v>5391.74</v>
      </c>
      <c r="F250" s="2">
        <v>506.06900000000002</v>
      </c>
      <c r="G250" s="2">
        <v>116.80800000000001</v>
      </c>
      <c r="H250" s="2">
        <v>0</v>
      </c>
      <c r="I250" s="2">
        <v>33.848199999999999</v>
      </c>
      <c r="J250" s="2">
        <v>1.3222700000000001</v>
      </c>
      <c r="K250" s="2">
        <v>33.734900000000003</v>
      </c>
      <c r="L250" s="2">
        <v>0</v>
      </c>
      <c r="M250" s="2">
        <v>0</v>
      </c>
    </row>
    <row r="251" spans="1:19">
      <c r="A251" s="2" t="s">
        <v>97</v>
      </c>
      <c r="B251" s="2" t="s">
        <v>60</v>
      </c>
      <c r="C251" s="2">
        <v>1</v>
      </c>
      <c r="D251" s="60">
        <v>15.701000000000001</v>
      </c>
      <c r="E251" s="2">
        <v>1413.09</v>
      </c>
      <c r="F251" s="2">
        <v>233.03299999999999</v>
      </c>
      <c r="G251" s="2">
        <v>38.838799999999999</v>
      </c>
      <c r="H251" s="2">
        <v>0</v>
      </c>
      <c r="I251" s="2">
        <v>24.054099999999998</v>
      </c>
      <c r="J251" s="2">
        <v>1.6174599999999999</v>
      </c>
      <c r="K251" s="2">
        <v>24.072199999999999</v>
      </c>
      <c r="L251" s="2">
        <v>0</v>
      </c>
      <c r="M251" s="2">
        <v>0</v>
      </c>
    </row>
    <row r="252" spans="1:19">
      <c r="A252" s="2" t="s">
        <v>97</v>
      </c>
      <c r="B252" s="2" t="s">
        <v>61</v>
      </c>
      <c r="C252" s="2">
        <v>1</v>
      </c>
      <c r="D252" s="60">
        <v>13.0227</v>
      </c>
      <c r="E252" s="2">
        <v>1106.93</v>
      </c>
      <c r="F252" s="2">
        <v>234.56899999999999</v>
      </c>
      <c r="G252" s="2">
        <v>39.094799999999999</v>
      </c>
      <c r="H252" s="2">
        <v>0</v>
      </c>
      <c r="I252" s="2">
        <v>20.387499999999999</v>
      </c>
      <c r="J252" s="2">
        <v>1.93129</v>
      </c>
      <c r="K252" s="2">
        <v>20.401599999999998</v>
      </c>
      <c r="L252" s="2">
        <v>0</v>
      </c>
      <c r="M252" s="2">
        <v>0</v>
      </c>
    </row>
    <row r="253" spans="1:19">
      <c r="A253" s="2" t="s">
        <v>97</v>
      </c>
      <c r="B253" s="2" t="s">
        <v>62</v>
      </c>
      <c r="C253" s="2">
        <v>1</v>
      </c>
      <c r="D253" s="60">
        <v>229.971</v>
      </c>
      <c r="E253" s="2">
        <v>18397.7</v>
      </c>
      <c r="F253" s="2">
        <v>1830.61</v>
      </c>
      <c r="G253" s="2">
        <v>350.76499999999999</v>
      </c>
      <c r="H253" s="2">
        <v>0</v>
      </c>
      <c r="I253" s="2">
        <v>34.927999999999997</v>
      </c>
      <c r="J253" s="2">
        <v>1.8173900000000001</v>
      </c>
      <c r="K253" s="2">
        <v>35.645099999999999</v>
      </c>
      <c r="L253" s="2">
        <v>0</v>
      </c>
      <c r="M253" s="2">
        <v>0</v>
      </c>
    </row>
    <row r="254" spans="1:19">
      <c r="A254" s="2" t="s">
        <v>97</v>
      </c>
      <c r="B254" s="2" t="s">
        <v>63</v>
      </c>
      <c r="C254" s="2">
        <v>1</v>
      </c>
      <c r="D254" s="60">
        <v>28.7623</v>
      </c>
      <c r="E254" s="2">
        <v>2013.36</v>
      </c>
      <c r="F254" s="2">
        <v>651.54600000000005</v>
      </c>
      <c r="G254" s="2">
        <v>153.22399999999999</v>
      </c>
      <c r="H254" s="2">
        <v>0</v>
      </c>
      <c r="I254" s="2">
        <v>19.767499999999998</v>
      </c>
      <c r="J254" s="2">
        <v>1.74451</v>
      </c>
      <c r="K254" s="2">
        <v>19.798400000000001</v>
      </c>
      <c r="L254" s="2">
        <v>0</v>
      </c>
      <c r="M254" s="2">
        <v>0</v>
      </c>
    </row>
    <row r="255" spans="1:19">
      <c r="A255" s="2" t="s">
        <v>97</v>
      </c>
      <c r="B255" s="2" t="s">
        <v>64</v>
      </c>
      <c r="C255" s="2">
        <v>1</v>
      </c>
      <c r="D255" s="60">
        <v>24.29</v>
      </c>
      <c r="E255" s="2">
        <v>728.69899999999996</v>
      </c>
      <c r="F255" s="2">
        <v>407.036</v>
      </c>
      <c r="G255" s="2">
        <v>97.002799999999993</v>
      </c>
      <c r="H255" s="2">
        <v>0</v>
      </c>
      <c r="I255" s="2">
        <v>23.3581</v>
      </c>
      <c r="J255" s="2">
        <v>1.78102</v>
      </c>
      <c r="K255" s="2">
        <v>23.759699999999999</v>
      </c>
      <c r="L255" s="2">
        <v>0</v>
      </c>
      <c r="M255" s="2">
        <v>0</v>
      </c>
    </row>
    <row r="256" spans="1:19">
      <c r="A256" s="2" t="s">
        <v>93</v>
      </c>
      <c r="B256" s="2" t="s">
        <v>94</v>
      </c>
      <c r="C256" s="2" t="s">
        <v>95</v>
      </c>
      <c r="D256" s="60" t="s">
        <v>105</v>
      </c>
      <c r="E256" s="2" t="s">
        <v>81</v>
      </c>
      <c r="F256" s="2">
        <v>28</v>
      </c>
      <c r="G256" s="2">
        <v>81.310900000000004</v>
      </c>
      <c r="H256" s="2">
        <v>30.8642</v>
      </c>
      <c r="I256" s="2">
        <v>312.02100000000002</v>
      </c>
      <c r="J256" s="2">
        <v>766.92600000000004</v>
      </c>
      <c r="K256" s="2">
        <v>621.29200000000003</v>
      </c>
      <c r="L256" s="2">
        <v>0</v>
      </c>
      <c r="M256" s="2">
        <v>1</v>
      </c>
      <c r="N256" s="2">
        <v>1</v>
      </c>
      <c r="O256" s="2">
        <v>68781.399999999994</v>
      </c>
      <c r="P256" s="2">
        <v>0</v>
      </c>
      <c r="Q256" s="2">
        <v>0</v>
      </c>
      <c r="R256" s="2">
        <v>293.399</v>
      </c>
      <c r="S256" s="2">
        <v>0</v>
      </c>
    </row>
    <row r="257" spans="1:19">
      <c r="A257" s="2" t="s">
        <v>97</v>
      </c>
      <c r="B257" s="2" t="s">
        <v>98</v>
      </c>
      <c r="C257" s="2">
        <v>0</v>
      </c>
      <c r="D257" s="60">
        <v>52.803199999999997</v>
      </c>
      <c r="E257" s="2">
        <v>0</v>
      </c>
      <c r="F257" s="2">
        <v>1858.89</v>
      </c>
      <c r="G257" s="2">
        <v>272.67500000000001</v>
      </c>
      <c r="H257" s="2">
        <v>0</v>
      </c>
      <c r="I257" s="2">
        <v>10.0001</v>
      </c>
      <c r="J257" s="2">
        <v>1.9223699999999999</v>
      </c>
      <c r="K257" s="2">
        <v>10.0001</v>
      </c>
      <c r="L257" s="2">
        <v>0</v>
      </c>
      <c r="M257" s="2">
        <v>0</v>
      </c>
    </row>
    <row r="258" spans="1:19">
      <c r="A258" s="2" t="s">
        <v>97</v>
      </c>
      <c r="B258" s="2" t="s">
        <v>99</v>
      </c>
      <c r="C258" s="2">
        <v>0</v>
      </c>
      <c r="D258" s="60">
        <v>24.1755</v>
      </c>
      <c r="E258" s="2">
        <v>0</v>
      </c>
      <c r="F258" s="2">
        <v>93.606300000000005</v>
      </c>
      <c r="G258" s="2">
        <v>312.02100000000002</v>
      </c>
      <c r="H258" s="2">
        <v>0</v>
      </c>
      <c r="I258" s="2">
        <v>55.351500000000001</v>
      </c>
      <c r="J258" s="2">
        <v>8.5743299999999998</v>
      </c>
      <c r="K258" s="2">
        <v>56.092399999999998</v>
      </c>
      <c r="L258" s="2">
        <v>0</v>
      </c>
      <c r="M258" s="2">
        <v>0</v>
      </c>
    </row>
    <row r="259" spans="1:19">
      <c r="A259" s="2" t="s">
        <v>97</v>
      </c>
      <c r="B259" s="2" t="s">
        <v>100</v>
      </c>
      <c r="C259" s="2">
        <v>0</v>
      </c>
      <c r="D259" s="60">
        <v>4.1741700000000002</v>
      </c>
      <c r="E259" s="2">
        <v>0</v>
      </c>
      <c r="F259" s="2">
        <v>1212.21</v>
      </c>
      <c r="G259" s="2">
        <v>312.02100000000002</v>
      </c>
      <c r="H259" s="2">
        <v>0</v>
      </c>
      <c r="I259" s="2">
        <v>0</v>
      </c>
      <c r="J259" s="2">
        <v>2.5740099999999999</v>
      </c>
      <c r="K259" s="2">
        <v>0</v>
      </c>
      <c r="L259" s="2">
        <v>0</v>
      </c>
      <c r="M259" s="2">
        <v>0</v>
      </c>
    </row>
    <row r="260" spans="1:19">
      <c r="A260" s="2" t="s">
        <v>97</v>
      </c>
      <c r="B260" s="2" t="s">
        <v>101</v>
      </c>
      <c r="C260" s="2">
        <v>0</v>
      </c>
      <c r="D260" s="60">
        <v>64.480999999999995</v>
      </c>
      <c r="E260" s="2">
        <v>0</v>
      </c>
      <c r="F260" s="2">
        <v>875.34799999999996</v>
      </c>
      <c r="G260" s="2">
        <v>466.85199999999998</v>
      </c>
      <c r="H260" s="2">
        <v>0</v>
      </c>
      <c r="I260" s="2">
        <v>26.644300000000001</v>
      </c>
      <c r="J260" s="2">
        <v>1.7042600000000001</v>
      </c>
      <c r="K260" s="2">
        <v>25.4361</v>
      </c>
      <c r="L260" s="2">
        <v>0</v>
      </c>
      <c r="M260" s="2">
        <v>0</v>
      </c>
    </row>
    <row r="261" spans="1:19">
      <c r="A261" s="2" t="s">
        <v>97</v>
      </c>
      <c r="B261" s="2" t="s">
        <v>55</v>
      </c>
      <c r="C261" s="2">
        <v>1</v>
      </c>
      <c r="D261" s="60">
        <v>154.02699999999999</v>
      </c>
      <c r="E261" s="2">
        <v>22333.9</v>
      </c>
      <c r="F261" s="2">
        <v>737.43399999999997</v>
      </c>
      <c r="G261" s="2">
        <v>137.976</v>
      </c>
      <c r="H261" s="2">
        <v>0</v>
      </c>
      <c r="I261" s="2">
        <v>46.841999999999999</v>
      </c>
      <c r="J261" s="2">
        <v>2.47967</v>
      </c>
      <c r="K261" s="2">
        <v>47.014099999999999</v>
      </c>
      <c r="L261" s="2">
        <v>0</v>
      </c>
      <c r="M261" s="2">
        <v>0</v>
      </c>
    </row>
    <row r="262" spans="1:19">
      <c r="A262" s="2" t="s">
        <v>97</v>
      </c>
      <c r="B262" s="2" t="s">
        <v>56</v>
      </c>
      <c r="C262" s="2">
        <v>1</v>
      </c>
      <c r="D262" s="60">
        <v>40.161200000000001</v>
      </c>
      <c r="E262" s="2">
        <v>5622.56</v>
      </c>
      <c r="F262" s="2">
        <v>318.3</v>
      </c>
      <c r="G262" s="2">
        <v>57.861800000000002</v>
      </c>
      <c r="H262" s="2">
        <v>0</v>
      </c>
      <c r="I262" s="2">
        <v>36.3078</v>
      </c>
      <c r="J262" s="2">
        <v>2.0009800000000002</v>
      </c>
      <c r="K262" s="2">
        <v>36.335599999999999</v>
      </c>
      <c r="L262" s="2">
        <v>0</v>
      </c>
      <c r="M262" s="2">
        <v>0</v>
      </c>
    </row>
    <row r="263" spans="1:19">
      <c r="A263" s="2" t="s">
        <v>97</v>
      </c>
      <c r="B263" s="2" t="s">
        <v>57</v>
      </c>
      <c r="C263" s="2">
        <v>1</v>
      </c>
      <c r="D263" s="60">
        <v>46.983600000000003</v>
      </c>
      <c r="E263" s="2">
        <v>5638.04</v>
      </c>
      <c r="F263" s="2">
        <v>274.73399999999998</v>
      </c>
      <c r="G263" s="2">
        <v>58.855800000000002</v>
      </c>
      <c r="H263" s="2">
        <v>0</v>
      </c>
      <c r="I263" s="2">
        <v>42.840200000000003</v>
      </c>
      <c r="J263" s="2">
        <v>2.03355</v>
      </c>
      <c r="K263" s="2">
        <v>43.007300000000001</v>
      </c>
      <c r="L263" s="2">
        <v>0</v>
      </c>
      <c r="M263" s="2">
        <v>0</v>
      </c>
    </row>
    <row r="264" spans="1:19">
      <c r="A264" s="2" t="s">
        <v>97</v>
      </c>
      <c r="B264" s="2" t="s">
        <v>58</v>
      </c>
      <c r="C264" s="2">
        <v>1</v>
      </c>
      <c r="D264" s="60">
        <v>97.364199999999997</v>
      </c>
      <c r="E264" s="2">
        <v>10223.200000000001</v>
      </c>
      <c r="F264" s="2">
        <v>514.94399999999996</v>
      </c>
      <c r="G264" s="2">
        <v>118.842</v>
      </c>
      <c r="H264" s="2">
        <v>0</v>
      </c>
      <c r="I264" s="2">
        <v>45.346400000000003</v>
      </c>
      <c r="J264" s="2">
        <v>1.6193</v>
      </c>
      <c r="K264" s="2">
        <v>45.499000000000002</v>
      </c>
      <c r="L264" s="2">
        <v>0</v>
      </c>
      <c r="M264" s="2">
        <v>0</v>
      </c>
    </row>
    <row r="265" spans="1:19">
      <c r="A265" s="2" t="s">
        <v>97</v>
      </c>
      <c r="B265" s="2" t="s">
        <v>59</v>
      </c>
      <c r="C265" s="2">
        <v>1</v>
      </c>
      <c r="D265" s="60">
        <v>117.73699999999999</v>
      </c>
      <c r="E265" s="2">
        <v>11773.7</v>
      </c>
      <c r="F265" s="2">
        <v>1094.24</v>
      </c>
      <c r="G265" s="2">
        <v>254.03</v>
      </c>
      <c r="H265" s="2">
        <v>0</v>
      </c>
      <c r="I265" s="2">
        <v>33.690899999999999</v>
      </c>
      <c r="J265" s="2">
        <v>1.5225299999999999</v>
      </c>
      <c r="K265" s="2">
        <v>33.638100000000001</v>
      </c>
      <c r="L265" s="2">
        <v>0</v>
      </c>
      <c r="M265" s="2">
        <v>0</v>
      </c>
    </row>
    <row r="266" spans="1:19">
      <c r="A266" s="2" t="s">
        <v>97</v>
      </c>
      <c r="B266" s="2" t="s">
        <v>60</v>
      </c>
      <c r="C266" s="2">
        <v>1</v>
      </c>
      <c r="D266" s="60">
        <v>44.580199999999998</v>
      </c>
      <c r="E266" s="2">
        <v>4012.22</v>
      </c>
      <c r="F266" s="2">
        <v>666.52800000000002</v>
      </c>
      <c r="G266" s="2">
        <v>156.88999999999999</v>
      </c>
      <c r="H266" s="2">
        <v>0</v>
      </c>
      <c r="I266" s="2">
        <v>25.0596</v>
      </c>
      <c r="J266" s="2">
        <v>1.87137</v>
      </c>
      <c r="K266" s="2">
        <v>25.0228</v>
      </c>
      <c r="L266" s="2">
        <v>0</v>
      </c>
      <c r="M266" s="2">
        <v>0</v>
      </c>
    </row>
    <row r="267" spans="1:19">
      <c r="A267" s="2" t="s">
        <v>97</v>
      </c>
      <c r="B267" s="2" t="s">
        <v>61</v>
      </c>
      <c r="C267" s="2">
        <v>1</v>
      </c>
      <c r="D267" s="60">
        <v>9.6792200000000008</v>
      </c>
      <c r="E267" s="2">
        <v>822.73400000000004</v>
      </c>
      <c r="F267" s="2">
        <v>194.54300000000001</v>
      </c>
      <c r="G267" s="2">
        <v>38.975499999999997</v>
      </c>
      <c r="H267" s="2">
        <v>0</v>
      </c>
      <c r="I267" s="2">
        <v>20.122499999999999</v>
      </c>
      <c r="J267" s="2">
        <v>1.7943</v>
      </c>
      <c r="K267" s="2">
        <v>20.327200000000001</v>
      </c>
      <c r="L267" s="2">
        <v>0</v>
      </c>
      <c r="M267" s="2">
        <v>0</v>
      </c>
    </row>
    <row r="268" spans="1:19">
      <c r="A268" s="2" t="s">
        <v>97</v>
      </c>
      <c r="B268" s="2" t="s">
        <v>62</v>
      </c>
      <c r="C268" s="2">
        <v>1</v>
      </c>
      <c r="D268" s="60">
        <v>89.481899999999996</v>
      </c>
      <c r="E268" s="2">
        <v>7158.56</v>
      </c>
      <c r="F268" s="2">
        <v>590.58500000000004</v>
      </c>
      <c r="G268" s="2">
        <v>137.82300000000001</v>
      </c>
      <c r="H268" s="2">
        <v>0</v>
      </c>
      <c r="I268" s="2">
        <v>40.523800000000001</v>
      </c>
      <c r="J268" s="2">
        <v>1.58432</v>
      </c>
      <c r="K268" s="2">
        <v>40.583399999999997</v>
      </c>
      <c r="L268" s="2">
        <v>0</v>
      </c>
      <c r="M268" s="2">
        <v>0</v>
      </c>
    </row>
    <row r="269" spans="1:19">
      <c r="A269" s="2" t="s">
        <v>97</v>
      </c>
      <c r="B269" s="2" t="s">
        <v>63</v>
      </c>
      <c r="C269" s="2">
        <v>1</v>
      </c>
      <c r="D269" s="60">
        <v>13.9543</v>
      </c>
      <c r="E269" s="2">
        <v>976.80399999999997</v>
      </c>
      <c r="F269" s="2">
        <v>383.30200000000002</v>
      </c>
      <c r="G269" s="2">
        <v>95.825500000000005</v>
      </c>
      <c r="H269" s="2">
        <v>0</v>
      </c>
      <c r="I269" s="2">
        <v>17.8291</v>
      </c>
      <c r="J269" s="2">
        <v>1.6574899999999999</v>
      </c>
      <c r="K269" s="2">
        <v>18.164100000000001</v>
      </c>
      <c r="L269" s="2">
        <v>0</v>
      </c>
      <c r="M269" s="2">
        <v>0</v>
      </c>
    </row>
    <row r="270" spans="1:19">
      <c r="A270" s="2" t="s">
        <v>97</v>
      </c>
      <c r="B270" s="2" t="s">
        <v>64</v>
      </c>
      <c r="C270" s="2">
        <v>1</v>
      </c>
      <c r="D270" s="60">
        <v>7.3233199999999998</v>
      </c>
      <c r="E270" s="2">
        <v>219.7</v>
      </c>
      <c r="F270" s="2">
        <v>182.232</v>
      </c>
      <c r="G270" s="2">
        <v>39.217100000000002</v>
      </c>
      <c r="H270" s="2">
        <v>0</v>
      </c>
      <c r="I270" s="2">
        <v>16.416599999999999</v>
      </c>
      <c r="J270" s="2">
        <v>2.16153</v>
      </c>
      <c r="K270" s="2">
        <v>17.940000000000001</v>
      </c>
      <c r="L270" s="2">
        <v>0</v>
      </c>
      <c r="M270" s="2">
        <v>0</v>
      </c>
    </row>
    <row r="271" spans="1:19">
      <c r="A271" s="2" t="s">
        <v>93</v>
      </c>
      <c r="B271" s="2" t="s">
        <v>94</v>
      </c>
      <c r="C271" s="2" t="s">
        <v>95</v>
      </c>
      <c r="D271" s="60" t="s">
        <v>105</v>
      </c>
      <c r="E271" s="2" t="s">
        <v>82</v>
      </c>
      <c r="F271" s="2">
        <v>28</v>
      </c>
      <c r="G271" s="2">
        <v>68.747699999999995</v>
      </c>
      <c r="H271" s="2">
        <v>32.032600000000002</v>
      </c>
      <c r="I271" s="2">
        <v>236.15799999999999</v>
      </c>
      <c r="J271" s="2">
        <v>678.529</v>
      </c>
      <c r="K271" s="2">
        <v>554.70500000000004</v>
      </c>
      <c r="L271" s="2">
        <v>0</v>
      </c>
      <c r="M271" s="2">
        <v>1</v>
      </c>
      <c r="N271" s="2">
        <v>1</v>
      </c>
      <c r="O271" s="2">
        <v>62746</v>
      </c>
      <c r="P271" s="2">
        <v>0</v>
      </c>
      <c r="Q271" s="2">
        <v>0</v>
      </c>
      <c r="R271" s="2">
        <v>236.15799999999999</v>
      </c>
      <c r="S271" s="2">
        <v>0</v>
      </c>
    </row>
    <row r="272" spans="1:19">
      <c r="A272" s="2" t="s">
        <v>97</v>
      </c>
      <c r="B272" s="2" t="s">
        <v>98</v>
      </c>
      <c r="C272" s="2">
        <v>0</v>
      </c>
      <c r="D272" s="60">
        <v>53.354199999999999</v>
      </c>
      <c r="E272" s="2">
        <v>0</v>
      </c>
      <c r="F272" s="2">
        <v>1411.3</v>
      </c>
      <c r="G272" s="2">
        <v>177.08199999999999</v>
      </c>
      <c r="H272" s="2">
        <v>0</v>
      </c>
      <c r="I272" s="2">
        <v>10.0001</v>
      </c>
      <c r="J272" s="2">
        <v>1.9518500000000001</v>
      </c>
      <c r="K272" s="2">
        <v>10.0001</v>
      </c>
      <c r="L272" s="2">
        <v>0</v>
      </c>
      <c r="M272" s="2">
        <v>0</v>
      </c>
    </row>
    <row r="273" spans="1:19">
      <c r="A273" s="2" t="s">
        <v>97</v>
      </c>
      <c r="B273" s="2" t="s">
        <v>99</v>
      </c>
      <c r="C273" s="2">
        <v>0</v>
      </c>
      <c r="D273" s="60">
        <v>20.3432</v>
      </c>
      <c r="E273" s="2">
        <v>0</v>
      </c>
      <c r="F273" s="2">
        <v>70.847499999999997</v>
      </c>
      <c r="G273" s="2">
        <v>236.15799999999999</v>
      </c>
      <c r="H273" s="2">
        <v>0</v>
      </c>
      <c r="I273" s="2">
        <v>58.8307</v>
      </c>
      <c r="J273" s="2">
        <v>8.6544299999999996</v>
      </c>
      <c r="K273" s="2">
        <v>59.2087</v>
      </c>
      <c r="L273" s="2">
        <v>0</v>
      </c>
      <c r="M273" s="2">
        <v>0</v>
      </c>
    </row>
    <row r="274" spans="1:19">
      <c r="A274" s="2" t="s">
        <v>97</v>
      </c>
      <c r="B274" s="2" t="s">
        <v>100</v>
      </c>
      <c r="C274" s="2">
        <v>0</v>
      </c>
      <c r="D274" s="60">
        <v>2.8115800000000002</v>
      </c>
      <c r="E274" s="2">
        <v>0</v>
      </c>
      <c r="F274" s="2">
        <v>798.73800000000006</v>
      </c>
      <c r="G274" s="2">
        <v>216.66300000000001</v>
      </c>
      <c r="H274" s="2">
        <v>0</v>
      </c>
      <c r="I274" s="2">
        <v>0</v>
      </c>
      <c r="J274" s="2">
        <v>2.71258</v>
      </c>
      <c r="K274" s="2">
        <v>0</v>
      </c>
      <c r="L274" s="2">
        <v>0</v>
      </c>
      <c r="M274" s="2">
        <v>0</v>
      </c>
    </row>
    <row r="275" spans="1:19">
      <c r="A275" s="2" t="s">
        <v>97</v>
      </c>
      <c r="B275" s="2" t="s">
        <v>101</v>
      </c>
      <c r="C275" s="2">
        <v>0</v>
      </c>
      <c r="D275" s="60">
        <v>47.315199999999997</v>
      </c>
      <c r="E275" s="2">
        <v>0</v>
      </c>
      <c r="F275" s="2">
        <v>400.37900000000002</v>
      </c>
      <c r="G275" s="2">
        <v>354.31900000000002</v>
      </c>
      <c r="H275" s="2">
        <v>0</v>
      </c>
      <c r="I275" s="2">
        <v>30.226700000000001</v>
      </c>
      <c r="J275" s="2">
        <v>1.9319999999999999</v>
      </c>
      <c r="K275" s="2">
        <v>36.735100000000003</v>
      </c>
      <c r="L275" s="2">
        <v>0</v>
      </c>
      <c r="M275" s="2">
        <v>0</v>
      </c>
    </row>
    <row r="276" spans="1:19">
      <c r="A276" s="2" t="s">
        <v>97</v>
      </c>
      <c r="B276" s="2" t="s">
        <v>55</v>
      </c>
      <c r="C276" s="2">
        <v>1</v>
      </c>
      <c r="D276" s="60">
        <v>200.54900000000001</v>
      </c>
      <c r="E276" s="2">
        <v>29079.599999999999</v>
      </c>
      <c r="F276" s="2">
        <v>960.41300000000001</v>
      </c>
      <c r="G276" s="2">
        <v>177.44800000000001</v>
      </c>
      <c r="H276" s="2">
        <v>0</v>
      </c>
      <c r="I276" s="2">
        <v>46.936500000000002</v>
      </c>
      <c r="J276" s="2">
        <v>2.32972</v>
      </c>
      <c r="K276" s="2">
        <v>47.165500000000002</v>
      </c>
      <c r="L276" s="2">
        <v>0</v>
      </c>
      <c r="M276" s="2">
        <v>0</v>
      </c>
    </row>
    <row r="277" spans="1:19">
      <c r="A277" s="2" t="s">
        <v>97</v>
      </c>
      <c r="B277" s="2" t="s">
        <v>56</v>
      </c>
      <c r="C277" s="2">
        <v>1</v>
      </c>
      <c r="D277" s="60">
        <v>14.821999999999999</v>
      </c>
      <c r="E277" s="2">
        <v>2075.0700000000002</v>
      </c>
      <c r="F277" s="2">
        <v>117.998</v>
      </c>
      <c r="G277" s="2">
        <v>19.344000000000001</v>
      </c>
      <c r="H277" s="2">
        <v>0</v>
      </c>
      <c r="I277" s="2">
        <v>36.003799999999998</v>
      </c>
      <c r="J277" s="2">
        <v>1.91856</v>
      </c>
      <c r="K277" s="2">
        <v>36.003799999999998</v>
      </c>
      <c r="L277" s="2">
        <v>0</v>
      </c>
      <c r="M277" s="2">
        <v>0</v>
      </c>
    </row>
    <row r="278" spans="1:19">
      <c r="A278" s="2" t="s">
        <v>97</v>
      </c>
      <c r="B278" s="2" t="s">
        <v>57</v>
      </c>
      <c r="C278" s="2">
        <v>1</v>
      </c>
      <c r="D278" s="60">
        <v>11.6364</v>
      </c>
      <c r="E278" s="2">
        <v>1396.37</v>
      </c>
      <c r="F278" s="2">
        <v>78.758700000000005</v>
      </c>
      <c r="G278" s="2">
        <v>19.689699999999998</v>
      </c>
      <c r="H278" s="2">
        <v>0</v>
      </c>
      <c r="I278" s="2">
        <v>41.2074</v>
      </c>
      <c r="J278" s="2">
        <v>1.0708899999999999</v>
      </c>
      <c r="K278" s="2">
        <v>41.2074</v>
      </c>
      <c r="L278" s="2">
        <v>0</v>
      </c>
      <c r="M278" s="2">
        <v>0</v>
      </c>
    </row>
    <row r="279" spans="1:19">
      <c r="A279" s="2" t="s">
        <v>97</v>
      </c>
      <c r="B279" s="2" t="s">
        <v>58</v>
      </c>
      <c r="C279" s="2">
        <v>1</v>
      </c>
      <c r="D279" s="60">
        <v>79.806799999999996</v>
      </c>
      <c r="E279" s="2">
        <v>8379.7099999999991</v>
      </c>
      <c r="F279" s="2">
        <v>475.041</v>
      </c>
      <c r="G279" s="2">
        <v>118.76</v>
      </c>
      <c r="H279" s="2">
        <v>0</v>
      </c>
      <c r="I279" s="2">
        <v>43.4467</v>
      </c>
      <c r="J279" s="2">
        <v>1.30091</v>
      </c>
      <c r="K279" s="2">
        <v>43.569099999999999</v>
      </c>
      <c r="L279" s="2">
        <v>0</v>
      </c>
      <c r="M279" s="2">
        <v>0</v>
      </c>
    </row>
    <row r="280" spans="1:19">
      <c r="A280" s="2" t="s">
        <v>97</v>
      </c>
      <c r="B280" s="2" t="s">
        <v>59</v>
      </c>
      <c r="C280" s="2">
        <v>1</v>
      </c>
      <c r="D280" s="60">
        <v>133.702</v>
      </c>
      <c r="E280" s="2">
        <v>13370.2</v>
      </c>
      <c r="F280" s="2">
        <v>1219.29</v>
      </c>
      <c r="G280" s="2">
        <v>275.21199999999999</v>
      </c>
      <c r="H280" s="2">
        <v>0</v>
      </c>
      <c r="I280" s="2">
        <v>33.8626</v>
      </c>
      <c r="J280" s="2">
        <v>1.4367000000000001</v>
      </c>
      <c r="K280" s="2">
        <v>33.899500000000003</v>
      </c>
      <c r="L280" s="2">
        <v>0</v>
      </c>
      <c r="M280" s="2">
        <v>0</v>
      </c>
    </row>
    <row r="281" spans="1:19">
      <c r="A281" s="2" t="s">
        <v>97</v>
      </c>
      <c r="B281" s="2" t="s">
        <v>60</v>
      </c>
      <c r="C281" s="2">
        <v>1</v>
      </c>
      <c r="D281" s="60">
        <v>21.046800000000001</v>
      </c>
      <c r="E281" s="2">
        <v>1894.21</v>
      </c>
      <c r="F281" s="2">
        <v>315.065</v>
      </c>
      <c r="G281" s="2">
        <v>78.766300000000001</v>
      </c>
      <c r="H281" s="2">
        <v>0</v>
      </c>
      <c r="I281" s="2">
        <v>25.265499999999999</v>
      </c>
      <c r="J281" s="2">
        <v>1.8346199999999999</v>
      </c>
      <c r="K281" s="2">
        <v>25.378299999999999</v>
      </c>
      <c r="L281" s="2">
        <v>0</v>
      </c>
      <c r="M281" s="2">
        <v>0</v>
      </c>
    </row>
    <row r="282" spans="1:19">
      <c r="A282" s="2" t="s">
        <v>97</v>
      </c>
      <c r="B282" s="2" t="s">
        <v>61</v>
      </c>
      <c r="C282" s="2">
        <v>1</v>
      </c>
      <c r="D282" s="60">
        <v>11.890700000000001</v>
      </c>
      <c r="E282" s="2">
        <v>1010.71</v>
      </c>
      <c r="F282" s="2">
        <v>275.65699999999998</v>
      </c>
      <c r="G282" s="2">
        <v>59.075899999999997</v>
      </c>
      <c r="H282" s="2">
        <v>0</v>
      </c>
      <c r="I282" s="2">
        <v>18.0335</v>
      </c>
      <c r="J282" s="2">
        <v>1.9661599999999999</v>
      </c>
      <c r="K282" s="2">
        <v>18.313800000000001</v>
      </c>
      <c r="L282" s="2">
        <v>0</v>
      </c>
      <c r="M282" s="2">
        <v>0</v>
      </c>
    </row>
    <row r="283" spans="1:19">
      <c r="A283" s="2" t="s">
        <v>97</v>
      </c>
      <c r="B283" s="2" t="s">
        <v>62</v>
      </c>
      <c r="C283" s="2">
        <v>1</v>
      </c>
      <c r="D283" s="60">
        <v>54.426699999999997</v>
      </c>
      <c r="E283" s="2">
        <v>4354.13</v>
      </c>
      <c r="F283" s="2">
        <v>316.12099999999998</v>
      </c>
      <c r="G283" s="2">
        <v>79.0304</v>
      </c>
      <c r="H283" s="2">
        <v>0</v>
      </c>
      <c r="I283" s="2">
        <v>42.697899999999997</v>
      </c>
      <c r="J283" s="2">
        <v>2.2093799999999999</v>
      </c>
      <c r="K283" s="2">
        <v>43.309800000000003</v>
      </c>
      <c r="L283" s="2">
        <v>0</v>
      </c>
      <c r="M283" s="2">
        <v>0</v>
      </c>
    </row>
    <row r="284" spans="1:19">
      <c r="A284" s="2" t="s">
        <v>97</v>
      </c>
      <c r="B284" s="2" t="s">
        <v>63</v>
      </c>
      <c r="C284" s="2">
        <v>1</v>
      </c>
      <c r="D284" s="60">
        <v>9.5316600000000005</v>
      </c>
      <c r="E284" s="2">
        <v>667.21600000000001</v>
      </c>
      <c r="F284" s="2">
        <v>156.10400000000001</v>
      </c>
      <c r="G284" s="2">
        <v>39.0259</v>
      </c>
      <c r="H284" s="2">
        <v>0</v>
      </c>
      <c r="I284" s="2">
        <v>24.662299999999998</v>
      </c>
      <c r="J284" s="2">
        <v>1.53715</v>
      </c>
      <c r="K284" s="2">
        <v>24.67</v>
      </c>
      <c r="L284" s="2">
        <v>0</v>
      </c>
      <c r="M284" s="2">
        <v>0</v>
      </c>
    </row>
    <row r="285" spans="1:19">
      <c r="A285" s="2" t="s">
        <v>97</v>
      </c>
      <c r="B285" s="2" t="s">
        <v>64</v>
      </c>
      <c r="C285" s="2">
        <v>1</v>
      </c>
      <c r="D285" s="60">
        <v>17.2928</v>
      </c>
      <c r="E285" s="2">
        <v>518.78499999999997</v>
      </c>
      <c r="F285" s="2">
        <v>407.59100000000001</v>
      </c>
      <c r="G285" s="2">
        <v>78.685100000000006</v>
      </c>
      <c r="H285" s="2">
        <v>0</v>
      </c>
      <c r="I285" s="2">
        <v>17.366700000000002</v>
      </c>
      <c r="J285" s="2">
        <v>1.9627399999999999</v>
      </c>
      <c r="K285" s="2">
        <v>17.979600000000001</v>
      </c>
      <c r="L285" s="2">
        <v>0</v>
      </c>
      <c r="M285" s="2">
        <v>0</v>
      </c>
    </row>
    <row r="286" spans="1:19">
      <c r="A286" s="2" t="s">
        <v>93</v>
      </c>
      <c r="B286" s="2" t="s">
        <v>94</v>
      </c>
      <c r="C286" s="2" t="s">
        <v>95</v>
      </c>
      <c r="D286" s="60" t="s">
        <v>105</v>
      </c>
      <c r="E286" s="2" t="s">
        <v>83</v>
      </c>
      <c r="F286" s="2">
        <v>28</v>
      </c>
      <c r="G286" s="2">
        <v>77.812399999999997</v>
      </c>
      <c r="H286" s="2">
        <v>27.916499999999999</v>
      </c>
      <c r="I286" s="2">
        <v>348.16199999999998</v>
      </c>
      <c r="J286" s="2">
        <v>679.74800000000005</v>
      </c>
      <c r="K286" s="2">
        <v>502.9</v>
      </c>
      <c r="L286" s="2">
        <v>0</v>
      </c>
      <c r="M286" s="2">
        <v>1</v>
      </c>
      <c r="N286" s="2">
        <v>1</v>
      </c>
      <c r="O286" s="2">
        <v>45091.8</v>
      </c>
      <c r="P286" s="2">
        <v>0</v>
      </c>
      <c r="Q286" s="2">
        <v>0</v>
      </c>
      <c r="R286" s="2">
        <v>406.315</v>
      </c>
      <c r="S286" s="2">
        <v>0</v>
      </c>
    </row>
    <row r="287" spans="1:19">
      <c r="A287" s="2" t="s">
        <v>97</v>
      </c>
      <c r="B287" s="2" t="s">
        <v>98</v>
      </c>
      <c r="C287" s="2">
        <v>0</v>
      </c>
      <c r="D287" s="60">
        <v>55.607199999999999</v>
      </c>
      <c r="E287" s="2">
        <v>0</v>
      </c>
      <c r="F287" s="2">
        <v>1871.22</v>
      </c>
      <c r="G287" s="2">
        <v>348.25299999999999</v>
      </c>
      <c r="H287" s="2">
        <v>0</v>
      </c>
      <c r="I287" s="2">
        <v>10</v>
      </c>
      <c r="J287" s="2">
        <v>1.8943300000000001</v>
      </c>
      <c r="K287" s="2">
        <v>10</v>
      </c>
      <c r="L287" s="2">
        <v>0</v>
      </c>
      <c r="M287" s="2">
        <v>0</v>
      </c>
    </row>
    <row r="288" spans="1:19">
      <c r="A288" s="2" t="s">
        <v>97</v>
      </c>
      <c r="B288" s="2" t="s">
        <v>99</v>
      </c>
      <c r="C288" s="2">
        <v>0</v>
      </c>
      <c r="D288" s="60">
        <v>23.460899999999999</v>
      </c>
      <c r="E288" s="2">
        <v>0</v>
      </c>
      <c r="F288" s="2">
        <v>104.449</v>
      </c>
      <c r="G288" s="2">
        <v>348.16199999999998</v>
      </c>
      <c r="H288" s="2">
        <v>0</v>
      </c>
      <c r="I288" s="2">
        <v>51.710099999999997</v>
      </c>
      <c r="J288" s="2">
        <v>8.4036500000000007</v>
      </c>
      <c r="K288" s="2">
        <v>52.255899999999997</v>
      </c>
      <c r="L288" s="2">
        <v>0</v>
      </c>
      <c r="M288" s="2">
        <v>0</v>
      </c>
    </row>
    <row r="289" spans="1:19">
      <c r="A289" s="2" t="s">
        <v>97</v>
      </c>
      <c r="B289" s="2" t="s">
        <v>100</v>
      </c>
      <c r="C289" s="2">
        <v>0</v>
      </c>
      <c r="D289" s="60">
        <v>6.3556600000000003</v>
      </c>
      <c r="E289" s="2">
        <v>0</v>
      </c>
      <c r="F289" s="2">
        <v>1966.78</v>
      </c>
      <c r="G289" s="2">
        <v>386.84699999999998</v>
      </c>
      <c r="H289" s="2">
        <v>0</v>
      </c>
      <c r="I289" s="2">
        <v>0</v>
      </c>
      <c r="J289" s="2">
        <v>1.9669099999999999</v>
      </c>
      <c r="K289" s="2">
        <v>0</v>
      </c>
      <c r="L289" s="2">
        <v>0</v>
      </c>
      <c r="M289" s="2">
        <v>0</v>
      </c>
    </row>
    <row r="290" spans="1:19">
      <c r="A290" s="2" t="s">
        <v>97</v>
      </c>
      <c r="B290" s="2" t="s">
        <v>101</v>
      </c>
      <c r="C290" s="2">
        <v>0</v>
      </c>
      <c r="D290" s="60">
        <v>91.424300000000002</v>
      </c>
      <c r="E290" s="2">
        <v>0</v>
      </c>
      <c r="F290" s="2">
        <v>1281.49</v>
      </c>
      <c r="G290" s="2">
        <v>697.13699999999994</v>
      </c>
      <c r="H290" s="2">
        <v>0</v>
      </c>
      <c r="I290" s="2">
        <v>25.485399999999998</v>
      </c>
      <c r="J290" s="2">
        <v>2.3142499999999999</v>
      </c>
      <c r="K290" s="2">
        <v>25.796700000000001</v>
      </c>
      <c r="L290" s="2">
        <v>0</v>
      </c>
      <c r="M290" s="2">
        <v>0</v>
      </c>
    </row>
    <row r="291" spans="1:19">
      <c r="A291" s="2" t="s">
        <v>97</v>
      </c>
      <c r="B291" s="2" t="s">
        <v>55</v>
      </c>
      <c r="C291" s="2">
        <v>1</v>
      </c>
      <c r="D291" s="60">
        <v>70.133499999999998</v>
      </c>
      <c r="E291" s="2">
        <v>10169.4</v>
      </c>
      <c r="F291" s="2">
        <v>355.41399999999999</v>
      </c>
      <c r="G291" s="2">
        <v>78.575000000000003</v>
      </c>
      <c r="H291" s="2">
        <v>0</v>
      </c>
      <c r="I291" s="2">
        <v>46.572099999999999</v>
      </c>
      <c r="J291" s="2">
        <v>2.42164</v>
      </c>
      <c r="K291" s="2">
        <v>46.236600000000003</v>
      </c>
      <c r="L291" s="2">
        <v>0</v>
      </c>
      <c r="M291" s="2">
        <v>0</v>
      </c>
    </row>
    <row r="292" spans="1:19">
      <c r="A292" s="2" t="s">
        <v>97</v>
      </c>
      <c r="B292" s="2" t="s">
        <v>56</v>
      </c>
      <c r="C292" s="2">
        <v>1</v>
      </c>
      <c r="D292" s="60">
        <v>25.314</v>
      </c>
      <c r="E292" s="2">
        <v>3543.96</v>
      </c>
      <c r="F292" s="2">
        <v>194.51</v>
      </c>
      <c r="G292" s="2">
        <v>38.4452</v>
      </c>
      <c r="H292" s="2">
        <v>0</v>
      </c>
      <c r="I292" s="2">
        <v>36.675699999999999</v>
      </c>
      <c r="J292" s="2">
        <v>2.0955499999999998</v>
      </c>
      <c r="K292" s="2">
        <v>36.961799999999997</v>
      </c>
      <c r="L292" s="2">
        <v>0</v>
      </c>
      <c r="M292" s="2">
        <v>0</v>
      </c>
    </row>
    <row r="293" spans="1:19">
      <c r="A293" s="2" t="s">
        <v>97</v>
      </c>
      <c r="B293" s="2" t="s">
        <v>57</v>
      </c>
      <c r="C293" s="2">
        <v>1</v>
      </c>
      <c r="D293" s="60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</row>
    <row r="294" spans="1:19">
      <c r="A294" s="2" t="s">
        <v>97</v>
      </c>
      <c r="B294" s="2" t="s">
        <v>58</v>
      </c>
      <c r="C294" s="2">
        <v>1</v>
      </c>
      <c r="D294" s="60">
        <v>31.977900000000002</v>
      </c>
      <c r="E294" s="2">
        <v>3357.68</v>
      </c>
      <c r="F294" s="2">
        <v>195.46199999999999</v>
      </c>
      <c r="G294" s="2">
        <v>39.121699999999997</v>
      </c>
      <c r="H294" s="2">
        <v>0</v>
      </c>
      <c r="I294" s="2">
        <v>41.592100000000002</v>
      </c>
      <c r="J294" s="2">
        <v>1.9610099999999999</v>
      </c>
      <c r="K294" s="2">
        <v>41.546700000000001</v>
      </c>
      <c r="L294" s="2">
        <v>0</v>
      </c>
      <c r="M294" s="2">
        <v>0</v>
      </c>
    </row>
    <row r="295" spans="1:19">
      <c r="A295" s="2" t="s">
        <v>97</v>
      </c>
      <c r="B295" s="2" t="s">
        <v>59</v>
      </c>
      <c r="C295" s="2">
        <v>1</v>
      </c>
      <c r="D295" s="60">
        <v>28.871300000000002</v>
      </c>
      <c r="E295" s="2">
        <v>2887.13</v>
      </c>
      <c r="F295" s="2">
        <v>305.61799999999999</v>
      </c>
      <c r="G295" s="2">
        <v>76.404499999999999</v>
      </c>
      <c r="H295" s="2">
        <v>0</v>
      </c>
      <c r="I295" s="2">
        <v>32.282499999999999</v>
      </c>
      <c r="J295" s="2">
        <v>1.3029200000000001</v>
      </c>
      <c r="K295" s="2">
        <v>32.303400000000003</v>
      </c>
      <c r="L295" s="2">
        <v>0</v>
      </c>
      <c r="M295" s="2">
        <v>0</v>
      </c>
    </row>
    <row r="296" spans="1:19">
      <c r="A296" s="2" t="s">
        <v>97</v>
      </c>
      <c r="B296" s="2" t="s">
        <v>60</v>
      </c>
      <c r="C296" s="2">
        <v>1</v>
      </c>
      <c r="D296" s="60">
        <v>11.7811</v>
      </c>
      <c r="E296" s="2">
        <v>1060.3</v>
      </c>
      <c r="F296" s="2">
        <v>191.78399999999999</v>
      </c>
      <c r="G296" s="2">
        <v>38.314</v>
      </c>
      <c r="H296" s="2">
        <v>0</v>
      </c>
      <c r="I296" s="2">
        <v>23.832000000000001</v>
      </c>
      <c r="J296" s="2">
        <v>1.4501900000000001</v>
      </c>
      <c r="K296" s="2">
        <v>23.886399999999998</v>
      </c>
      <c r="L296" s="2">
        <v>0</v>
      </c>
      <c r="M296" s="2">
        <v>0</v>
      </c>
    </row>
    <row r="297" spans="1:19">
      <c r="A297" s="2" t="s">
        <v>97</v>
      </c>
      <c r="B297" s="2" t="s">
        <v>61</v>
      </c>
      <c r="C297" s="2">
        <v>1</v>
      </c>
      <c r="D297" s="60">
        <v>5.0685399999999996</v>
      </c>
      <c r="E297" s="2">
        <v>430.82600000000002</v>
      </c>
      <c r="F297" s="2">
        <v>153.256</v>
      </c>
      <c r="G297" s="2">
        <v>38.314</v>
      </c>
      <c r="H297" s="2">
        <v>0</v>
      </c>
      <c r="I297" s="2">
        <v>16.900099999999998</v>
      </c>
      <c r="J297" s="2">
        <v>1.7329699999999999</v>
      </c>
      <c r="K297" s="2">
        <v>16.900099999999998</v>
      </c>
      <c r="L297" s="2">
        <v>0</v>
      </c>
      <c r="M297" s="2">
        <v>0</v>
      </c>
    </row>
    <row r="298" spans="1:19">
      <c r="A298" s="2" t="s">
        <v>97</v>
      </c>
      <c r="B298" s="2" t="s">
        <v>62</v>
      </c>
      <c r="C298" s="2">
        <v>1</v>
      </c>
      <c r="D298" s="60">
        <v>257.71899999999999</v>
      </c>
      <c r="E298" s="2">
        <v>20617.5</v>
      </c>
      <c r="F298" s="2">
        <v>1982.28</v>
      </c>
      <c r="G298" s="2">
        <v>427.93599999999998</v>
      </c>
      <c r="H298" s="2">
        <v>0</v>
      </c>
      <c r="I298" s="2">
        <v>36.498600000000003</v>
      </c>
      <c r="J298" s="2">
        <v>1.7842100000000001</v>
      </c>
      <c r="K298" s="2">
        <v>37.0518</v>
      </c>
      <c r="L298" s="2">
        <v>0</v>
      </c>
      <c r="M298" s="2">
        <v>0</v>
      </c>
    </row>
    <row r="299" spans="1:19">
      <c r="A299" s="2" t="s">
        <v>97</v>
      </c>
      <c r="B299" s="2" t="s">
        <v>63</v>
      </c>
      <c r="C299" s="2">
        <v>1</v>
      </c>
      <c r="D299" s="60">
        <v>21.600300000000001</v>
      </c>
      <c r="E299" s="2">
        <v>1512.02</v>
      </c>
      <c r="F299" s="2">
        <v>497.47199999999998</v>
      </c>
      <c r="G299" s="2">
        <v>114.67</v>
      </c>
      <c r="H299" s="2">
        <v>0</v>
      </c>
      <c r="I299" s="2">
        <v>19.695900000000002</v>
      </c>
      <c r="J299" s="2">
        <v>1.4245099999999999</v>
      </c>
      <c r="K299" s="2">
        <v>20.059100000000001</v>
      </c>
      <c r="L299" s="2">
        <v>0</v>
      </c>
      <c r="M299" s="2">
        <v>0</v>
      </c>
    </row>
    <row r="300" spans="1:19">
      <c r="A300" s="2" t="s">
        <v>97</v>
      </c>
      <c r="B300" s="2" t="s">
        <v>64</v>
      </c>
      <c r="C300" s="2">
        <v>1</v>
      </c>
      <c r="D300" s="60">
        <v>50.433700000000002</v>
      </c>
      <c r="E300" s="2">
        <v>1513.01</v>
      </c>
      <c r="F300" s="2">
        <v>1181.6400000000001</v>
      </c>
      <c r="G300" s="2">
        <v>251.703</v>
      </c>
      <c r="H300" s="2">
        <v>0</v>
      </c>
      <c r="I300" s="2">
        <v>18.776299999999999</v>
      </c>
      <c r="J300" s="2">
        <v>1.1134999999999999</v>
      </c>
      <c r="K300" s="2">
        <v>20.613900000000001</v>
      </c>
      <c r="L300" s="2">
        <v>0</v>
      </c>
      <c r="M300" s="2">
        <v>0</v>
      </c>
    </row>
    <row r="301" spans="1:19">
      <c r="A301" s="2" t="s">
        <v>93</v>
      </c>
      <c r="B301" s="2" t="s">
        <v>94</v>
      </c>
      <c r="C301" s="2" t="s">
        <v>95</v>
      </c>
      <c r="D301" s="60" t="s">
        <v>105</v>
      </c>
      <c r="E301" s="2" t="s">
        <v>84</v>
      </c>
      <c r="F301" s="2">
        <v>28</v>
      </c>
      <c r="G301" s="2">
        <v>67.776300000000006</v>
      </c>
      <c r="H301" s="2">
        <v>27.950299999999999</v>
      </c>
      <c r="I301" s="2">
        <v>292.89600000000002</v>
      </c>
      <c r="J301" s="2">
        <v>600.58799999999997</v>
      </c>
      <c r="K301" s="2">
        <v>474.46499999999997</v>
      </c>
      <c r="L301" s="2">
        <v>0</v>
      </c>
      <c r="M301" s="2">
        <v>1</v>
      </c>
      <c r="N301" s="2">
        <v>1</v>
      </c>
      <c r="O301" s="2">
        <v>46882.9</v>
      </c>
      <c r="P301" s="2">
        <v>0</v>
      </c>
      <c r="Q301" s="2">
        <v>0</v>
      </c>
      <c r="R301" s="2">
        <v>312.613</v>
      </c>
      <c r="S301" s="2">
        <v>0</v>
      </c>
    </row>
    <row r="302" spans="1:19">
      <c r="A302" s="2" t="s">
        <v>97</v>
      </c>
      <c r="B302" s="2" t="s">
        <v>98</v>
      </c>
      <c r="C302" s="2">
        <v>0</v>
      </c>
      <c r="D302" s="60">
        <v>47.076000000000001</v>
      </c>
      <c r="E302" s="2">
        <v>0</v>
      </c>
      <c r="F302" s="2">
        <v>1758.2</v>
      </c>
      <c r="G302" s="2">
        <v>273.233</v>
      </c>
      <c r="H302" s="2">
        <v>0</v>
      </c>
      <c r="I302" s="2">
        <v>10</v>
      </c>
      <c r="J302" s="2">
        <v>1.99194</v>
      </c>
      <c r="K302" s="2">
        <v>10</v>
      </c>
      <c r="L302" s="2">
        <v>0</v>
      </c>
      <c r="M302" s="2">
        <v>0</v>
      </c>
    </row>
    <row r="303" spans="1:19">
      <c r="A303" s="2" t="s">
        <v>97</v>
      </c>
      <c r="B303" s="2" t="s">
        <v>99</v>
      </c>
      <c r="C303" s="2">
        <v>0</v>
      </c>
      <c r="D303" s="60">
        <v>20.393999999999998</v>
      </c>
      <c r="E303" s="2">
        <v>0</v>
      </c>
      <c r="F303" s="2">
        <v>87.868899999999996</v>
      </c>
      <c r="G303" s="2">
        <v>292.89600000000002</v>
      </c>
      <c r="H303" s="2">
        <v>0</v>
      </c>
      <c r="I303" s="2">
        <v>52.806399999999996</v>
      </c>
      <c r="J303" s="2">
        <v>8.6647999999999996</v>
      </c>
      <c r="K303" s="2">
        <v>53.1068</v>
      </c>
      <c r="L303" s="2">
        <v>0</v>
      </c>
      <c r="M303" s="2">
        <v>0</v>
      </c>
    </row>
    <row r="304" spans="1:19">
      <c r="A304" s="2" t="s">
        <v>97</v>
      </c>
      <c r="B304" s="2" t="s">
        <v>100</v>
      </c>
      <c r="C304" s="2">
        <v>0</v>
      </c>
      <c r="D304" s="60">
        <v>4.38856</v>
      </c>
      <c r="E304" s="2">
        <v>0</v>
      </c>
      <c r="F304" s="2">
        <v>1301.6099999999999</v>
      </c>
      <c r="G304" s="2">
        <v>312.613</v>
      </c>
      <c r="H304" s="2">
        <v>0</v>
      </c>
      <c r="I304" s="2">
        <v>0</v>
      </c>
      <c r="J304" s="2">
        <v>2.4017499999999998</v>
      </c>
      <c r="K304" s="2">
        <v>0</v>
      </c>
      <c r="L304" s="2">
        <v>0</v>
      </c>
      <c r="M304" s="2">
        <v>0</v>
      </c>
    </row>
    <row r="305" spans="1:19">
      <c r="A305" s="2" t="s">
        <v>97</v>
      </c>
      <c r="B305" s="2" t="s">
        <v>101</v>
      </c>
      <c r="C305" s="2">
        <v>0</v>
      </c>
      <c r="D305" s="60">
        <v>54.264299999999999</v>
      </c>
      <c r="E305" s="2">
        <v>0</v>
      </c>
      <c r="F305" s="2">
        <v>734.32600000000002</v>
      </c>
      <c r="G305" s="2">
        <v>527.154</v>
      </c>
      <c r="H305" s="2">
        <v>0</v>
      </c>
      <c r="I305" s="2">
        <v>26.564299999999999</v>
      </c>
      <c r="J305" s="2">
        <v>2.0325500000000001</v>
      </c>
      <c r="K305" s="2">
        <v>28.394600000000001</v>
      </c>
      <c r="L305" s="2">
        <v>0</v>
      </c>
      <c r="M305" s="2">
        <v>0</v>
      </c>
    </row>
    <row r="306" spans="1:19">
      <c r="A306" s="2" t="s">
        <v>97</v>
      </c>
      <c r="B306" s="2" t="s">
        <v>55</v>
      </c>
      <c r="C306" s="2">
        <v>1</v>
      </c>
      <c r="D306" s="60">
        <v>70.886899999999997</v>
      </c>
      <c r="E306" s="2">
        <v>10278.6</v>
      </c>
      <c r="F306" s="2">
        <v>392.53399999999999</v>
      </c>
      <c r="G306" s="2">
        <v>98.133600000000001</v>
      </c>
      <c r="H306" s="2">
        <v>0</v>
      </c>
      <c r="I306" s="2">
        <v>44.092300000000002</v>
      </c>
      <c r="J306" s="2">
        <v>2.76796</v>
      </c>
      <c r="K306" s="2">
        <v>44.167200000000001</v>
      </c>
      <c r="L306" s="2">
        <v>0</v>
      </c>
      <c r="M306" s="2">
        <v>0</v>
      </c>
    </row>
    <row r="307" spans="1:19">
      <c r="A307" s="2" t="s">
        <v>97</v>
      </c>
      <c r="B307" s="2" t="s">
        <v>56</v>
      </c>
      <c r="C307" s="2">
        <v>1</v>
      </c>
      <c r="D307" s="60">
        <v>9.1143199999999993</v>
      </c>
      <c r="E307" s="2">
        <v>1276</v>
      </c>
      <c r="F307" s="2">
        <v>76.834000000000003</v>
      </c>
      <c r="G307" s="2">
        <v>19.208500000000001</v>
      </c>
      <c r="H307" s="2">
        <v>0</v>
      </c>
      <c r="I307" s="2">
        <v>35.718200000000003</v>
      </c>
      <c r="J307" s="2">
        <v>2.30945</v>
      </c>
      <c r="K307" s="2">
        <v>35.718200000000003</v>
      </c>
      <c r="L307" s="2">
        <v>0</v>
      </c>
      <c r="M307" s="2">
        <v>0</v>
      </c>
    </row>
    <row r="308" spans="1:19">
      <c r="A308" s="2" t="s">
        <v>97</v>
      </c>
      <c r="B308" s="2" t="s">
        <v>57</v>
      </c>
      <c r="C308" s="2">
        <v>1</v>
      </c>
      <c r="D308" s="60">
        <v>39.489600000000003</v>
      </c>
      <c r="E308" s="2">
        <v>4738.75</v>
      </c>
      <c r="F308" s="2">
        <v>197.416</v>
      </c>
      <c r="G308" s="2">
        <v>39.489600000000003</v>
      </c>
      <c r="H308" s="2">
        <v>0</v>
      </c>
      <c r="I308" s="2">
        <v>46.409599999999998</v>
      </c>
      <c r="J308" s="2">
        <v>2.5684100000000001</v>
      </c>
      <c r="K308" s="2">
        <v>46.054099999999998</v>
      </c>
      <c r="L308" s="2">
        <v>0</v>
      </c>
      <c r="M308" s="2">
        <v>0</v>
      </c>
    </row>
    <row r="309" spans="1:19">
      <c r="A309" s="2" t="s">
        <v>97</v>
      </c>
      <c r="B309" s="2" t="s">
        <v>58</v>
      </c>
      <c r="C309" s="2">
        <v>1</v>
      </c>
      <c r="D309" s="60">
        <v>25.313400000000001</v>
      </c>
      <c r="E309" s="2">
        <v>2657.91</v>
      </c>
      <c r="F309" s="2">
        <v>157.892</v>
      </c>
      <c r="G309" s="2">
        <v>39.473100000000002</v>
      </c>
      <c r="H309" s="2">
        <v>0</v>
      </c>
      <c r="I309" s="2">
        <v>42.514899999999997</v>
      </c>
      <c r="J309" s="2">
        <v>1.2930299999999999</v>
      </c>
      <c r="K309" s="2">
        <v>42.523499999999999</v>
      </c>
      <c r="L309" s="2">
        <v>0</v>
      </c>
      <c r="M309" s="2">
        <v>0</v>
      </c>
    </row>
    <row r="310" spans="1:19">
      <c r="A310" s="2" t="s">
        <v>97</v>
      </c>
      <c r="B310" s="2" t="s">
        <v>59</v>
      </c>
      <c r="C310" s="2">
        <v>1</v>
      </c>
      <c r="D310" s="60">
        <v>108.768</v>
      </c>
      <c r="E310" s="2">
        <v>10876.8</v>
      </c>
      <c r="F310" s="2">
        <v>938.29200000000003</v>
      </c>
      <c r="G310" s="2">
        <v>195.392</v>
      </c>
      <c r="H310" s="2">
        <v>0</v>
      </c>
      <c r="I310" s="2">
        <v>34.873199999999997</v>
      </c>
      <c r="J310" s="2">
        <v>1.49472</v>
      </c>
      <c r="K310" s="2">
        <v>34.907800000000002</v>
      </c>
      <c r="L310" s="2">
        <v>0</v>
      </c>
      <c r="M310" s="2">
        <v>0</v>
      </c>
    </row>
    <row r="311" spans="1:19">
      <c r="A311" s="2" t="s">
        <v>97</v>
      </c>
      <c r="B311" s="2" t="s">
        <v>60</v>
      </c>
      <c r="C311" s="2">
        <v>1</v>
      </c>
      <c r="D311" s="60">
        <v>46.003700000000002</v>
      </c>
      <c r="E311" s="2">
        <v>4140.33</v>
      </c>
      <c r="F311" s="2">
        <v>585.30700000000002</v>
      </c>
      <c r="G311" s="2">
        <v>136.53899999999999</v>
      </c>
      <c r="H311" s="2">
        <v>0</v>
      </c>
      <c r="I311" s="2">
        <v>28.169</v>
      </c>
      <c r="J311" s="2">
        <v>1.5567200000000001</v>
      </c>
      <c r="K311" s="2">
        <v>28.023499999999999</v>
      </c>
      <c r="L311" s="2">
        <v>0</v>
      </c>
      <c r="M311" s="2">
        <v>0</v>
      </c>
    </row>
    <row r="312" spans="1:19">
      <c r="A312" s="2" t="s">
        <v>97</v>
      </c>
      <c r="B312" s="2" t="s">
        <v>61</v>
      </c>
      <c r="C312" s="2">
        <v>1</v>
      </c>
      <c r="D312" s="60">
        <v>17.783899999999999</v>
      </c>
      <c r="E312" s="2">
        <v>1511.63</v>
      </c>
      <c r="F312" s="2">
        <v>393.58</v>
      </c>
      <c r="G312" s="2">
        <v>78.671899999999994</v>
      </c>
      <c r="H312" s="2">
        <v>0</v>
      </c>
      <c r="I312" s="2">
        <v>19.417999999999999</v>
      </c>
      <c r="J312" s="2">
        <v>1.6858500000000001</v>
      </c>
      <c r="K312" s="2">
        <v>19.4392</v>
      </c>
      <c r="L312" s="2">
        <v>0</v>
      </c>
      <c r="M312" s="2">
        <v>0</v>
      </c>
    </row>
    <row r="313" spans="1:19">
      <c r="A313" s="2" t="s">
        <v>97</v>
      </c>
      <c r="B313" s="2" t="s">
        <v>62</v>
      </c>
      <c r="C313" s="2">
        <v>1</v>
      </c>
      <c r="D313" s="60">
        <v>126.477</v>
      </c>
      <c r="E313" s="2">
        <v>10118.1</v>
      </c>
      <c r="F313" s="2">
        <v>1020.12</v>
      </c>
      <c r="G313" s="2">
        <v>235.339</v>
      </c>
      <c r="H313" s="2">
        <v>0</v>
      </c>
      <c r="I313" s="2">
        <v>35.668700000000001</v>
      </c>
      <c r="J313" s="2">
        <v>1.72279</v>
      </c>
      <c r="K313" s="2">
        <v>36.320300000000003</v>
      </c>
      <c r="L313" s="2">
        <v>0</v>
      </c>
      <c r="M313" s="2">
        <v>0</v>
      </c>
    </row>
    <row r="314" spans="1:19">
      <c r="A314" s="2" t="s">
        <v>97</v>
      </c>
      <c r="B314" s="2" t="s">
        <v>63</v>
      </c>
      <c r="C314" s="2">
        <v>1</v>
      </c>
      <c r="D314" s="60">
        <v>9.1476299999999995</v>
      </c>
      <c r="E314" s="2">
        <v>640.33399999999995</v>
      </c>
      <c r="F314" s="2">
        <v>269.72699999999998</v>
      </c>
      <c r="G314" s="2">
        <v>58.081299999999999</v>
      </c>
      <c r="H314" s="2">
        <v>0</v>
      </c>
      <c r="I314" s="2">
        <v>16.910799999999998</v>
      </c>
      <c r="J314" s="2">
        <v>1.51396</v>
      </c>
      <c r="K314" s="2">
        <v>16.920999999999999</v>
      </c>
      <c r="L314" s="2">
        <v>0</v>
      </c>
      <c r="M314" s="2">
        <v>0</v>
      </c>
    </row>
    <row r="315" spans="1:19">
      <c r="A315" s="2" t="s">
        <v>97</v>
      </c>
      <c r="B315" s="2" t="s">
        <v>64</v>
      </c>
      <c r="C315" s="2">
        <v>1</v>
      </c>
      <c r="D315" s="60">
        <v>21.480899999999998</v>
      </c>
      <c r="E315" s="2">
        <v>644.42600000000004</v>
      </c>
      <c r="F315" s="2">
        <v>382.9</v>
      </c>
      <c r="G315" s="2">
        <v>98.177099999999996</v>
      </c>
      <c r="H315" s="2">
        <v>0</v>
      </c>
      <c r="I315" s="2">
        <v>20.789200000000001</v>
      </c>
      <c r="J315" s="2">
        <v>1.8324499999999999</v>
      </c>
      <c r="K315" s="2">
        <v>23.758500000000002</v>
      </c>
      <c r="L315" s="2">
        <v>0</v>
      </c>
      <c r="M315" s="2">
        <v>0</v>
      </c>
    </row>
    <row r="316" spans="1:19">
      <c r="A316" s="2" t="s">
        <v>93</v>
      </c>
      <c r="B316" s="2" t="s">
        <v>94</v>
      </c>
      <c r="C316" s="2" t="s">
        <v>95</v>
      </c>
      <c r="D316" s="60" t="s">
        <v>105</v>
      </c>
      <c r="E316" s="2" t="s">
        <v>85</v>
      </c>
      <c r="F316" s="2">
        <v>28</v>
      </c>
      <c r="G316" s="2">
        <v>99.861800000000002</v>
      </c>
      <c r="H316" s="2">
        <v>32.3474</v>
      </c>
      <c r="I316" s="2">
        <v>422.07799999999997</v>
      </c>
      <c r="J316" s="2">
        <v>1006.74</v>
      </c>
      <c r="K316" s="2">
        <v>834.29300000000001</v>
      </c>
      <c r="L316" s="2">
        <v>0</v>
      </c>
      <c r="M316" s="2">
        <v>1</v>
      </c>
      <c r="N316" s="2">
        <v>1</v>
      </c>
      <c r="O316" s="2">
        <v>94479.8</v>
      </c>
      <c r="P316" s="2">
        <v>0</v>
      </c>
      <c r="Q316" s="2">
        <v>0</v>
      </c>
      <c r="R316" s="2">
        <v>402.46199999999999</v>
      </c>
      <c r="S316" s="2">
        <v>0</v>
      </c>
    </row>
    <row r="317" spans="1:19">
      <c r="A317" s="2" t="s">
        <v>97</v>
      </c>
      <c r="B317" s="2" t="s">
        <v>98</v>
      </c>
      <c r="C317" s="2">
        <v>0</v>
      </c>
      <c r="D317" s="60">
        <v>70.072699999999998</v>
      </c>
      <c r="E317" s="2">
        <v>0</v>
      </c>
      <c r="F317" s="2">
        <v>2499.6999999999998</v>
      </c>
      <c r="G317" s="2">
        <v>384.66199999999998</v>
      </c>
      <c r="H317" s="2">
        <v>0</v>
      </c>
      <c r="I317" s="2">
        <v>10.4139</v>
      </c>
      <c r="J317" s="2">
        <v>1.7361200000000001</v>
      </c>
      <c r="K317" s="2">
        <v>10.208500000000001</v>
      </c>
      <c r="L317" s="2">
        <v>0</v>
      </c>
      <c r="M317" s="2">
        <v>0</v>
      </c>
    </row>
    <row r="318" spans="1:19">
      <c r="A318" s="2" t="s">
        <v>97</v>
      </c>
      <c r="B318" s="2" t="s">
        <v>99</v>
      </c>
      <c r="C318" s="2">
        <v>0</v>
      </c>
      <c r="D318" s="60">
        <v>29.9237</v>
      </c>
      <c r="E318" s="2">
        <v>0</v>
      </c>
      <c r="F318" s="2">
        <v>126.623</v>
      </c>
      <c r="G318" s="2">
        <v>422.07799999999997</v>
      </c>
      <c r="H318" s="2">
        <v>0</v>
      </c>
      <c r="I318" s="2">
        <v>52.292400000000001</v>
      </c>
      <c r="J318" s="2">
        <v>7.8570000000000002</v>
      </c>
      <c r="K318" s="2">
        <v>53.704300000000003</v>
      </c>
      <c r="L318" s="2">
        <v>0</v>
      </c>
      <c r="M318" s="2">
        <v>0</v>
      </c>
    </row>
    <row r="319" spans="1:19">
      <c r="A319" s="2" t="s">
        <v>97</v>
      </c>
      <c r="B319" s="2" t="s">
        <v>100</v>
      </c>
      <c r="C319" s="2">
        <v>0</v>
      </c>
      <c r="D319" s="60">
        <v>6.6757</v>
      </c>
      <c r="E319" s="2">
        <v>0</v>
      </c>
      <c r="F319" s="2">
        <v>2005.68</v>
      </c>
      <c r="G319" s="2">
        <v>421.84500000000003</v>
      </c>
      <c r="H319" s="2">
        <v>0</v>
      </c>
      <c r="I319" s="2">
        <v>0</v>
      </c>
      <c r="J319" s="2">
        <v>2.1032500000000001</v>
      </c>
      <c r="K319" s="2">
        <v>0</v>
      </c>
      <c r="L319" s="2">
        <v>0</v>
      </c>
      <c r="M319" s="2">
        <v>0</v>
      </c>
    </row>
    <row r="320" spans="1:19">
      <c r="A320" s="2" t="s">
        <v>97</v>
      </c>
      <c r="B320" s="2" t="s">
        <v>101</v>
      </c>
      <c r="C320" s="2">
        <v>0</v>
      </c>
      <c r="D320" s="60">
        <v>65.773200000000003</v>
      </c>
      <c r="E320" s="2">
        <v>0</v>
      </c>
      <c r="F320" s="2">
        <v>773.40599999999995</v>
      </c>
      <c r="G320" s="2">
        <v>441.91399999999999</v>
      </c>
      <c r="H320" s="2">
        <v>0</v>
      </c>
      <c r="I320" s="2">
        <v>22.2407</v>
      </c>
      <c r="J320" s="2">
        <v>1.94983</v>
      </c>
      <c r="K320" s="2">
        <v>24.4375</v>
      </c>
      <c r="L320" s="2">
        <v>0</v>
      </c>
      <c r="M320" s="2">
        <v>0</v>
      </c>
    </row>
    <row r="321" spans="1:19">
      <c r="A321" s="2" t="s">
        <v>97</v>
      </c>
      <c r="B321" s="2" t="s">
        <v>55</v>
      </c>
      <c r="C321" s="2">
        <v>1</v>
      </c>
      <c r="D321" s="60">
        <v>223.56</v>
      </c>
      <c r="E321" s="2">
        <v>32416.3</v>
      </c>
      <c r="F321" s="2">
        <v>927.43</v>
      </c>
      <c r="G321" s="2">
        <v>157.87799999999999</v>
      </c>
      <c r="H321" s="2">
        <v>0</v>
      </c>
      <c r="I321" s="2">
        <v>50.026499999999999</v>
      </c>
      <c r="J321" s="2">
        <v>2.4873799999999999</v>
      </c>
      <c r="K321" s="2">
        <v>50.4711</v>
      </c>
      <c r="L321" s="2">
        <v>0</v>
      </c>
      <c r="M321" s="2">
        <v>0</v>
      </c>
    </row>
    <row r="322" spans="1:19">
      <c r="A322" s="2" t="s">
        <v>97</v>
      </c>
      <c r="B322" s="2" t="s">
        <v>56</v>
      </c>
      <c r="C322" s="2">
        <v>1</v>
      </c>
      <c r="D322" s="60">
        <v>91.637799999999999</v>
      </c>
      <c r="E322" s="2">
        <v>12829.3</v>
      </c>
      <c r="F322" s="2">
        <v>690.98599999999999</v>
      </c>
      <c r="G322" s="2">
        <v>116.16</v>
      </c>
      <c r="H322" s="2">
        <v>0</v>
      </c>
      <c r="I322" s="2">
        <v>37.231999999999999</v>
      </c>
      <c r="J322" s="2">
        <v>1.9125799999999999</v>
      </c>
      <c r="K322" s="2">
        <v>37.220199999999998</v>
      </c>
      <c r="L322" s="2">
        <v>0</v>
      </c>
      <c r="M322" s="2">
        <v>0</v>
      </c>
    </row>
    <row r="323" spans="1:19">
      <c r="A323" s="2" t="s">
        <v>97</v>
      </c>
      <c r="B323" s="2" t="s">
        <v>57</v>
      </c>
      <c r="C323" s="2">
        <v>1</v>
      </c>
      <c r="D323" s="60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</row>
    <row r="324" spans="1:19">
      <c r="A324" s="2" t="s">
        <v>97</v>
      </c>
      <c r="B324" s="2" t="s">
        <v>58</v>
      </c>
      <c r="C324" s="2">
        <v>1</v>
      </c>
      <c r="D324" s="60">
        <v>155.464</v>
      </c>
      <c r="E324" s="2">
        <v>16323.7</v>
      </c>
      <c r="F324" s="2">
        <v>754.42700000000002</v>
      </c>
      <c r="G324" s="2">
        <v>158.74700000000001</v>
      </c>
      <c r="H324" s="2">
        <v>0</v>
      </c>
      <c r="I324" s="2">
        <v>46.106699999999996</v>
      </c>
      <c r="J324" s="2">
        <v>1.4987600000000001</v>
      </c>
      <c r="K324" s="2">
        <v>47.416499999999999</v>
      </c>
      <c r="L324" s="2">
        <v>0</v>
      </c>
      <c r="M324" s="2">
        <v>0</v>
      </c>
    </row>
    <row r="325" spans="1:19">
      <c r="A325" s="2" t="s">
        <v>97</v>
      </c>
      <c r="B325" s="2" t="s">
        <v>59</v>
      </c>
      <c r="C325" s="2">
        <v>1</v>
      </c>
      <c r="D325" s="60">
        <v>171.79</v>
      </c>
      <c r="E325" s="2">
        <v>17179</v>
      </c>
      <c r="F325" s="2">
        <v>1709.85</v>
      </c>
      <c r="G325" s="2">
        <v>388.16899999999998</v>
      </c>
      <c r="H325" s="2">
        <v>0</v>
      </c>
      <c r="I325" s="2">
        <v>32.581800000000001</v>
      </c>
      <c r="J325" s="2">
        <v>1.40188</v>
      </c>
      <c r="K325" s="2">
        <v>32.654600000000002</v>
      </c>
      <c r="L325" s="2">
        <v>0</v>
      </c>
      <c r="M325" s="2">
        <v>0</v>
      </c>
    </row>
    <row r="326" spans="1:19">
      <c r="A326" s="2" t="s">
        <v>97</v>
      </c>
      <c r="B326" s="2" t="s">
        <v>60</v>
      </c>
      <c r="C326" s="2">
        <v>1</v>
      </c>
      <c r="D326" s="60">
        <v>68.026700000000005</v>
      </c>
      <c r="E326" s="2">
        <v>6122.4</v>
      </c>
      <c r="F326" s="2">
        <v>1117.06</v>
      </c>
      <c r="G326" s="2">
        <v>240.90100000000001</v>
      </c>
      <c r="H326" s="2">
        <v>0</v>
      </c>
      <c r="I326" s="2">
        <v>25.0519</v>
      </c>
      <c r="J326" s="2">
        <v>1.0904199999999999</v>
      </c>
      <c r="K326" s="2">
        <v>25.222200000000001</v>
      </c>
      <c r="L326" s="2">
        <v>0</v>
      </c>
      <c r="M326" s="2">
        <v>0</v>
      </c>
    </row>
    <row r="327" spans="1:19">
      <c r="A327" s="2" t="s">
        <v>97</v>
      </c>
      <c r="B327" s="2" t="s">
        <v>61</v>
      </c>
      <c r="C327" s="2">
        <v>1</v>
      </c>
      <c r="D327" s="60">
        <v>38.631500000000003</v>
      </c>
      <c r="E327" s="2">
        <v>3283.68</v>
      </c>
      <c r="F327" s="2">
        <v>946.12900000000002</v>
      </c>
      <c r="G327" s="2">
        <v>207.25700000000001</v>
      </c>
      <c r="H327" s="2">
        <v>0</v>
      </c>
      <c r="I327" s="2">
        <v>18.759499999999999</v>
      </c>
      <c r="J327" s="2">
        <v>1.55152</v>
      </c>
      <c r="K327" s="2">
        <v>18.790900000000001</v>
      </c>
      <c r="L327" s="2">
        <v>0</v>
      </c>
      <c r="M327" s="2">
        <v>0</v>
      </c>
    </row>
    <row r="328" spans="1:19">
      <c r="A328" s="2" t="s">
        <v>97</v>
      </c>
      <c r="B328" s="2" t="s">
        <v>62</v>
      </c>
      <c r="C328" s="2">
        <v>1</v>
      </c>
      <c r="D328" s="60">
        <v>60.585000000000001</v>
      </c>
      <c r="E328" s="2">
        <v>4846.8</v>
      </c>
      <c r="F328" s="2">
        <v>617.81100000000004</v>
      </c>
      <c r="G328" s="2">
        <v>134.95699999999999</v>
      </c>
      <c r="H328" s="2">
        <v>0</v>
      </c>
      <c r="I328" s="2">
        <v>31.1828</v>
      </c>
      <c r="J328" s="2">
        <v>1.64394</v>
      </c>
      <c r="K328" s="2">
        <v>31.660499999999999</v>
      </c>
      <c r="L328" s="2">
        <v>0</v>
      </c>
      <c r="M328" s="2">
        <v>0</v>
      </c>
    </row>
    <row r="329" spans="1:19">
      <c r="A329" s="2" t="s">
        <v>97</v>
      </c>
      <c r="B329" s="2" t="s">
        <v>63</v>
      </c>
      <c r="C329" s="2">
        <v>1</v>
      </c>
      <c r="D329" s="60">
        <v>18.5197</v>
      </c>
      <c r="E329" s="2">
        <v>1296.3800000000001</v>
      </c>
      <c r="F329" s="2">
        <v>384.86099999999999</v>
      </c>
      <c r="G329" s="2">
        <v>96.215299999999999</v>
      </c>
      <c r="H329" s="2">
        <v>0</v>
      </c>
      <c r="I329" s="2">
        <v>21.097000000000001</v>
      </c>
      <c r="J329" s="2">
        <v>1.5689599999999999</v>
      </c>
      <c r="K329" s="2">
        <v>21.456299999999999</v>
      </c>
      <c r="L329" s="2">
        <v>0</v>
      </c>
      <c r="M329" s="2">
        <v>0</v>
      </c>
    </row>
    <row r="330" spans="1:19">
      <c r="A330" s="2" t="s">
        <v>97</v>
      </c>
      <c r="B330" s="2" t="s">
        <v>64</v>
      </c>
      <c r="C330" s="2">
        <v>1</v>
      </c>
      <c r="D330" s="60">
        <v>6.0787300000000002</v>
      </c>
      <c r="E330" s="2">
        <v>182.36199999999999</v>
      </c>
      <c r="F330" s="2">
        <v>359.70499999999998</v>
      </c>
      <c r="G330" s="2">
        <v>76.826599999999999</v>
      </c>
      <c r="H330" s="2">
        <v>0</v>
      </c>
      <c r="I330" s="2">
        <v>10.3241</v>
      </c>
      <c r="J330" s="2">
        <v>1.79539</v>
      </c>
      <c r="K330" s="2">
        <v>10.3042</v>
      </c>
      <c r="L330" s="2">
        <v>0</v>
      </c>
      <c r="M330" s="2">
        <v>0</v>
      </c>
    </row>
    <row r="331" spans="1:19">
      <c r="A331" s="2" t="s">
        <v>102</v>
      </c>
      <c r="B331" s="2" t="s">
        <v>94</v>
      </c>
      <c r="C331" s="2" t="s">
        <v>95</v>
      </c>
      <c r="D331" s="60" t="s">
        <v>105</v>
      </c>
      <c r="E331" s="2" t="s">
        <v>66</v>
      </c>
      <c r="F331" s="2">
        <v>28</v>
      </c>
      <c r="G331" s="2">
        <v>77.276399999999995</v>
      </c>
      <c r="H331" s="2">
        <v>29.5121</v>
      </c>
      <c r="I331" s="2">
        <v>328.90600000000001</v>
      </c>
      <c r="J331" s="2">
        <v>704.08699999999999</v>
      </c>
      <c r="K331" s="2">
        <v>555.50900000000001</v>
      </c>
      <c r="L331" s="2">
        <v>43.1021</v>
      </c>
      <c r="M331" s="2">
        <v>10</v>
      </c>
      <c r="N331" s="2">
        <v>10</v>
      </c>
      <c r="O331" s="2">
        <v>58522.6</v>
      </c>
      <c r="P331" s="2">
        <v>5433.57</v>
      </c>
      <c r="Q331" s="2">
        <v>13.4</v>
      </c>
      <c r="R331" s="2">
        <v>340.54599999999999</v>
      </c>
      <c r="S331" s="2">
        <v>0</v>
      </c>
    </row>
    <row r="332" spans="1:19">
      <c r="A332" s="2" t="s">
        <v>97</v>
      </c>
      <c r="B332" s="2" t="s">
        <v>98</v>
      </c>
      <c r="C332" s="2">
        <v>0</v>
      </c>
      <c r="D332" s="60">
        <v>50.134099999999997</v>
      </c>
      <c r="E332" s="2">
        <v>0</v>
      </c>
      <c r="F332" s="2">
        <v>1781.14</v>
      </c>
      <c r="G332" s="2">
        <v>295.05599999999998</v>
      </c>
      <c r="H332" s="2">
        <v>3.6626300000000001</v>
      </c>
      <c r="I332" s="2">
        <v>10.2089</v>
      </c>
      <c r="J332" s="2">
        <v>1.8926700000000001</v>
      </c>
      <c r="K332" s="2">
        <v>10.170500000000001</v>
      </c>
      <c r="L332" s="2">
        <v>0</v>
      </c>
      <c r="M332" s="2">
        <v>0</v>
      </c>
    </row>
    <row r="333" spans="1:19">
      <c r="A333" s="2" t="s">
        <v>97</v>
      </c>
      <c r="B333" s="2" t="s">
        <v>99</v>
      </c>
      <c r="C333" s="2">
        <v>0</v>
      </c>
      <c r="D333" s="60">
        <v>23.166899999999998</v>
      </c>
      <c r="E333" s="2">
        <v>0</v>
      </c>
      <c r="F333" s="2">
        <v>98.671899999999994</v>
      </c>
      <c r="G333" s="2">
        <v>328.90600000000001</v>
      </c>
      <c r="H333" s="2">
        <v>1.31551</v>
      </c>
      <c r="I333" s="2">
        <v>52.583199999999998</v>
      </c>
      <c r="J333" s="2">
        <v>8.3662899999999993</v>
      </c>
      <c r="K333" s="2">
        <v>53.456600000000002</v>
      </c>
      <c r="L333" s="2">
        <v>0</v>
      </c>
      <c r="M333" s="2">
        <v>0</v>
      </c>
    </row>
    <row r="334" spans="1:19">
      <c r="A334" s="2" t="s">
        <v>97</v>
      </c>
      <c r="B334" s="2" t="s">
        <v>100</v>
      </c>
      <c r="C334" s="2">
        <v>0</v>
      </c>
      <c r="D334" s="60">
        <v>5.0371699999999997</v>
      </c>
      <c r="E334" s="2">
        <v>0</v>
      </c>
      <c r="F334" s="2">
        <v>1514.93</v>
      </c>
      <c r="G334" s="2">
        <v>334.53199999999998</v>
      </c>
      <c r="H334" s="2">
        <v>0.50428499999999998</v>
      </c>
      <c r="I334" s="2">
        <v>4.8835099999999999E-2</v>
      </c>
      <c r="J334" s="2">
        <v>2.19746</v>
      </c>
      <c r="K334" s="2">
        <v>0.45671800000000001</v>
      </c>
      <c r="L334" s="2">
        <v>0</v>
      </c>
      <c r="M334" s="2">
        <v>0</v>
      </c>
    </row>
    <row r="335" spans="1:19">
      <c r="A335" s="2" t="s">
        <v>97</v>
      </c>
      <c r="B335" s="2" t="s">
        <v>101</v>
      </c>
      <c r="C335" s="2">
        <v>0</v>
      </c>
      <c r="D335" s="60">
        <v>70.239500000000007</v>
      </c>
      <c r="E335" s="2">
        <v>0</v>
      </c>
      <c r="F335" s="2">
        <v>954.08799999999997</v>
      </c>
      <c r="G335" s="2">
        <v>521.32100000000003</v>
      </c>
      <c r="H335" s="2">
        <v>8.0928699999999996</v>
      </c>
      <c r="I335" s="2">
        <v>25.681000000000001</v>
      </c>
      <c r="J335" s="2">
        <v>2.0760800000000001</v>
      </c>
      <c r="K335" s="2">
        <v>26.078499999999998</v>
      </c>
      <c r="L335" s="2">
        <v>0</v>
      </c>
      <c r="M335" s="2">
        <v>0</v>
      </c>
    </row>
    <row r="336" spans="1:19">
      <c r="A336" s="2" t="s">
        <v>97</v>
      </c>
      <c r="B336" s="2" t="s">
        <v>55</v>
      </c>
      <c r="C336" s="2">
        <v>1</v>
      </c>
      <c r="D336" s="60">
        <v>120.851</v>
      </c>
      <c r="E336" s="2">
        <v>17523.400000000001</v>
      </c>
      <c r="F336" s="2">
        <v>582.16399999999999</v>
      </c>
      <c r="G336" s="2">
        <v>112.267</v>
      </c>
      <c r="H336" s="2">
        <v>20.520099999999999</v>
      </c>
      <c r="I336" s="2">
        <v>46.591900000000003</v>
      </c>
      <c r="J336" s="2">
        <v>2.4724200000000001</v>
      </c>
      <c r="K336" s="2">
        <v>46.9512</v>
      </c>
      <c r="L336" s="2">
        <v>0</v>
      </c>
      <c r="M336" s="2">
        <v>0</v>
      </c>
    </row>
    <row r="337" spans="1:19">
      <c r="A337" s="2" t="s">
        <v>97</v>
      </c>
      <c r="B337" s="2" t="s">
        <v>56</v>
      </c>
      <c r="C337" s="2">
        <v>1</v>
      </c>
      <c r="D337" s="60">
        <v>49.302999999999997</v>
      </c>
      <c r="E337" s="2">
        <v>6902.42</v>
      </c>
      <c r="F337" s="2">
        <v>376.66199999999998</v>
      </c>
      <c r="G337" s="2">
        <v>69.8035</v>
      </c>
      <c r="H337" s="2">
        <v>11.788</v>
      </c>
      <c r="I337" s="2">
        <v>36.944699999999997</v>
      </c>
      <c r="J337" s="2">
        <v>2.02047</v>
      </c>
      <c r="K337" s="2">
        <v>37.030500000000004</v>
      </c>
      <c r="L337" s="2">
        <v>0</v>
      </c>
      <c r="M337" s="2">
        <v>0</v>
      </c>
    </row>
    <row r="338" spans="1:19">
      <c r="A338" s="2" t="s">
        <v>97</v>
      </c>
      <c r="B338" s="2" t="s">
        <v>57</v>
      </c>
      <c r="C338" s="2">
        <v>1</v>
      </c>
      <c r="D338" s="60">
        <v>12.8132</v>
      </c>
      <c r="E338" s="2">
        <v>1537.59</v>
      </c>
      <c r="F338" s="2">
        <v>74.773899999999998</v>
      </c>
      <c r="G338" s="2">
        <v>15.740500000000001</v>
      </c>
      <c r="H338" s="2">
        <v>5.5077800000000003</v>
      </c>
      <c r="I338" s="2">
        <v>43.007100000000001</v>
      </c>
      <c r="J338" s="2">
        <v>1.8714999999999999</v>
      </c>
      <c r="K338" s="2">
        <v>43.0428</v>
      </c>
      <c r="L338" s="2">
        <v>0</v>
      </c>
      <c r="M338" s="2">
        <v>0</v>
      </c>
    </row>
    <row r="339" spans="1:19">
      <c r="A339" s="2" t="s">
        <v>97</v>
      </c>
      <c r="B339" s="2" t="s">
        <v>58</v>
      </c>
      <c r="C339" s="2">
        <v>1</v>
      </c>
      <c r="D339" s="60">
        <v>69.171999999999997</v>
      </c>
      <c r="E339" s="2">
        <v>7263.06</v>
      </c>
      <c r="F339" s="2">
        <v>368.09699999999998</v>
      </c>
      <c r="G339" s="2">
        <v>83.113600000000005</v>
      </c>
      <c r="H339" s="2">
        <v>17.276700000000002</v>
      </c>
      <c r="I339" s="2">
        <v>44.921500000000002</v>
      </c>
      <c r="J339" s="2">
        <v>1.6054900000000001</v>
      </c>
      <c r="K339" s="2">
        <v>45.375399999999999</v>
      </c>
      <c r="L339" s="2">
        <v>0</v>
      </c>
      <c r="M339" s="2">
        <v>0</v>
      </c>
    </row>
    <row r="340" spans="1:19">
      <c r="A340" s="2" t="s">
        <v>97</v>
      </c>
      <c r="B340" s="2" t="s">
        <v>59</v>
      </c>
      <c r="C340" s="2">
        <v>1</v>
      </c>
      <c r="D340" s="60">
        <v>101.233</v>
      </c>
      <c r="E340" s="2">
        <v>10123.299999999999</v>
      </c>
      <c r="F340" s="2">
        <v>947.96</v>
      </c>
      <c r="G340" s="2">
        <v>210.489</v>
      </c>
      <c r="H340" s="2">
        <v>13.599299999999999</v>
      </c>
      <c r="I340" s="2">
        <v>33.413899999999998</v>
      </c>
      <c r="J340" s="2">
        <v>1.45137</v>
      </c>
      <c r="K340" s="2">
        <v>33.507100000000001</v>
      </c>
      <c r="L340" s="2">
        <v>0</v>
      </c>
      <c r="M340" s="2">
        <v>0</v>
      </c>
    </row>
    <row r="341" spans="1:19">
      <c r="A341" s="2" t="s">
        <v>97</v>
      </c>
      <c r="B341" s="2" t="s">
        <v>60</v>
      </c>
      <c r="C341" s="2">
        <v>1</v>
      </c>
      <c r="D341" s="60">
        <v>31.0456</v>
      </c>
      <c r="E341" s="2">
        <v>2794.1</v>
      </c>
      <c r="F341" s="2">
        <v>468.291</v>
      </c>
      <c r="G341" s="2">
        <v>103.59399999999999</v>
      </c>
      <c r="H341" s="2">
        <v>5.6776400000000002</v>
      </c>
      <c r="I341" s="2">
        <v>25.564800000000002</v>
      </c>
      <c r="J341" s="2">
        <v>1.4690399999999999</v>
      </c>
      <c r="K341" s="2">
        <v>25.554500000000001</v>
      </c>
      <c r="L341" s="2">
        <v>0</v>
      </c>
      <c r="M341" s="2">
        <v>0</v>
      </c>
    </row>
    <row r="342" spans="1:19">
      <c r="A342" s="2" t="s">
        <v>97</v>
      </c>
      <c r="B342" s="2" t="s">
        <v>61</v>
      </c>
      <c r="C342" s="2">
        <v>1</v>
      </c>
      <c r="D342" s="60">
        <v>12.8667</v>
      </c>
      <c r="E342" s="2">
        <v>1093.67</v>
      </c>
      <c r="F342" s="2">
        <v>297.452</v>
      </c>
      <c r="G342" s="2">
        <v>63.596899999999998</v>
      </c>
      <c r="H342" s="2">
        <v>3.4832999999999998</v>
      </c>
      <c r="I342" s="2">
        <v>18.786899999999999</v>
      </c>
      <c r="J342" s="2">
        <v>1.71408</v>
      </c>
      <c r="K342" s="2">
        <v>18.982099999999999</v>
      </c>
      <c r="L342" s="2">
        <v>0</v>
      </c>
      <c r="M342" s="2">
        <v>0</v>
      </c>
    </row>
    <row r="343" spans="1:19">
      <c r="A343" s="2" t="s">
        <v>97</v>
      </c>
      <c r="B343" s="2" t="s">
        <v>62</v>
      </c>
      <c r="C343" s="2">
        <v>1</v>
      </c>
      <c r="D343" s="60">
        <v>115.35899999999999</v>
      </c>
      <c r="E343" s="2">
        <v>9228.73</v>
      </c>
      <c r="F343" s="2">
        <v>943.91700000000003</v>
      </c>
      <c r="G343" s="2">
        <v>202.881</v>
      </c>
      <c r="H343" s="2">
        <v>22.857199999999999</v>
      </c>
      <c r="I343" s="2">
        <v>35.251399999999997</v>
      </c>
      <c r="J343" s="2">
        <v>1.6908000000000001</v>
      </c>
      <c r="K343" s="2">
        <v>35.791499999999999</v>
      </c>
      <c r="L343" s="2">
        <v>0</v>
      </c>
      <c r="M343" s="2">
        <v>0</v>
      </c>
    </row>
    <row r="344" spans="1:19">
      <c r="A344" s="2" t="s">
        <v>97</v>
      </c>
      <c r="B344" s="2" t="s">
        <v>63</v>
      </c>
      <c r="C344" s="2">
        <v>1</v>
      </c>
      <c r="D344" s="60">
        <v>19.259699999999999</v>
      </c>
      <c r="E344" s="2">
        <v>1348.18</v>
      </c>
      <c r="F344" s="2">
        <v>453.42</v>
      </c>
      <c r="G344" s="2">
        <v>104.23399999999999</v>
      </c>
      <c r="H344" s="2">
        <v>3.5008900000000001</v>
      </c>
      <c r="I344" s="2">
        <v>19.736599999999999</v>
      </c>
      <c r="J344" s="2">
        <v>1.4745200000000001</v>
      </c>
      <c r="K344" s="2">
        <v>19.933700000000002</v>
      </c>
      <c r="L344" s="2">
        <v>0</v>
      </c>
      <c r="M344" s="2">
        <v>0</v>
      </c>
    </row>
    <row r="345" spans="1:19">
      <c r="A345" s="2" t="s">
        <v>97</v>
      </c>
      <c r="B345" s="2" t="s">
        <v>64</v>
      </c>
      <c r="C345" s="2">
        <v>1</v>
      </c>
      <c r="D345" s="60">
        <v>23.605399999999999</v>
      </c>
      <c r="E345" s="2">
        <v>708.16300000000001</v>
      </c>
      <c r="F345" s="2">
        <v>515.62099999999998</v>
      </c>
      <c r="G345" s="2">
        <v>114.92</v>
      </c>
      <c r="H345" s="2">
        <v>4.2892999999999999</v>
      </c>
      <c r="I345" s="2">
        <v>19.332599999999999</v>
      </c>
      <c r="J345" s="2">
        <v>1.48203</v>
      </c>
      <c r="K345" s="2">
        <v>20.864599999999999</v>
      </c>
      <c r="L345" s="2">
        <v>0</v>
      </c>
      <c r="M345" s="2">
        <v>0</v>
      </c>
    </row>
    <row r="346" spans="1:19">
      <c r="A346" s="2" t="s">
        <v>106</v>
      </c>
      <c r="B346" s="2" t="s">
        <v>94</v>
      </c>
      <c r="C346" s="2" t="s">
        <v>95</v>
      </c>
      <c r="D346" s="60" t="s">
        <v>66</v>
      </c>
      <c r="E346" s="2" t="s">
        <v>66</v>
      </c>
      <c r="F346" s="2">
        <v>28</v>
      </c>
      <c r="G346" s="2">
        <v>83.430400000000006</v>
      </c>
      <c r="H346" s="2">
        <v>27.459800000000001</v>
      </c>
      <c r="I346" s="2">
        <v>393.04700000000003</v>
      </c>
      <c r="J346" s="2">
        <v>707.69200000000001</v>
      </c>
      <c r="K346" s="2">
        <v>542.22</v>
      </c>
      <c r="L346" s="2" t="s">
        <v>103</v>
      </c>
      <c r="M346" s="2">
        <v>20</v>
      </c>
      <c r="N346" s="2">
        <v>20</v>
      </c>
      <c r="O346" s="2">
        <v>54993.8</v>
      </c>
      <c r="P346" s="2" t="s">
        <v>103</v>
      </c>
      <c r="Q346" s="2">
        <v>114.8</v>
      </c>
      <c r="R346" s="2">
        <v>457.23700000000002</v>
      </c>
      <c r="S346" s="2">
        <v>0</v>
      </c>
    </row>
    <row r="347" spans="1:19">
      <c r="A347" s="2" t="s">
        <v>97</v>
      </c>
      <c r="B347" s="2" t="s">
        <v>98</v>
      </c>
      <c r="C347" s="2">
        <v>0</v>
      </c>
      <c r="D347" s="60">
        <v>45.183100000000003</v>
      </c>
      <c r="E347" s="2">
        <v>0</v>
      </c>
      <c r="F347" s="2">
        <v>1742.89</v>
      </c>
      <c r="G347" s="2">
        <v>325.26400000000001</v>
      </c>
      <c r="H347" s="2" t="s">
        <v>103</v>
      </c>
      <c r="I347" s="2">
        <v>10.2666</v>
      </c>
      <c r="J347" s="2">
        <v>1.8898699999999999</v>
      </c>
      <c r="K347" s="2">
        <v>10.3818</v>
      </c>
      <c r="L347" s="2">
        <v>0</v>
      </c>
      <c r="M347" s="2">
        <v>0</v>
      </c>
    </row>
    <row r="348" spans="1:19">
      <c r="A348" s="2" t="s">
        <v>97</v>
      </c>
      <c r="B348" s="2" t="s">
        <v>99</v>
      </c>
      <c r="C348" s="2">
        <v>0</v>
      </c>
      <c r="D348" s="60">
        <v>25.169</v>
      </c>
      <c r="E348" s="2">
        <v>0</v>
      </c>
      <c r="F348" s="2">
        <v>117.914</v>
      </c>
      <c r="G348" s="2">
        <v>393.04700000000003</v>
      </c>
      <c r="H348" s="2" t="s">
        <v>103</v>
      </c>
      <c r="I348" s="2">
        <v>50.042299999999997</v>
      </c>
      <c r="J348" s="2">
        <v>8.4415200000000006</v>
      </c>
      <c r="K348" s="2">
        <v>50.901299999999999</v>
      </c>
      <c r="L348" s="2">
        <v>0</v>
      </c>
      <c r="M348" s="2">
        <v>0</v>
      </c>
    </row>
    <row r="349" spans="1:19">
      <c r="A349" s="2" t="s">
        <v>97</v>
      </c>
      <c r="B349" s="2" t="s">
        <v>100</v>
      </c>
      <c r="C349" s="2">
        <v>0</v>
      </c>
      <c r="D349" s="60">
        <v>7.5572699999999999</v>
      </c>
      <c r="E349" s="2">
        <v>0</v>
      </c>
      <c r="F349" s="2">
        <v>2380.89</v>
      </c>
      <c r="G349" s="2">
        <v>442.02499999999998</v>
      </c>
      <c r="H349" s="2" t="s">
        <v>103</v>
      </c>
      <c r="I349" s="2">
        <v>3.3638800000000003E-2</v>
      </c>
      <c r="J349" s="2">
        <v>1.85032</v>
      </c>
      <c r="K349" s="2">
        <v>0.156718</v>
      </c>
      <c r="L349" s="2">
        <v>0</v>
      </c>
      <c r="M349" s="2">
        <v>0</v>
      </c>
    </row>
    <row r="350" spans="1:19">
      <c r="A350" s="2" t="s">
        <v>97</v>
      </c>
      <c r="B350" s="2" t="s">
        <v>101</v>
      </c>
      <c r="C350" s="2">
        <v>0</v>
      </c>
      <c r="D350" s="60">
        <v>87.562700000000007</v>
      </c>
      <c r="E350" s="2">
        <v>0</v>
      </c>
      <c r="F350" s="2">
        <v>1554.77</v>
      </c>
      <c r="G350" s="2">
        <v>766.27800000000002</v>
      </c>
      <c r="H350" s="2" t="s">
        <v>103</v>
      </c>
      <c r="I350" s="2">
        <v>22.753900000000002</v>
      </c>
      <c r="J350" s="2">
        <v>2.2031100000000001</v>
      </c>
      <c r="K350" s="2">
        <v>22.154800000000002</v>
      </c>
      <c r="L350" s="2">
        <v>0</v>
      </c>
      <c r="M350" s="2">
        <v>0</v>
      </c>
    </row>
    <row r="351" spans="1:19">
      <c r="A351" s="2" t="s">
        <v>97</v>
      </c>
      <c r="B351" s="2" t="s">
        <v>55</v>
      </c>
      <c r="C351" s="2">
        <v>1</v>
      </c>
      <c r="D351" s="60">
        <v>107.654</v>
      </c>
      <c r="E351" s="2">
        <v>15609.9</v>
      </c>
      <c r="F351" s="2">
        <v>551.27300000000002</v>
      </c>
      <c r="G351" s="2">
        <v>103.60899999999999</v>
      </c>
      <c r="H351" s="2" t="s">
        <v>103</v>
      </c>
      <c r="I351" s="2">
        <v>45.061500000000002</v>
      </c>
      <c r="J351" s="2">
        <v>2.4767100000000002</v>
      </c>
      <c r="K351" s="2">
        <v>45.283299999999997</v>
      </c>
      <c r="L351" s="2">
        <v>0</v>
      </c>
      <c r="M351" s="2">
        <v>0</v>
      </c>
    </row>
    <row r="352" spans="1:19">
      <c r="A352" s="2" t="s">
        <v>97</v>
      </c>
      <c r="B352" s="2" t="s">
        <v>56</v>
      </c>
      <c r="C352" s="2">
        <v>1</v>
      </c>
      <c r="D352" s="60">
        <v>61.096499999999999</v>
      </c>
      <c r="E352" s="2">
        <v>8553.51</v>
      </c>
      <c r="F352" s="2">
        <v>456.81700000000001</v>
      </c>
      <c r="G352" s="2">
        <v>91.953199999999995</v>
      </c>
      <c r="H352" s="2" t="s">
        <v>103</v>
      </c>
      <c r="I352" s="2">
        <v>37.386400000000002</v>
      </c>
      <c r="J352" s="2">
        <v>2.1841599999999999</v>
      </c>
      <c r="K352" s="2">
        <v>37.478000000000002</v>
      </c>
      <c r="L352" s="2">
        <v>0</v>
      </c>
      <c r="M352" s="2">
        <v>0</v>
      </c>
    </row>
    <row r="353" spans="1:19">
      <c r="A353" s="2" t="s">
        <v>97</v>
      </c>
      <c r="B353" s="2" t="s">
        <v>57</v>
      </c>
      <c r="C353" s="2">
        <v>1</v>
      </c>
      <c r="D353" s="60">
        <v>5.23346</v>
      </c>
      <c r="E353" s="2">
        <v>628.01499999999999</v>
      </c>
      <c r="F353" s="2">
        <v>31.4923</v>
      </c>
      <c r="G353" s="2">
        <v>7.5283899999999999</v>
      </c>
      <c r="H353" s="2">
        <v>1.9779899999999999</v>
      </c>
      <c r="I353" s="2">
        <v>42.575699999999998</v>
      </c>
      <c r="J353" s="2">
        <v>2.11836</v>
      </c>
      <c r="K353" s="2">
        <v>42.606699999999996</v>
      </c>
      <c r="L353" s="2">
        <v>0</v>
      </c>
      <c r="M353" s="2">
        <v>0</v>
      </c>
    </row>
    <row r="354" spans="1:19">
      <c r="A354" s="2" t="s">
        <v>97</v>
      </c>
      <c r="B354" s="2" t="s">
        <v>58</v>
      </c>
      <c r="C354" s="2">
        <v>1</v>
      </c>
      <c r="D354" s="60">
        <v>34.681600000000003</v>
      </c>
      <c r="E354" s="2">
        <v>3641.57</v>
      </c>
      <c r="F354" s="2">
        <v>196.79900000000001</v>
      </c>
      <c r="G354" s="2">
        <v>45.208199999999998</v>
      </c>
      <c r="H354" s="2" t="s">
        <v>103</v>
      </c>
      <c r="I354" s="2">
        <v>43.713500000000003</v>
      </c>
      <c r="J354" s="2">
        <v>1.7740400000000001</v>
      </c>
      <c r="K354" s="2">
        <v>43.8583</v>
      </c>
      <c r="L354" s="2">
        <v>0</v>
      </c>
      <c r="M354" s="2">
        <v>0</v>
      </c>
    </row>
    <row r="355" spans="1:19">
      <c r="A355" s="2" t="s">
        <v>97</v>
      </c>
      <c r="B355" s="2" t="s">
        <v>59</v>
      </c>
      <c r="C355" s="2">
        <v>1</v>
      </c>
      <c r="D355" s="60">
        <v>119.53</v>
      </c>
      <c r="E355" s="2">
        <v>11953</v>
      </c>
      <c r="F355" s="2">
        <v>1100.19</v>
      </c>
      <c r="G355" s="2">
        <v>241.18299999999999</v>
      </c>
      <c r="H355" s="2" t="s">
        <v>103</v>
      </c>
      <c r="I355" s="2">
        <v>33.745899999999999</v>
      </c>
      <c r="J355" s="2">
        <v>1.43489</v>
      </c>
      <c r="K355" s="2">
        <v>33.810099999999998</v>
      </c>
      <c r="L355" s="2">
        <v>0</v>
      </c>
      <c r="M355" s="2">
        <v>0</v>
      </c>
    </row>
    <row r="356" spans="1:19">
      <c r="A356" s="2" t="s">
        <v>97</v>
      </c>
      <c r="B356" s="2" t="s">
        <v>60</v>
      </c>
      <c r="C356" s="2">
        <v>1</v>
      </c>
      <c r="D356" s="60">
        <v>38.773600000000002</v>
      </c>
      <c r="E356" s="2">
        <v>3489.63</v>
      </c>
      <c r="F356" s="2">
        <v>581.40300000000002</v>
      </c>
      <c r="G356" s="2">
        <v>128.376</v>
      </c>
      <c r="H356" s="2" t="s">
        <v>103</v>
      </c>
      <c r="I356" s="2">
        <v>25.900099999999998</v>
      </c>
      <c r="J356" s="2">
        <v>1.4242900000000001</v>
      </c>
      <c r="K356" s="2">
        <v>25.9633</v>
      </c>
      <c r="L356" s="2">
        <v>0</v>
      </c>
      <c r="M356" s="2">
        <v>0</v>
      </c>
    </row>
    <row r="357" spans="1:19">
      <c r="A357" s="2" t="s">
        <v>97</v>
      </c>
      <c r="B357" s="2" t="s">
        <v>61</v>
      </c>
      <c r="C357" s="2">
        <v>1</v>
      </c>
      <c r="D357" s="60">
        <v>8.9772700000000007</v>
      </c>
      <c r="E357" s="2">
        <v>763.06799999999998</v>
      </c>
      <c r="F357" s="2">
        <v>212.55799999999999</v>
      </c>
      <c r="G357" s="2">
        <v>45.057400000000001</v>
      </c>
      <c r="H357" s="2" t="s">
        <v>103</v>
      </c>
      <c r="I357" s="2">
        <v>18.4694</v>
      </c>
      <c r="J357" s="2">
        <v>1.7117199999999999</v>
      </c>
      <c r="K357" s="2">
        <v>18.629200000000001</v>
      </c>
      <c r="L357" s="2">
        <v>0</v>
      </c>
      <c r="M357" s="2">
        <v>0</v>
      </c>
    </row>
    <row r="358" spans="1:19">
      <c r="A358" s="2" t="s">
        <v>97</v>
      </c>
      <c r="B358" s="2" t="s">
        <v>62</v>
      </c>
      <c r="C358" s="2">
        <v>1</v>
      </c>
      <c r="D358" s="60">
        <v>90.693399999999997</v>
      </c>
      <c r="E358" s="2">
        <v>7255.47</v>
      </c>
      <c r="F358" s="2">
        <v>718.346</v>
      </c>
      <c r="G358" s="2">
        <v>157.738</v>
      </c>
      <c r="H358" s="2" t="s">
        <v>103</v>
      </c>
      <c r="I358" s="2">
        <v>35.551699999999997</v>
      </c>
      <c r="J358" s="2">
        <v>1.82413</v>
      </c>
      <c r="K358" s="2">
        <v>36.275700000000001</v>
      </c>
      <c r="L358" s="2">
        <v>0</v>
      </c>
      <c r="M358" s="2">
        <v>0</v>
      </c>
    </row>
    <row r="359" spans="1:19">
      <c r="A359" s="2" t="s">
        <v>97</v>
      </c>
      <c r="B359" s="2" t="s">
        <v>63</v>
      </c>
      <c r="C359" s="2">
        <v>1</v>
      </c>
      <c r="D359" s="60">
        <v>20.805599999999998</v>
      </c>
      <c r="E359" s="2">
        <v>1456.39</v>
      </c>
      <c r="F359" s="2">
        <v>458.21600000000001</v>
      </c>
      <c r="G359" s="2">
        <v>95.0197</v>
      </c>
      <c r="H359" s="2" t="s">
        <v>103</v>
      </c>
      <c r="I359" s="2">
        <v>20.232900000000001</v>
      </c>
      <c r="J359" s="2">
        <v>1.4222999999999999</v>
      </c>
      <c r="K359" s="2">
        <v>20.315100000000001</v>
      </c>
      <c r="L359" s="2">
        <v>0</v>
      </c>
      <c r="M359" s="2">
        <v>0</v>
      </c>
    </row>
    <row r="360" spans="1:19">
      <c r="A360" s="2" t="s">
        <v>97</v>
      </c>
      <c r="B360" s="2" t="s">
        <v>64</v>
      </c>
      <c r="C360" s="2">
        <v>1</v>
      </c>
      <c r="D360" s="60">
        <v>54.773699999999998</v>
      </c>
      <c r="E360" s="2">
        <v>1643.21</v>
      </c>
      <c r="F360" s="2">
        <v>1308.94</v>
      </c>
      <c r="G360" s="2">
        <v>279.35599999999999</v>
      </c>
      <c r="H360" s="2" t="s">
        <v>103</v>
      </c>
      <c r="I360" s="2">
        <v>18.515899999999998</v>
      </c>
      <c r="J360" s="2">
        <v>1.3319700000000001</v>
      </c>
      <c r="K360" s="2">
        <v>19.9939</v>
      </c>
      <c r="L360" s="2">
        <v>0</v>
      </c>
      <c r="M360" s="2">
        <v>0</v>
      </c>
    </row>
    <row r="361" spans="1:19">
      <c r="A361" s="2" t="s">
        <v>107</v>
      </c>
      <c r="B361" s="2" t="s">
        <v>94</v>
      </c>
      <c r="C361" s="2" t="s">
        <v>66</v>
      </c>
      <c r="D361" s="60" t="s">
        <v>66</v>
      </c>
      <c r="E361" s="2" t="s">
        <v>66</v>
      </c>
      <c r="F361" s="2">
        <v>28</v>
      </c>
      <c r="G361" s="2">
        <v>83.430400000000006</v>
      </c>
      <c r="H361" s="2">
        <v>27.459800000000001</v>
      </c>
      <c r="I361" s="2">
        <v>393.04700000000003</v>
      </c>
      <c r="J361" s="2">
        <v>707.69200000000001</v>
      </c>
      <c r="K361" s="2">
        <v>542.22</v>
      </c>
      <c r="L361" s="2" t="s">
        <v>103</v>
      </c>
      <c r="M361" s="2">
        <v>20</v>
      </c>
      <c r="N361" s="2">
        <v>20</v>
      </c>
      <c r="O361" s="2">
        <v>54993.8</v>
      </c>
      <c r="P361" s="2" t="s">
        <v>103</v>
      </c>
      <c r="Q361" s="2">
        <v>1</v>
      </c>
      <c r="R361" s="2">
        <v>457.23700000000002</v>
      </c>
      <c r="S361" s="2">
        <v>0</v>
      </c>
    </row>
    <row r="362" spans="1:19">
      <c r="A362" s="2" t="s">
        <v>97</v>
      </c>
      <c r="B362" s="2" t="s">
        <v>98</v>
      </c>
      <c r="C362" s="2">
        <v>0</v>
      </c>
      <c r="D362" s="60">
        <v>45.183100000000003</v>
      </c>
      <c r="E362" s="2">
        <v>0</v>
      </c>
      <c r="F362" s="2">
        <v>1742.89</v>
      </c>
      <c r="G362" s="2">
        <v>325.26400000000001</v>
      </c>
      <c r="H362" s="2" t="s">
        <v>103</v>
      </c>
      <c r="I362" s="2">
        <v>10.2666</v>
      </c>
      <c r="J362" s="2">
        <v>1.8898699999999999</v>
      </c>
      <c r="K362" s="2">
        <v>10.3818</v>
      </c>
      <c r="L362" s="2">
        <v>0</v>
      </c>
      <c r="M362" s="2">
        <v>0</v>
      </c>
    </row>
    <row r="363" spans="1:19">
      <c r="A363" s="2" t="s">
        <v>97</v>
      </c>
      <c r="B363" s="2" t="s">
        <v>99</v>
      </c>
      <c r="C363" s="2">
        <v>0</v>
      </c>
      <c r="D363" s="60">
        <v>25.169</v>
      </c>
      <c r="E363" s="2">
        <v>0</v>
      </c>
      <c r="F363" s="2">
        <v>117.914</v>
      </c>
      <c r="G363" s="2">
        <v>393.04700000000003</v>
      </c>
      <c r="H363" s="2" t="s">
        <v>103</v>
      </c>
      <c r="I363" s="2">
        <v>50.042299999999997</v>
      </c>
      <c r="J363" s="2">
        <v>8.4415200000000006</v>
      </c>
      <c r="K363" s="2">
        <v>50.901299999999999</v>
      </c>
      <c r="L363" s="2">
        <v>0</v>
      </c>
      <c r="M363" s="2">
        <v>0</v>
      </c>
    </row>
    <row r="364" spans="1:19">
      <c r="A364" s="2" t="s">
        <v>97</v>
      </c>
      <c r="B364" s="2" t="s">
        <v>100</v>
      </c>
      <c r="C364" s="2">
        <v>0</v>
      </c>
      <c r="D364" s="60">
        <v>7.5572699999999999</v>
      </c>
      <c r="E364" s="2">
        <v>0</v>
      </c>
      <c r="F364" s="2">
        <v>2380.89</v>
      </c>
      <c r="G364" s="2">
        <v>442.02499999999998</v>
      </c>
      <c r="H364" s="2" t="s">
        <v>103</v>
      </c>
      <c r="I364" s="2">
        <v>3.3638800000000003E-2</v>
      </c>
      <c r="J364" s="2">
        <v>1.85032</v>
      </c>
      <c r="K364" s="2">
        <v>0.156718</v>
      </c>
      <c r="L364" s="2">
        <v>0</v>
      </c>
      <c r="M364" s="2">
        <v>0</v>
      </c>
    </row>
    <row r="365" spans="1:19">
      <c r="A365" s="2" t="s">
        <v>97</v>
      </c>
      <c r="B365" s="2" t="s">
        <v>101</v>
      </c>
      <c r="C365" s="2">
        <v>0</v>
      </c>
      <c r="D365" s="60">
        <v>87.562700000000007</v>
      </c>
      <c r="E365" s="2">
        <v>0</v>
      </c>
      <c r="F365" s="2">
        <v>1554.77</v>
      </c>
      <c r="G365" s="2">
        <v>766.27800000000002</v>
      </c>
      <c r="H365" s="2" t="s">
        <v>103</v>
      </c>
      <c r="I365" s="2">
        <v>22.753900000000002</v>
      </c>
      <c r="J365" s="2">
        <v>2.2031100000000001</v>
      </c>
      <c r="K365" s="2">
        <v>22.154800000000002</v>
      </c>
      <c r="L365" s="2">
        <v>0</v>
      </c>
      <c r="M365" s="2">
        <v>0</v>
      </c>
    </row>
    <row r="366" spans="1:19">
      <c r="A366" s="2" t="s">
        <v>97</v>
      </c>
      <c r="B366" s="2" t="s">
        <v>55</v>
      </c>
      <c r="C366" s="2">
        <v>1</v>
      </c>
      <c r="D366" s="60">
        <v>107.654</v>
      </c>
      <c r="E366" s="2">
        <v>15609.9</v>
      </c>
      <c r="F366" s="2">
        <v>551.27300000000002</v>
      </c>
      <c r="G366" s="2">
        <v>103.60899999999999</v>
      </c>
      <c r="H366" s="2" t="s">
        <v>103</v>
      </c>
      <c r="I366" s="2">
        <v>45.061500000000002</v>
      </c>
      <c r="J366" s="2">
        <v>2.4767100000000002</v>
      </c>
      <c r="K366" s="2">
        <v>45.283299999999997</v>
      </c>
      <c r="L366" s="2">
        <v>0</v>
      </c>
      <c r="M366" s="2">
        <v>0</v>
      </c>
    </row>
    <row r="367" spans="1:19">
      <c r="A367" s="2" t="s">
        <v>97</v>
      </c>
      <c r="B367" s="2" t="s">
        <v>56</v>
      </c>
      <c r="C367" s="2">
        <v>1</v>
      </c>
      <c r="D367" s="60">
        <v>61.096499999999999</v>
      </c>
      <c r="E367" s="2">
        <v>8553.51</v>
      </c>
      <c r="F367" s="2">
        <v>456.81700000000001</v>
      </c>
      <c r="G367" s="2">
        <v>91.953199999999995</v>
      </c>
      <c r="H367" s="2" t="s">
        <v>103</v>
      </c>
      <c r="I367" s="2">
        <v>37.386400000000002</v>
      </c>
      <c r="J367" s="2">
        <v>2.1841599999999999</v>
      </c>
      <c r="K367" s="2">
        <v>37.478000000000002</v>
      </c>
      <c r="L367" s="2">
        <v>0</v>
      </c>
      <c r="M367" s="2">
        <v>0</v>
      </c>
    </row>
    <row r="368" spans="1:19">
      <c r="A368" s="2" t="s">
        <v>97</v>
      </c>
      <c r="B368" s="2" t="s">
        <v>57</v>
      </c>
      <c r="C368" s="2">
        <v>1</v>
      </c>
      <c r="D368" s="60">
        <v>5.23346</v>
      </c>
      <c r="E368" s="2">
        <v>628.01499999999999</v>
      </c>
      <c r="F368" s="2">
        <v>31.4923</v>
      </c>
      <c r="G368" s="2">
        <v>7.5283899999999999</v>
      </c>
      <c r="H368" s="2">
        <v>1.9779899999999999</v>
      </c>
      <c r="I368" s="2">
        <v>42.575699999999998</v>
      </c>
      <c r="J368" s="2">
        <v>2.11836</v>
      </c>
      <c r="K368" s="2">
        <v>42.606699999999996</v>
      </c>
      <c r="L368" s="2">
        <v>0</v>
      </c>
      <c r="M368" s="2">
        <v>0</v>
      </c>
    </row>
    <row r="369" spans="1:17">
      <c r="A369" s="2" t="s">
        <v>97</v>
      </c>
      <c r="B369" s="2" t="s">
        <v>58</v>
      </c>
      <c r="C369" s="2">
        <v>1</v>
      </c>
      <c r="D369" s="60">
        <v>34.681600000000003</v>
      </c>
      <c r="E369" s="2">
        <v>3641.57</v>
      </c>
      <c r="F369" s="2">
        <v>196.79900000000001</v>
      </c>
      <c r="G369" s="2">
        <v>45.208199999999998</v>
      </c>
      <c r="H369" s="2" t="s">
        <v>103</v>
      </c>
      <c r="I369" s="2">
        <v>43.713500000000003</v>
      </c>
      <c r="J369" s="2">
        <v>1.7740400000000001</v>
      </c>
      <c r="K369" s="2">
        <v>43.8583</v>
      </c>
      <c r="L369" s="2">
        <v>0</v>
      </c>
      <c r="M369" s="2">
        <v>0</v>
      </c>
    </row>
    <row r="370" spans="1:17">
      <c r="A370" s="2" t="s">
        <v>97</v>
      </c>
      <c r="B370" s="2" t="s">
        <v>59</v>
      </c>
      <c r="C370" s="2">
        <v>1</v>
      </c>
      <c r="D370" s="60">
        <v>119.53</v>
      </c>
      <c r="E370" s="2">
        <v>11953</v>
      </c>
      <c r="F370" s="2">
        <v>1100.19</v>
      </c>
      <c r="G370" s="2">
        <v>241.18299999999999</v>
      </c>
      <c r="H370" s="2" t="s">
        <v>103</v>
      </c>
      <c r="I370" s="2">
        <v>33.745899999999999</v>
      </c>
      <c r="J370" s="2">
        <v>1.43489</v>
      </c>
      <c r="K370" s="2">
        <v>33.810099999999998</v>
      </c>
      <c r="L370" s="2">
        <v>0</v>
      </c>
      <c r="M370" s="2">
        <v>0</v>
      </c>
    </row>
    <row r="371" spans="1:17">
      <c r="A371" s="2" t="s">
        <v>97</v>
      </c>
      <c r="B371" s="2" t="s">
        <v>60</v>
      </c>
      <c r="C371" s="2">
        <v>1</v>
      </c>
      <c r="D371" s="60">
        <v>38.773600000000002</v>
      </c>
      <c r="E371" s="2">
        <v>3489.63</v>
      </c>
      <c r="F371" s="2">
        <v>581.40300000000002</v>
      </c>
      <c r="G371" s="2">
        <v>128.376</v>
      </c>
      <c r="H371" s="2" t="s">
        <v>103</v>
      </c>
      <c r="I371" s="2">
        <v>25.900099999999998</v>
      </c>
      <c r="J371" s="2">
        <v>1.4242900000000001</v>
      </c>
      <c r="K371" s="2">
        <v>25.9633</v>
      </c>
      <c r="L371" s="2">
        <v>0</v>
      </c>
      <c r="M371" s="2">
        <v>0</v>
      </c>
    </row>
    <row r="372" spans="1:17">
      <c r="A372" s="2" t="s">
        <v>97</v>
      </c>
      <c r="B372" s="2" t="s">
        <v>61</v>
      </c>
      <c r="C372" s="2">
        <v>1</v>
      </c>
      <c r="D372" s="60">
        <v>8.9772700000000007</v>
      </c>
      <c r="E372" s="2">
        <v>763.06799999999998</v>
      </c>
      <c r="F372" s="2">
        <v>212.55799999999999</v>
      </c>
      <c r="G372" s="2">
        <v>45.057400000000001</v>
      </c>
      <c r="H372" s="2" t="s">
        <v>103</v>
      </c>
      <c r="I372" s="2">
        <v>18.4694</v>
      </c>
      <c r="J372" s="2">
        <v>1.7117199999999999</v>
      </c>
      <c r="K372" s="2">
        <v>18.629200000000001</v>
      </c>
      <c r="L372" s="2">
        <v>0</v>
      </c>
      <c r="M372" s="2">
        <v>0</v>
      </c>
    </row>
    <row r="373" spans="1:17">
      <c r="A373" s="2" t="s">
        <v>97</v>
      </c>
      <c r="B373" s="2" t="s">
        <v>62</v>
      </c>
      <c r="C373" s="2">
        <v>1</v>
      </c>
      <c r="D373" s="60">
        <v>90.693399999999997</v>
      </c>
      <c r="E373" s="2">
        <v>7255.47</v>
      </c>
      <c r="F373" s="2">
        <v>718.346</v>
      </c>
      <c r="G373" s="2">
        <v>157.738</v>
      </c>
      <c r="H373" s="2" t="s">
        <v>103</v>
      </c>
      <c r="I373" s="2">
        <v>35.551699999999997</v>
      </c>
      <c r="J373" s="2">
        <v>1.82413</v>
      </c>
      <c r="K373" s="2">
        <v>36.275700000000001</v>
      </c>
      <c r="L373" s="2">
        <v>0</v>
      </c>
      <c r="M373" s="2">
        <v>0</v>
      </c>
    </row>
    <row r="374" spans="1:17">
      <c r="A374" s="2" t="s">
        <v>97</v>
      </c>
      <c r="B374" s="2" t="s">
        <v>63</v>
      </c>
      <c r="C374" s="2">
        <v>1</v>
      </c>
      <c r="D374" s="60">
        <v>20.805599999999998</v>
      </c>
      <c r="E374" s="2">
        <v>1456.39</v>
      </c>
      <c r="F374" s="2">
        <v>458.21600000000001</v>
      </c>
      <c r="G374" s="2">
        <v>95.0197</v>
      </c>
      <c r="H374" s="2" t="s">
        <v>103</v>
      </c>
      <c r="I374" s="2">
        <v>20.232900000000001</v>
      </c>
      <c r="J374" s="2">
        <v>1.4222999999999999</v>
      </c>
      <c r="K374" s="2">
        <v>20.315100000000001</v>
      </c>
      <c r="L374" s="2">
        <v>0</v>
      </c>
      <c r="M374" s="2">
        <v>0</v>
      </c>
    </row>
    <row r="375" spans="1:17">
      <c r="A375" s="2" t="s">
        <v>97</v>
      </c>
      <c r="B375" s="2" t="s">
        <v>64</v>
      </c>
      <c r="C375" s="2">
        <v>1</v>
      </c>
      <c r="D375" s="60">
        <v>54.773699999999998</v>
      </c>
      <c r="E375" s="2">
        <v>1643.21</v>
      </c>
      <c r="F375" s="2">
        <v>1308.94</v>
      </c>
      <c r="G375" s="2">
        <v>279.35599999999999</v>
      </c>
      <c r="H375" s="2" t="s">
        <v>103</v>
      </c>
      <c r="I375" s="2">
        <v>18.515899999999998</v>
      </c>
      <c r="J375" s="2">
        <v>1.3319700000000001</v>
      </c>
      <c r="K375" s="2">
        <v>19.9939</v>
      </c>
      <c r="L375" s="2">
        <v>0</v>
      </c>
      <c r="M375" s="2">
        <v>0</v>
      </c>
    </row>
    <row r="376" spans="1:17">
      <c r="A376" s="2" t="s">
        <v>108</v>
      </c>
      <c r="B376" s="2" t="s">
        <v>0</v>
      </c>
    </row>
    <row r="377" spans="1:17">
      <c r="A377" s="2" t="s">
        <v>109</v>
      </c>
      <c r="B377" s="2" t="s">
        <v>110</v>
      </c>
      <c r="C377" s="2" t="s">
        <v>111</v>
      </c>
      <c r="D377" s="60" t="s">
        <v>112</v>
      </c>
      <c r="E377" s="2" t="s">
        <v>113</v>
      </c>
      <c r="F377" s="2" t="s">
        <v>114</v>
      </c>
      <c r="G377" s="2" t="s">
        <v>115</v>
      </c>
      <c r="H377" s="2" t="s">
        <v>116</v>
      </c>
      <c r="I377" s="2" t="s">
        <v>117</v>
      </c>
      <c r="J377" s="2" t="s">
        <v>118</v>
      </c>
      <c r="K377" s="2" t="s">
        <v>119</v>
      </c>
      <c r="L377" s="2" t="s">
        <v>120</v>
      </c>
      <c r="M377" s="2" t="s">
        <v>121</v>
      </c>
      <c r="N377" s="2" t="s">
        <v>122</v>
      </c>
      <c r="O377" s="2" t="s">
        <v>123</v>
      </c>
      <c r="P377" s="2" t="s">
        <v>124</v>
      </c>
      <c r="Q377" s="2" t="s">
        <v>125</v>
      </c>
    </row>
    <row r="378" spans="1:17">
      <c r="A378" s="2" t="s">
        <v>126</v>
      </c>
    </row>
    <row r="379" spans="1:17">
      <c r="A379" s="2" t="s">
        <v>127</v>
      </c>
      <c r="B379" s="2" t="s">
        <v>96</v>
      </c>
      <c r="C379" s="2">
        <v>1.4</v>
      </c>
      <c r="D379" s="60" t="s">
        <v>128</v>
      </c>
      <c r="E379" s="2" t="s">
        <v>129</v>
      </c>
    </row>
    <row r="380" spans="1:17">
      <c r="A380" s="2" t="s">
        <v>130</v>
      </c>
      <c r="B380" s="2" t="s">
        <v>131</v>
      </c>
      <c r="C380" s="2" t="s">
        <v>132</v>
      </c>
      <c r="D380" s="60" t="s">
        <v>133</v>
      </c>
      <c r="E380" s="2">
        <v>13</v>
      </c>
      <c r="F380" s="2">
        <v>2016</v>
      </c>
    </row>
    <row r="381" spans="1:17">
      <c r="A381" s="2" t="s">
        <v>134</v>
      </c>
      <c r="B381" s="2" t="s">
        <v>65</v>
      </c>
      <c r="C381" s="2">
        <v>28</v>
      </c>
      <c r="D381" s="60" t="s">
        <v>135</v>
      </c>
      <c r="E381" s="2" t="s">
        <v>136</v>
      </c>
      <c r="F381" s="2" t="s">
        <v>137</v>
      </c>
    </row>
    <row r="382" spans="1:17">
      <c r="A382" s="2" t="s">
        <v>138</v>
      </c>
      <c r="B382" s="2">
        <v>1</v>
      </c>
      <c r="C382" s="2">
        <v>19.581099999999999</v>
      </c>
      <c r="D382" s="60" t="s">
        <v>139</v>
      </c>
    </row>
    <row r="383" spans="1:17">
      <c r="A383" s="2" t="s">
        <v>140</v>
      </c>
      <c r="B383" s="2">
        <v>0</v>
      </c>
      <c r="C383" s="2">
        <v>45.8217</v>
      </c>
      <c r="D383" s="60">
        <v>39.561900000000001</v>
      </c>
    </row>
    <row r="384" spans="1:17">
      <c r="A384" s="2" t="s">
        <v>141</v>
      </c>
      <c r="B384" s="2">
        <v>0</v>
      </c>
      <c r="C384" s="2">
        <v>7.1</v>
      </c>
      <c r="D384" s="60" t="s">
        <v>142</v>
      </c>
    </row>
    <row r="385" spans="1:10">
      <c r="A385" s="2" t="s">
        <v>141</v>
      </c>
      <c r="B385" s="2">
        <v>0</v>
      </c>
      <c r="C385" s="2">
        <v>12.1</v>
      </c>
      <c r="D385" s="60" t="s">
        <v>143</v>
      </c>
    </row>
    <row r="386" spans="1:10">
      <c r="A386" s="2" t="s">
        <v>141</v>
      </c>
      <c r="B386" s="2">
        <v>7.1</v>
      </c>
      <c r="C386" s="2">
        <v>12.1</v>
      </c>
      <c r="D386" s="60" t="s">
        <v>144</v>
      </c>
    </row>
    <row r="387" spans="1:10">
      <c r="A387" s="2" t="s">
        <v>141</v>
      </c>
      <c r="B387" s="2">
        <v>12.1</v>
      </c>
      <c r="C387" s="2">
        <v>14.8</v>
      </c>
      <c r="D387" s="60" t="s">
        <v>145</v>
      </c>
    </row>
    <row r="388" spans="1:10">
      <c r="A388" s="2" t="s">
        <v>141</v>
      </c>
      <c r="B388" s="2">
        <v>12.1</v>
      </c>
      <c r="C388" s="2">
        <v>31.8</v>
      </c>
      <c r="D388" s="60" t="s">
        <v>146</v>
      </c>
    </row>
    <row r="389" spans="1:10">
      <c r="A389" s="2" t="s">
        <v>141</v>
      </c>
      <c r="B389" s="2">
        <v>14.8</v>
      </c>
      <c r="C389" s="2">
        <v>17.3</v>
      </c>
      <c r="D389" s="60" t="s">
        <v>147</v>
      </c>
    </row>
    <row r="390" spans="1:10">
      <c r="A390" s="2" t="s">
        <v>141</v>
      </c>
      <c r="B390" s="2">
        <v>17.3</v>
      </c>
      <c r="C390" s="2">
        <v>23.4</v>
      </c>
      <c r="D390" s="60" t="s">
        <v>145</v>
      </c>
    </row>
    <row r="391" spans="1:10">
      <c r="A391" s="2" t="s">
        <v>141</v>
      </c>
      <c r="B391" s="2">
        <v>23.4</v>
      </c>
      <c r="C391" s="2">
        <v>31.8</v>
      </c>
      <c r="D391" s="60" t="s">
        <v>144</v>
      </c>
    </row>
    <row r="392" spans="1:10">
      <c r="A392" s="2" t="s">
        <v>148</v>
      </c>
      <c r="B392" s="2" t="s">
        <v>99</v>
      </c>
      <c r="C392" s="2">
        <v>5.28046E-2</v>
      </c>
      <c r="D392" s="60">
        <v>0</v>
      </c>
      <c r="E392" s="2">
        <v>0</v>
      </c>
      <c r="F392" s="2">
        <v>0.3</v>
      </c>
      <c r="G392" s="2">
        <v>46.5563</v>
      </c>
      <c r="H392" s="2">
        <v>48.164700000000003</v>
      </c>
      <c r="I392" s="2">
        <v>0</v>
      </c>
      <c r="J392" s="2">
        <v>0</v>
      </c>
    </row>
    <row r="393" spans="1:10">
      <c r="A393" s="2" t="s">
        <v>148</v>
      </c>
      <c r="B393" s="2" t="s">
        <v>100</v>
      </c>
      <c r="C393" s="2">
        <v>2.2169999999999999E-2</v>
      </c>
      <c r="D393" s="60">
        <v>0</v>
      </c>
      <c r="E393" s="2">
        <v>32.897799999999997</v>
      </c>
      <c r="F393" s="2">
        <v>6.6640899999999998</v>
      </c>
      <c r="G393" s="2">
        <v>0</v>
      </c>
      <c r="H393" s="2">
        <v>10</v>
      </c>
      <c r="I393" s="2">
        <v>0</v>
      </c>
      <c r="J393" s="2">
        <v>0</v>
      </c>
    </row>
    <row r="394" spans="1:10">
      <c r="A394" s="2" t="s">
        <v>148</v>
      </c>
      <c r="B394" s="2" t="s">
        <v>98</v>
      </c>
      <c r="C394" s="2">
        <v>1.7770399999999999E-2</v>
      </c>
      <c r="D394" s="60">
        <v>0</v>
      </c>
      <c r="E394" s="2">
        <v>31.061800000000002</v>
      </c>
      <c r="F394" s="2">
        <v>1.83599</v>
      </c>
      <c r="G394" s="2">
        <v>10</v>
      </c>
      <c r="H394" s="2">
        <v>12.1775</v>
      </c>
      <c r="I394" s="2">
        <v>0</v>
      </c>
      <c r="J394" s="2">
        <v>0</v>
      </c>
    </row>
    <row r="395" spans="1:10">
      <c r="A395" s="2" t="s">
        <v>148</v>
      </c>
      <c r="B395" s="2" t="s">
        <v>101</v>
      </c>
      <c r="C395" s="2">
        <v>7.2429000000000005E-4</v>
      </c>
      <c r="D395" s="60">
        <v>0</v>
      </c>
      <c r="E395" s="2">
        <v>31</v>
      </c>
      <c r="F395" s="2">
        <v>6.18094E-2</v>
      </c>
      <c r="G395" s="2">
        <v>12.1775</v>
      </c>
      <c r="H395" s="2">
        <v>12.251899999999999</v>
      </c>
      <c r="I395" s="2">
        <v>0</v>
      </c>
      <c r="J395" s="2">
        <v>0</v>
      </c>
    </row>
    <row r="396" spans="1:10">
      <c r="A396" s="2" t="s">
        <v>148</v>
      </c>
      <c r="B396" s="2" t="s">
        <v>64</v>
      </c>
      <c r="C396" s="2">
        <v>8.2810400000000006E-2</v>
      </c>
      <c r="D396" s="60">
        <v>2.4843099999999998</v>
      </c>
      <c r="E396" s="2">
        <v>26.4</v>
      </c>
      <c r="F396" s="2">
        <v>4.5999999999999996</v>
      </c>
      <c r="G396" s="2">
        <v>12.251899999999999</v>
      </c>
      <c r="H396" s="2">
        <v>17.8628</v>
      </c>
      <c r="I396" s="2">
        <v>0</v>
      </c>
      <c r="J396" s="2">
        <v>0</v>
      </c>
    </row>
    <row r="397" spans="1:10">
      <c r="A397" s="2" t="s">
        <v>148</v>
      </c>
      <c r="B397" s="2" t="s">
        <v>61</v>
      </c>
      <c r="C397" s="2">
        <v>0.129498</v>
      </c>
      <c r="D397" s="60">
        <v>11.007400000000001</v>
      </c>
      <c r="E397" s="2">
        <v>22.4</v>
      </c>
      <c r="F397" s="2">
        <v>4</v>
      </c>
      <c r="G397" s="2">
        <v>17.8628</v>
      </c>
      <c r="H397" s="2">
        <v>22.6</v>
      </c>
      <c r="I397" s="2">
        <v>0</v>
      </c>
      <c r="J397" s="2">
        <v>0</v>
      </c>
    </row>
    <row r="398" spans="1:10">
      <c r="A398" s="2" t="s">
        <v>148</v>
      </c>
      <c r="B398" s="2" t="s">
        <v>60</v>
      </c>
      <c r="C398" s="2">
        <v>0.19375500000000001</v>
      </c>
      <c r="D398" s="60">
        <v>17.437899999999999</v>
      </c>
      <c r="E398" s="2">
        <v>18.399999999999999</v>
      </c>
      <c r="F398" s="2">
        <v>4</v>
      </c>
      <c r="G398" s="2">
        <v>22.6</v>
      </c>
      <c r="H398" s="2">
        <v>26.919899999999998</v>
      </c>
      <c r="I398" s="2">
        <v>0</v>
      </c>
      <c r="J398" s="2">
        <v>0</v>
      </c>
    </row>
    <row r="399" spans="1:10">
      <c r="A399" s="2" t="s">
        <v>148</v>
      </c>
      <c r="B399" s="2" t="s">
        <v>62</v>
      </c>
      <c r="C399" s="2">
        <v>0.26177800000000001</v>
      </c>
      <c r="D399" s="60">
        <v>20.9422</v>
      </c>
      <c r="E399" s="2">
        <v>14.4</v>
      </c>
      <c r="F399" s="2">
        <v>4</v>
      </c>
      <c r="G399" s="2">
        <v>26.919899999999998</v>
      </c>
      <c r="H399" s="2">
        <v>30.671800000000001</v>
      </c>
      <c r="I399" s="2">
        <v>0</v>
      </c>
      <c r="J399" s="2">
        <v>0</v>
      </c>
    </row>
    <row r="400" spans="1:10">
      <c r="A400" s="2" t="s">
        <v>148</v>
      </c>
      <c r="B400" s="2" t="s">
        <v>59</v>
      </c>
      <c r="C400" s="2">
        <v>0.32806299999999999</v>
      </c>
      <c r="D400" s="60">
        <v>32.8063</v>
      </c>
      <c r="E400" s="2">
        <v>10.4</v>
      </c>
      <c r="F400" s="2">
        <v>4</v>
      </c>
      <c r="G400" s="2">
        <v>30.671800000000001</v>
      </c>
      <c r="H400" s="2">
        <v>33.843000000000004</v>
      </c>
      <c r="I400" s="2">
        <v>0</v>
      </c>
      <c r="J400" s="2">
        <v>0</v>
      </c>
    </row>
    <row r="401" spans="1:10">
      <c r="A401" s="2" t="s">
        <v>148</v>
      </c>
      <c r="B401" s="2" t="s">
        <v>59</v>
      </c>
      <c r="C401" s="2">
        <v>0.39052399999999998</v>
      </c>
      <c r="D401" s="60">
        <v>39.052399999999999</v>
      </c>
      <c r="E401" s="2">
        <v>6.4</v>
      </c>
      <c r="F401" s="2">
        <v>4</v>
      </c>
      <c r="G401" s="2">
        <v>33.843000000000004</v>
      </c>
      <c r="H401" s="2">
        <v>36.624600000000001</v>
      </c>
      <c r="I401" s="2">
        <v>0</v>
      </c>
      <c r="J401" s="2">
        <v>0</v>
      </c>
    </row>
    <row r="402" spans="1:10">
      <c r="A402" s="2" t="s">
        <v>148</v>
      </c>
      <c r="B402" s="2" t="s">
        <v>56</v>
      </c>
      <c r="C402" s="2">
        <v>0.764289</v>
      </c>
      <c r="D402" s="60">
        <v>107</v>
      </c>
      <c r="E402" s="2">
        <v>0.3</v>
      </c>
      <c r="F402" s="2">
        <v>6.1</v>
      </c>
      <c r="G402" s="2">
        <v>36.624600000000001</v>
      </c>
      <c r="H402" s="2">
        <v>46.5563</v>
      </c>
      <c r="I402" s="2">
        <v>0</v>
      </c>
      <c r="J402" s="2">
        <v>0</v>
      </c>
    </row>
    <row r="403" spans="1:10">
      <c r="A403" s="2" t="s">
        <v>138</v>
      </c>
      <c r="B403" s="2">
        <v>2</v>
      </c>
      <c r="C403" s="2">
        <v>19.7301</v>
      </c>
      <c r="D403" s="60" t="s">
        <v>149</v>
      </c>
    </row>
    <row r="404" spans="1:10">
      <c r="A404" s="2" t="s">
        <v>140</v>
      </c>
      <c r="B404" s="2">
        <v>0</v>
      </c>
      <c r="C404" s="2">
        <v>54.604599999999998</v>
      </c>
      <c r="D404" s="60">
        <v>37.121000000000002</v>
      </c>
    </row>
    <row r="405" spans="1:10">
      <c r="A405" s="2" t="s">
        <v>141</v>
      </c>
      <c r="B405" s="2">
        <v>0</v>
      </c>
      <c r="C405" s="2">
        <v>7.6</v>
      </c>
      <c r="D405" s="60" t="s">
        <v>142</v>
      </c>
    </row>
    <row r="406" spans="1:10">
      <c r="A406" s="2" t="s">
        <v>141</v>
      </c>
      <c r="B406" s="2">
        <v>0</v>
      </c>
      <c r="C406" s="2">
        <v>29.939399999999999</v>
      </c>
      <c r="D406" s="60" t="s">
        <v>150</v>
      </c>
    </row>
    <row r="407" spans="1:10">
      <c r="A407" s="2" t="s">
        <v>141</v>
      </c>
      <c r="B407" s="2">
        <v>7.6</v>
      </c>
      <c r="C407" s="2">
        <v>12.1</v>
      </c>
      <c r="D407" s="60" t="s">
        <v>144</v>
      </c>
    </row>
    <row r="408" spans="1:10">
      <c r="A408" s="2" t="s">
        <v>141</v>
      </c>
      <c r="B408" s="2">
        <v>12.1</v>
      </c>
      <c r="C408" s="2">
        <v>19.100000000000001</v>
      </c>
      <c r="D408" s="60" t="s">
        <v>145</v>
      </c>
    </row>
    <row r="409" spans="1:10">
      <c r="A409" s="2" t="s">
        <v>141</v>
      </c>
      <c r="B409" s="2">
        <v>19.100000000000001</v>
      </c>
      <c r="C409" s="2">
        <v>29.939399999999999</v>
      </c>
      <c r="D409" s="60" t="s">
        <v>144</v>
      </c>
    </row>
    <row r="410" spans="1:10">
      <c r="A410" s="2" t="s">
        <v>148</v>
      </c>
      <c r="B410" s="2" t="s">
        <v>99</v>
      </c>
      <c r="C410" s="2">
        <v>7.1973400000000007E-2</v>
      </c>
      <c r="D410" s="60">
        <v>0</v>
      </c>
      <c r="E410" s="2">
        <v>0</v>
      </c>
      <c r="F410" s="2">
        <v>0.3</v>
      </c>
      <c r="G410" s="2">
        <v>54.299300000000002</v>
      </c>
      <c r="H410" s="2">
        <v>56.292000000000002</v>
      </c>
      <c r="I410" s="2">
        <v>0</v>
      </c>
      <c r="J410" s="2">
        <v>0</v>
      </c>
    </row>
    <row r="411" spans="1:10">
      <c r="A411" s="2" t="s">
        <v>148</v>
      </c>
      <c r="B411" s="2" t="s">
        <v>100</v>
      </c>
      <c r="C411" s="2">
        <v>1.7559499999999999E-2</v>
      </c>
      <c r="D411" s="60">
        <v>0</v>
      </c>
      <c r="E411" s="2">
        <v>32.041800000000002</v>
      </c>
      <c r="F411" s="2">
        <v>5.0791899999999996</v>
      </c>
      <c r="G411" s="2">
        <v>0</v>
      </c>
      <c r="H411" s="2">
        <v>10</v>
      </c>
      <c r="I411" s="2">
        <v>0</v>
      </c>
      <c r="J411" s="2">
        <v>0</v>
      </c>
    </row>
    <row r="412" spans="1:10">
      <c r="A412" s="2" t="s">
        <v>148</v>
      </c>
      <c r="B412" s="2" t="s">
        <v>98</v>
      </c>
      <c r="C412" s="2">
        <v>0.30858600000000003</v>
      </c>
      <c r="D412" s="60">
        <v>0</v>
      </c>
      <c r="E412" s="2">
        <v>20.9831</v>
      </c>
      <c r="F412" s="2">
        <v>11.0588</v>
      </c>
      <c r="G412" s="2">
        <v>10</v>
      </c>
      <c r="H412" s="2">
        <v>26.463100000000001</v>
      </c>
      <c r="I412" s="2">
        <v>0</v>
      </c>
      <c r="J412" s="2">
        <v>0</v>
      </c>
    </row>
    <row r="413" spans="1:10">
      <c r="A413" s="2" t="s">
        <v>148</v>
      </c>
      <c r="B413" s="2" t="s">
        <v>101</v>
      </c>
      <c r="C413" s="2">
        <v>3.30791E-2</v>
      </c>
      <c r="D413" s="60">
        <v>0</v>
      </c>
      <c r="E413" s="2">
        <v>20.399999999999999</v>
      </c>
      <c r="F413" s="2">
        <v>0.58308700000000002</v>
      </c>
      <c r="G413" s="2">
        <v>26.463100000000001</v>
      </c>
      <c r="H413" s="2">
        <v>27.284800000000001</v>
      </c>
      <c r="I413" s="2">
        <v>0</v>
      </c>
      <c r="J413" s="2">
        <v>0</v>
      </c>
    </row>
    <row r="414" spans="1:10">
      <c r="A414" s="2" t="s">
        <v>148</v>
      </c>
      <c r="B414" s="2" t="s">
        <v>60</v>
      </c>
      <c r="C414" s="2">
        <v>0.28289900000000001</v>
      </c>
      <c r="D414" s="60">
        <v>25.460899999999999</v>
      </c>
      <c r="E414" s="2">
        <v>16.399999999999999</v>
      </c>
      <c r="F414" s="2">
        <v>4</v>
      </c>
      <c r="G414" s="2">
        <v>27.284800000000001</v>
      </c>
      <c r="H414" s="2">
        <v>32.5349</v>
      </c>
      <c r="I414" s="2">
        <v>0</v>
      </c>
      <c r="J414" s="2">
        <v>0</v>
      </c>
    </row>
    <row r="415" spans="1:10">
      <c r="A415" s="2" t="s">
        <v>148</v>
      </c>
      <c r="B415" s="2" t="s">
        <v>59</v>
      </c>
      <c r="C415" s="2">
        <v>0.38185200000000002</v>
      </c>
      <c r="D415" s="60">
        <v>38.185200000000002</v>
      </c>
      <c r="E415" s="2">
        <v>12.4</v>
      </c>
      <c r="F415" s="2">
        <v>4</v>
      </c>
      <c r="G415" s="2">
        <v>32.5349</v>
      </c>
      <c r="H415" s="2">
        <v>37.011600000000001</v>
      </c>
      <c r="I415" s="2">
        <v>0</v>
      </c>
      <c r="J415" s="2">
        <v>0</v>
      </c>
    </row>
    <row r="416" spans="1:10">
      <c r="A416" s="2" t="s">
        <v>148</v>
      </c>
      <c r="B416" s="2" t="s">
        <v>59</v>
      </c>
      <c r="C416" s="2">
        <v>0.748722</v>
      </c>
      <c r="D416" s="60">
        <v>74.872200000000007</v>
      </c>
      <c r="E416" s="2">
        <v>6.4</v>
      </c>
      <c r="F416" s="2">
        <v>6</v>
      </c>
      <c r="G416" s="2">
        <v>37.011600000000001</v>
      </c>
      <c r="H416" s="2">
        <v>42.466099999999997</v>
      </c>
      <c r="I416" s="2">
        <v>0</v>
      </c>
      <c r="J416" s="2">
        <v>0</v>
      </c>
    </row>
    <row r="417" spans="1:10">
      <c r="A417" s="2" t="s">
        <v>148</v>
      </c>
      <c r="B417" s="2" t="s">
        <v>55</v>
      </c>
      <c r="C417" s="2">
        <v>1.03165</v>
      </c>
      <c r="D417" s="60">
        <v>149.589</v>
      </c>
      <c r="E417" s="2">
        <v>0.3</v>
      </c>
      <c r="F417" s="2">
        <v>6.1</v>
      </c>
      <c r="G417" s="2">
        <v>42.466099999999997</v>
      </c>
      <c r="H417" s="2">
        <v>54.299300000000002</v>
      </c>
      <c r="I417" s="2">
        <v>0</v>
      </c>
      <c r="J417" s="2">
        <v>0</v>
      </c>
    </row>
    <row r="418" spans="1:10">
      <c r="A418" s="2" t="s">
        <v>138</v>
      </c>
      <c r="B418" s="2">
        <v>3</v>
      </c>
      <c r="C418" s="2">
        <v>19.862500000000001</v>
      </c>
      <c r="D418" s="60" t="s">
        <v>149</v>
      </c>
    </row>
    <row r="419" spans="1:10">
      <c r="A419" s="2" t="s">
        <v>140</v>
      </c>
      <c r="B419" s="2">
        <v>0</v>
      </c>
      <c r="C419" s="2">
        <v>65.903599999999997</v>
      </c>
      <c r="D419" s="60">
        <v>38.945999999999998</v>
      </c>
    </row>
    <row r="420" spans="1:10">
      <c r="A420" s="2" t="s">
        <v>141</v>
      </c>
      <c r="B420" s="2">
        <v>0</v>
      </c>
      <c r="C420" s="2">
        <v>6.9</v>
      </c>
      <c r="D420" s="60" t="s">
        <v>142</v>
      </c>
    </row>
    <row r="421" spans="1:10">
      <c r="A421" s="2" t="s">
        <v>141</v>
      </c>
      <c r="B421" s="2">
        <v>0</v>
      </c>
      <c r="C421" s="2">
        <v>17.7</v>
      </c>
      <c r="D421" s="60" t="s">
        <v>146</v>
      </c>
    </row>
    <row r="422" spans="1:10">
      <c r="A422" s="2" t="s">
        <v>141</v>
      </c>
      <c r="B422" s="2">
        <v>6.9</v>
      </c>
      <c r="C422" s="2">
        <v>16.899999999999999</v>
      </c>
      <c r="D422" s="60" t="s">
        <v>147</v>
      </c>
    </row>
    <row r="423" spans="1:10">
      <c r="A423" s="2" t="s">
        <v>141</v>
      </c>
      <c r="B423" s="2">
        <v>16.899999999999999</v>
      </c>
      <c r="C423" s="2">
        <v>17.7</v>
      </c>
      <c r="D423" s="60" t="s">
        <v>151</v>
      </c>
    </row>
    <row r="424" spans="1:10">
      <c r="A424" s="2" t="s">
        <v>141</v>
      </c>
      <c r="B424" s="2">
        <v>17.7</v>
      </c>
      <c r="C424" s="2">
        <v>20.100000000000001</v>
      </c>
      <c r="D424" s="60" t="s">
        <v>145</v>
      </c>
    </row>
    <row r="425" spans="1:10">
      <c r="A425" s="2" t="s">
        <v>141</v>
      </c>
      <c r="B425" s="2">
        <v>17.7</v>
      </c>
      <c r="C425" s="2">
        <v>20.100000000000001</v>
      </c>
      <c r="D425" s="60" t="s">
        <v>152</v>
      </c>
    </row>
    <row r="426" spans="1:10">
      <c r="A426" s="2" t="s">
        <v>141</v>
      </c>
      <c r="B426" s="2">
        <v>20.100000000000001</v>
      </c>
      <c r="C426" s="2">
        <v>20.399999999999999</v>
      </c>
      <c r="D426" s="60" t="s">
        <v>153</v>
      </c>
    </row>
    <row r="427" spans="1:10">
      <c r="A427" s="2" t="s">
        <v>141</v>
      </c>
      <c r="B427" s="2">
        <v>20.100000000000001</v>
      </c>
      <c r="C427" s="2">
        <v>20.399999999999999</v>
      </c>
      <c r="D427" s="60" t="s">
        <v>154</v>
      </c>
    </row>
    <row r="428" spans="1:10">
      <c r="A428" s="2" t="s">
        <v>141</v>
      </c>
      <c r="B428" s="2">
        <v>20.100000000000001</v>
      </c>
      <c r="C428" s="2">
        <v>31.330500000000001</v>
      </c>
      <c r="D428" s="60" t="s">
        <v>144</v>
      </c>
    </row>
    <row r="429" spans="1:10">
      <c r="A429" s="2" t="s">
        <v>141</v>
      </c>
      <c r="B429" s="2">
        <v>20.100000000000001</v>
      </c>
      <c r="C429" s="2">
        <v>31.330500000000001</v>
      </c>
      <c r="D429" s="60" t="s">
        <v>155</v>
      </c>
    </row>
    <row r="430" spans="1:10">
      <c r="A430" s="2" t="s">
        <v>156</v>
      </c>
      <c r="B430" s="2">
        <v>20.100000000000001</v>
      </c>
      <c r="C430" s="2">
        <v>44.4071</v>
      </c>
    </row>
    <row r="431" spans="1:10">
      <c r="A431" s="2" t="s">
        <v>148</v>
      </c>
      <c r="B431" s="2" t="s">
        <v>99</v>
      </c>
      <c r="C431" s="2">
        <v>0.101122</v>
      </c>
      <c r="D431" s="60">
        <v>0</v>
      </c>
      <c r="E431" s="2">
        <v>0</v>
      </c>
      <c r="F431" s="2">
        <v>0.3</v>
      </c>
      <c r="G431" s="2">
        <v>64.411000000000001</v>
      </c>
      <c r="H431" s="2">
        <v>66.669700000000006</v>
      </c>
      <c r="I431" s="2">
        <v>0</v>
      </c>
      <c r="J431" s="2">
        <v>0</v>
      </c>
    </row>
    <row r="432" spans="1:10">
      <c r="A432" s="2" t="s">
        <v>148</v>
      </c>
      <c r="B432" s="2" t="s">
        <v>100</v>
      </c>
      <c r="C432" s="2">
        <v>2.2469300000000001E-2</v>
      </c>
      <c r="D432" s="60">
        <v>0</v>
      </c>
      <c r="E432" s="2">
        <v>32.143700000000003</v>
      </c>
      <c r="F432" s="2">
        <v>6.8022900000000002</v>
      </c>
      <c r="G432" s="2">
        <v>0</v>
      </c>
      <c r="H432" s="2">
        <v>10</v>
      </c>
      <c r="I432" s="2">
        <v>0</v>
      </c>
      <c r="J432" s="2">
        <v>0</v>
      </c>
    </row>
    <row r="433" spans="1:10">
      <c r="A433" s="2" t="s">
        <v>148</v>
      </c>
      <c r="B433" s="2" t="s">
        <v>98</v>
      </c>
      <c r="C433" s="2">
        <v>2.99812E-2</v>
      </c>
      <c r="D433" s="60">
        <v>0</v>
      </c>
      <c r="E433" s="2">
        <v>29.347100000000001</v>
      </c>
      <c r="F433" s="2">
        <v>2.7965800000000001</v>
      </c>
      <c r="G433" s="2">
        <v>10</v>
      </c>
      <c r="H433" s="2">
        <v>13.3095</v>
      </c>
      <c r="I433" s="2">
        <v>0</v>
      </c>
      <c r="J433" s="2">
        <v>0</v>
      </c>
    </row>
    <row r="434" spans="1:10">
      <c r="A434" s="2" t="s">
        <v>148</v>
      </c>
      <c r="B434" s="2" t="s">
        <v>101</v>
      </c>
      <c r="C434" s="2">
        <v>1.4339299999999999E-2</v>
      </c>
      <c r="D434" s="60">
        <v>0</v>
      </c>
      <c r="E434" s="2">
        <v>28.4</v>
      </c>
      <c r="F434" s="2">
        <v>0.947106</v>
      </c>
      <c r="G434" s="2">
        <v>13.3095</v>
      </c>
      <c r="H434" s="2">
        <v>14.452</v>
      </c>
      <c r="I434" s="2">
        <v>0</v>
      </c>
      <c r="J434" s="2">
        <v>0</v>
      </c>
    </row>
    <row r="435" spans="1:10">
      <c r="A435" s="2" t="s">
        <v>148</v>
      </c>
      <c r="B435" s="2" t="s">
        <v>63</v>
      </c>
      <c r="C435" s="2">
        <v>8.9951400000000001E-2</v>
      </c>
      <c r="D435" s="60">
        <v>6.2965999999999998</v>
      </c>
      <c r="E435" s="2">
        <v>24.4</v>
      </c>
      <c r="F435" s="2">
        <v>4</v>
      </c>
      <c r="G435" s="2">
        <v>14.452</v>
      </c>
      <c r="H435" s="2">
        <v>19.2561</v>
      </c>
      <c r="I435" s="2">
        <v>0</v>
      </c>
      <c r="J435" s="2">
        <v>0</v>
      </c>
    </row>
    <row r="436" spans="1:10">
      <c r="A436" s="2" t="s">
        <v>148</v>
      </c>
      <c r="B436" s="2" t="s">
        <v>63</v>
      </c>
      <c r="C436" s="2">
        <v>0.14652699999999999</v>
      </c>
      <c r="D436" s="60">
        <v>10.2569</v>
      </c>
      <c r="E436" s="2">
        <v>20.399999999999999</v>
      </c>
      <c r="F436" s="2">
        <v>4</v>
      </c>
      <c r="G436" s="2">
        <v>19.2561</v>
      </c>
      <c r="H436" s="2">
        <v>23.7897</v>
      </c>
      <c r="I436" s="2">
        <v>0</v>
      </c>
      <c r="J436" s="2">
        <v>0</v>
      </c>
    </row>
    <row r="437" spans="1:10">
      <c r="A437" s="2" t="s">
        <v>148</v>
      </c>
      <c r="B437" s="2" t="s">
        <v>101</v>
      </c>
      <c r="C437" s="2">
        <v>1.3516500000000001E-2</v>
      </c>
      <c r="D437" s="60">
        <v>0</v>
      </c>
      <c r="E437" s="2">
        <v>20.100000000000001</v>
      </c>
      <c r="F437" s="2">
        <v>0.3</v>
      </c>
      <c r="G437" s="2">
        <v>23.7897</v>
      </c>
      <c r="H437" s="2">
        <v>34.335299999999997</v>
      </c>
      <c r="I437" s="2">
        <v>0</v>
      </c>
      <c r="J437" s="2">
        <v>0</v>
      </c>
    </row>
    <row r="438" spans="1:10">
      <c r="A438" s="2" t="s">
        <v>148</v>
      </c>
      <c r="B438" s="2" t="s">
        <v>64</v>
      </c>
      <c r="C438" s="2">
        <v>0.39933400000000002</v>
      </c>
      <c r="D438" s="60">
        <v>11.98</v>
      </c>
      <c r="E438" s="2">
        <v>16.399999999999999</v>
      </c>
      <c r="F438" s="2">
        <v>3.7</v>
      </c>
      <c r="G438" s="2">
        <v>34.335299999999997</v>
      </c>
      <c r="H438" s="2">
        <v>39.624899999999997</v>
      </c>
      <c r="I438" s="2">
        <v>0</v>
      </c>
      <c r="J438" s="2">
        <v>0</v>
      </c>
    </row>
    <row r="439" spans="1:10">
      <c r="A439" s="2" t="s">
        <v>148</v>
      </c>
      <c r="B439" s="2" t="s">
        <v>59</v>
      </c>
      <c r="C439" s="2">
        <v>0.55869599999999997</v>
      </c>
      <c r="D439" s="60">
        <v>55.869599999999998</v>
      </c>
      <c r="E439" s="2">
        <v>12.4</v>
      </c>
      <c r="F439" s="2">
        <v>4</v>
      </c>
      <c r="G439" s="2">
        <v>39.624899999999997</v>
      </c>
      <c r="H439" s="2">
        <v>44.527900000000002</v>
      </c>
      <c r="I439" s="2">
        <v>0</v>
      </c>
      <c r="J439" s="2">
        <v>0</v>
      </c>
    </row>
    <row r="440" spans="1:10">
      <c r="A440" s="2" t="s">
        <v>148</v>
      </c>
      <c r="B440" s="2" t="s">
        <v>58</v>
      </c>
      <c r="C440" s="2">
        <v>1.07128</v>
      </c>
      <c r="D440" s="60">
        <v>112.48399999999999</v>
      </c>
      <c r="E440" s="2">
        <v>6.4</v>
      </c>
      <c r="F440" s="2">
        <v>6</v>
      </c>
      <c r="G440" s="2">
        <v>44.527900000000002</v>
      </c>
      <c r="H440" s="2">
        <v>50.598999999999997</v>
      </c>
      <c r="I440" s="2">
        <v>0</v>
      </c>
      <c r="J440" s="2">
        <v>0</v>
      </c>
    </row>
    <row r="441" spans="1:10">
      <c r="A441" s="2" t="s">
        <v>148</v>
      </c>
      <c r="B441" s="2" t="s">
        <v>55</v>
      </c>
      <c r="C441" s="2">
        <v>1.46014</v>
      </c>
      <c r="D441" s="60">
        <v>211.72</v>
      </c>
      <c r="E441" s="2">
        <v>0.3</v>
      </c>
      <c r="F441" s="2">
        <v>6.1</v>
      </c>
      <c r="G441" s="2">
        <v>50.598999999999997</v>
      </c>
      <c r="H441" s="2">
        <v>64.411000000000001</v>
      </c>
      <c r="I441" s="2">
        <v>0</v>
      </c>
      <c r="J441" s="2">
        <v>0</v>
      </c>
    </row>
    <row r="442" spans="1:10">
      <c r="A442" s="2" t="s">
        <v>140</v>
      </c>
      <c r="B442" s="2">
        <v>1</v>
      </c>
      <c r="C442" s="2">
        <v>44.4071</v>
      </c>
      <c r="D442" s="60">
        <v>38.945999999999998</v>
      </c>
      <c r="E442" s="2">
        <v>20.100000000000001</v>
      </c>
    </row>
    <row r="443" spans="1:10">
      <c r="A443" s="2" t="s">
        <v>141</v>
      </c>
      <c r="B443" s="2">
        <v>20.100000000000001</v>
      </c>
      <c r="C443" s="2">
        <v>20.399999999999999</v>
      </c>
      <c r="D443" s="60" t="s">
        <v>153</v>
      </c>
    </row>
    <row r="444" spans="1:10">
      <c r="A444" s="2" t="s">
        <v>141</v>
      </c>
      <c r="B444" s="2">
        <v>20.100000000000001</v>
      </c>
      <c r="C444" s="2">
        <v>31.330500000000001</v>
      </c>
      <c r="D444" s="60" t="s">
        <v>144</v>
      </c>
    </row>
    <row r="445" spans="1:10">
      <c r="A445" s="2" t="s">
        <v>141</v>
      </c>
      <c r="B445" s="2">
        <v>20.100000000000001</v>
      </c>
      <c r="C445" s="2">
        <v>31.330500000000001</v>
      </c>
      <c r="D445" s="60" t="s">
        <v>155</v>
      </c>
    </row>
    <row r="446" spans="1:10">
      <c r="A446" s="2" t="s">
        <v>148</v>
      </c>
      <c r="B446" s="2" t="s">
        <v>100</v>
      </c>
      <c r="C446" s="2">
        <v>2.2469300000000001E-2</v>
      </c>
      <c r="D446" s="60">
        <v>0</v>
      </c>
      <c r="E446" s="2">
        <v>32.143700000000003</v>
      </c>
      <c r="F446" s="2">
        <v>6.8022900000000002</v>
      </c>
      <c r="G446" s="2">
        <v>0</v>
      </c>
      <c r="H446" s="2">
        <v>10</v>
      </c>
      <c r="I446" s="2">
        <v>0</v>
      </c>
      <c r="J446" s="2">
        <v>0</v>
      </c>
    </row>
    <row r="447" spans="1:10">
      <c r="A447" s="2" t="s">
        <v>148</v>
      </c>
      <c r="B447" s="2" t="s">
        <v>98</v>
      </c>
      <c r="C447" s="2">
        <v>0.28099600000000002</v>
      </c>
      <c r="D447" s="60">
        <v>0</v>
      </c>
      <c r="E447" s="2">
        <v>20.395600000000002</v>
      </c>
      <c r="F447" s="2">
        <v>11.748100000000001</v>
      </c>
      <c r="G447" s="2">
        <v>10</v>
      </c>
      <c r="H447" s="2">
        <v>23.794499999999999</v>
      </c>
      <c r="I447" s="2">
        <v>0</v>
      </c>
      <c r="J447" s="2">
        <v>0</v>
      </c>
    </row>
    <row r="448" spans="1:10">
      <c r="A448" s="2" t="s">
        <v>148</v>
      </c>
      <c r="B448" s="2" t="s">
        <v>101</v>
      </c>
      <c r="C448" s="2">
        <v>1.3319299999999999E-2</v>
      </c>
      <c r="D448" s="60">
        <v>0</v>
      </c>
      <c r="E448" s="2">
        <v>20.100000000000001</v>
      </c>
      <c r="F448" s="2">
        <v>0.295566</v>
      </c>
      <c r="G448" s="2">
        <v>23.794499999999999</v>
      </c>
      <c r="H448" s="2">
        <v>24.111699999999999</v>
      </c>
      <c r="I448" s="2">
        <v>0</v>
      </c>
      <c r="J448" s="2">
        <v>0</v>
      </c>
    </row>
    <row r="449" spans="1:10">
      <c r="A449" s="2" t="s">
        <v>138</v>
      </c>
      <c r="B449" s="2">
        <v>5</v>
      </c>
      <c r="C449" s="2">
        <v>19.916499999999999</v>
      </c>
      <c r="D449" s="60" t="s">
        <v>149</v>
      </c>
    </row>
    <row r="450" spans="1:10">
      <c r="A450" s="2" t="s">
        <v>140</v>
      </c>
      <c r="B450" s="2">
        <v>0</v>
      </c>
      <c r="C450" s="2">
        <v>75.712400000000002</v>
      </c>
      <c r="D450" s="60">
        <v>40.207099999999997</v>
      </c>
    </row>
    <row r="451" spans="1:10">
      <c r="A451" s="2" t="s">
        <v>141</v>
      </c>
      <c r="B451" s="2">
        <v>0</v>
      </c>
      <c r="C451" s="2">
        <v>2.2999999999999998</v>
      </c>
      <c r="D451" s="60" t="s">
        <v>157</v>
      </c>
    </row>
    <row r="452" spans="1:10">
      <c r="A452" s="2" t="s">
        <v>141</v>
      </c>
      <c r="B452" s="2">
        <v>0</v>
      </c>
      <c r="C452" s="2">
        <v>6.5</v>
      </c>
      <c r="D452" s="60" t="s">
        <v>142</v>
      </c>
    </row>
    <row r="453" spans="1:10">
      <c r="A453" s="2" t="s">
        <v>141</v>
      </c>
      <c r="B453" s="2">
        <v>0</v>
      </c>
      <c r="C453" s="2">
        <v>14.3</v>
      </c>
      <c r="D453" s="60" t="s">
        <v>143</v>
      </c>
    </row>
    <row r="454" spans="1:10">
      <c r="A454" s="2" t="s">
        <v>141</v>
      </c>
      <c r="B454" s="2">
        <v>6.5</v>
      </c>
      <c r="C454" s="2">
        <v>13.1</v>
      </c>
      <c r="D454" s="60" t="s">
        <v>147</v>
      </c>
    </row>
    <row r="455" spans="1:10">
      <c r="A455" s="2" t="s">
        <v>141</v>
      </c>
      <c r="B455" s="2">
        <v>13.1</v>
      </c>
      <c r="C455" s="2">
        <v>14.3</v>
      </c>
      <c r="D455" s="60" t="s">
        <v>151</v>
      </c>
    </row>
    <row r="456" spans="1:10">
      <c r="A456" s="2" t="s">
        <v>141</v>
      </c>
      <c r="B456" s="2">
        <v>14.3</v>
      </c>
      <c r="C456" s="2">
        <v>14.6</v>
      </c>
      <c r="D456" s="60" t="s">
        <v>153</v>
      </c>
    </row>
    <row r="457" spans="1:10">
      <c r="A457" s="2" t="s">
        <v>141</v>
      </c>
      <c r="B457" s="2">
        <v>14.3</v>
      </c>
      <c r="C457" s="2">
        <v>14.6</v>
      </c>
      <c r="D457" s="60" t="s">
        <v>154</v>
      </c>
    </row>
    <row r="458" spans="1:10">
      <c r="A458" s="2" t="s">
        <v>141</v>
      </c>
      <c r="B458" s="2">
        <v>14.3</v>
      </c>
      <c r="C458" s="2">
        <v>32.291800000000002</v>
      </c>
      <c r="D458" s="60" t="s">
        <v>144</v>
      </c>
    </row>
    <row r="459" spans="1:10">
      <c r="A459" s="2" t="s">
        <v>141</v>
      </c>
      <c r="B459" s="2">
        <v>14.3</v>
      </c>
      <c r="C459" s="2">
        <v>32.291800000000002</v>
      </c>
      <c r="D459" s="60" t="s">
        <v>155</v>
      </c>
    </row>
    <row r="460" spans="1:10">
      <c r="A460" s="2" t="s">
        <v>156</v>
      </c>
      <c r="B460" s="2">
        <v>14.3</v>
      </c>
      <c r="C460" s="2">
        <v>52.602600000000002</v>
      </c>
    </row>
    <row r="461" spans="1:10">
      <c r="A461" s="2" t="s">
        <v>148</v>
      </c>
      <c r="B461" s="2" t="s">
        <v>99</v>
      </c>
      <c r="C461" s="2">
        <v>0.12992400000000001</v>
      </c>
      <c r="D461" s="60">
        <v>0</v>
      </c>
      <c r="E461" s="2">
        <v>0</v>
      </c>
      <c r="F461" s="2">
        <v>0.3</v>
      </c>
      <c r="G461" s="2">
        <v>73.045699999999997</v>
      </c>
      <c r="H461" s="2">
        <v>75.530799999999999</v>
      </c>
      <c r="I461" s="2">
        <v>0</v>
      </c>
      <c r="J461" s="2">
        <v>0</v>
      </c>
    </row>
    <row r="462" spans="1:10">
      <c r="A462" s="2" t="s">
        <v>148</v>
      </c>
      <c r="B462" s="2" t="s">
        <v>100</v>
      </c>
      <c r="C462" s="2">
        <v>1.9722799999999999E-2</v>
      </c>
      <c r="D462" s="60">
        <v>0</v>
      </c>
      <c r="E462" s="2">
        <v>34.457799999999999</v>
      </c>
      <c r="F462" s="2">
        <v>5.7492400000000004</v>
      </c>
      <c r="G462" s="2">
        <v>0</v>
      </c>
      <c r="H462" s="2">
        <v>10</v>
      </c>
      <c r="I462" s="2">
        <v>0</v>
      </c>
      <c r="J462" s="2">
        <v>0</v>
      </c>
    </row>
    <row r="463" spans="1:10">
      <c r="A463" s="2" t="s">
        <v>148</v>
      </c>
      <c r="B463" s="2" t="s">
        <v>98</v>
      </c>
      <c r="C463" s="2">
        <v>0.20469300000000001</v>
      </c>
      <c r="D463" s="60">
        <v>0</v>
      </c>
      <c r="E463" s="2">
        <v>25.0639</v>
      </c>
      <c r="F463" s="2">
        <v>9.3939800000000009</v>
      </c>
      <c r="G463" s="2">
        <v>10</v>
      </c>
      <c r="H463" s="2">
        <v>22.589500000000001</v>
      </c>
      <c r="I463" s="2">
        <v>0</v>
      </c>
      <c r="J463" s="2">
        <v>0</v>
      </c>
    </row>
    <row r="464" spans="1:10">
      <c r="A464" s="2" t="s">
        <v>148</v>
      </c>
      <c r="B464" s="2" t="s">
        <v>101</v>
      </c>
      <c r="C464" s="2">
        <v>1.9100300000000001E-2</v>
      </c>
      <c r="D464" s="60">
        <v>0</v>
      </c>
      <c r="E464" s="2">
        <v>24.6</v>
      </c>
      <c r="F464" s="2">
        <v>0.46385500000000002</v>
      </c>
      <c r="G464" s="2">
        <v>22.589500000000001</v>
      </c>
      <c r="H464" s="2">
        <v>23.202999999999999</v>
      </c>
      <c r="I464" s="2">
        <v>0</v>
      </c>
      <c r="J464" s="2">
        <v>0</v>
      </c>
    </row>
    <row r="465" spans="1:10">
      <c r="A465" s="2" t="s">
        <v>148</v>
      </c>
      <c r="B465" s="2" t="s">
        <v>63</v>
      </c>
      <c r="C465" s="2">
        <v>0.20929300000000001</v>
      </c>
      <c r="D465" s="60">
        <v>14.650499999999999</v>
      </c>
      <c r="E465" s="2">
        <v>20.6</v>
      </c>
      <c r="F465" s="2">
        <v>4</v>
      </c>
      <c r="G465" s="2">
        <v>23.202999999999999</v>
      </c>
      <c r="H465" s="2">
        <v>28.257000000000001</v>
      </c>
      <c r="I465" s="2">
        <v>0</v>
      </c>
      <c r="J465" s="2">
        <v>0</v>
      </c>
    </row>
    <row r="466" spans="1:10">
      <c r="A466" s="2" t="s">
        <v>148</v>
      </c>
      <c r="B466" s="2" t="s">
        <v>62</v>
      </c>
      <c r="C466" s="2">
        <v>0.472945</v>
      </c>
      <c r="D466" s="60">
        <v>37.835599999999999</v>
      </c>
      <c r="E466" s="2">
        <v>14.6</v>
      </c>
      <c r="F466" s="2">
        <v>6</v>
      </c>
      <c r="G466" s="2">
        <v>28.257000000000001</v>
      </c>
      <c r="H466" s="2">
        <v>34.749200000000002</v>
      </c>
      <c r="I466" s="2">
        <v>0</v>
      </c>
      <c r="J466" s="2">
        <v>0</v>
      </c>
    </row>
    <row r="467" spans="1:10">
      <c r="A467" s="2" t="s">
        <v>148</v>
      </c>
      <c r="B467" s="2" t="s">
        <v>101</v>
      </c>
      <c r="C467" s="2">
        <v>4.72425E-2</v>
      </c>
      <c r="D467" s="60">
        <v>0</v>
      </c>
      <c r="E467" s="2">
        <v>14.2</v>
      </c>
      <c r="F467" s="2">
        <v>0.4</v>
      </c>
      <c r="G467" s="2">
        <v>34.749200000000002</v>
      </c>
      <c r="H467" s="2">
        <v>48.672199999999997</v>
      </c>
      <c r="I467" s="2">
        <v>0</v>
      </c>
      <c r="J467" s="2">
        <v>0</v>
      </c>
    </row>
    <row r="468" spans="1:10">
      <c r="A468" s="2" t="s">
        <v>148</v>
      </c>
      <c r="B468" s="2" t="s">
        <v>62</v>
      </c>
      <c r="C468" s="2">
        <v>0.82236600000000004</v>
      </c>
      <c r="D468" s="60">
        <v>65.789299999999997</v>
      </c>
      <c r="E468" s="2">
        <v>10.199999999999999</v>
      </c>
      <c r="F468" s="2">
        <v>4</v>
      </c>
      <c r="G468" s="2">
        <v>48.672199999999997</v>
      </c>
      <c r="H468" s="2">
        <v>53.485199999999999</v>
      </c>
      <c r="I468" s="2">
        <v>0</v>
      </c>
      <c r="J468" s="2">
        <v>0</v>
      </c>
    </row>
    <row r="469" spans="1:10">
      <c r="A469" s="2" t="s">
        <v>148</v>
      </c>
      <c r="B469" s="2" t="s">
        <v>58</v>
      </c>
      <c r="C469" s="2">
        <v>0.97293099999999999</v>
      </c>
      <c r="D469" s="60">
        <v>102.158</v>
      </c>
      <c r="E469" s="2">
        <v>6.2</v>
      </c>
      <c r="F469" s="2">
        <v>4</v>
      </c>
      <c r="G469" s="2">
        <v>53.485199999999999</v>
      </c>
      <c r="H469" s="2">
        <v>57.761200000000002</v>
      </c>
      <c r="I469" s="2">
        <v>0</v>
      </c>
      <c r="J469" s="2">
        <v>0</v>
      </c>
    </row>
    <row r="470" spans="1:10">
      <c r="A470" s="2" t="s">
        <v>148</v>
      </c>
      <c r="B470" s="2" t="s">
        <v>55</v>
      </c>
      <c r="C470" s="2">
        <v>1.8329200000000001</v>
      </c>
      <c r="D470" s="60">
        <v>265.77300000000002</v>
      </c>
      <c r="E470" s="2">
        <v>0.3</v>
      </c>
      <c r="F470" s="2">
        <v>5.9</v>
      </c>
      <c r="G470" s="2">
        <v>57.761200000000002</v>
      </c>
      <c r="H470" s="2">
        <v>73.045699999999997</v>
      </c>
      <c r="I470" s="2">
        <v>0</v>
      </c>
      <c r="J470" s="2">
        <v>0</v>
      </c>
    </row>
    <row r="471" spans="1:10">
      <c r="A471" s="2" t="s">
        <v>140</v>
      </c>
      <c r="B471" s="2">
        <v>1</v>
      </c>
      <c r="C471" s="2">
        <v>50.656100000000002</v>
      </c>
      <c r="D471" s="60">
        <v>40.207099999999997</v>
      </c>
      <c r="E471" s="2">
        <v>14.3</v>
      </c>
    </row>
    <row r="472" spans="1:10">
      <c r="A472" s="2" t="s">
        <v>141</v>
      </c>
      <c r="B472" s="2">
        <v>14.3</v>
      </c>
      <c r="C472" s="2">
        <v>14.6</v>
      </c>
      <c r="D472" s="60" t="s">
        <v>153</v>
      </c>
    </row>
    <row r="473" spans="1:10">
      <c r="A473" s="2" t="s">
        <v>141</v>
      </c>
      <c r="B473" s="2">
        <v>14.3</v>
      </c>
      <c r="C473" s="2">
        <v>32.291800000000002</v>
      </c>
      <c r="D473" s="60" t="s">
        <v>144</v>
      </c>
    </row>
    <row r="474" spans="1:10">
      <c r="A474" s="2" t="s">
        <v>141</v>
      </c>
      <c r="B474" s="2">
        <v>14.3</v>
      </c>
      <c r="C474" s="2">
        <v>32.291800000000002</v>
      </c>
      <c r="D474" s="60" t="s">
        <v>155</v>
      </c>
    </row>
    <row r="475" spans="1:10">
      <c r="A475" s="2" t="s">
        <v>148</v>
      </c>
      <c r="B475" s="2" t="s">
        <v>100</v>
      </c>
      <c r="C475" s="2">
        <v>2.0473600000000002E-2</v>
      </c>
      <c r="D475" s="60">
        <v>0</v>
      </c>
      <c r="E475" s="2">
        <v>34.189500000000002</v>
      </c>
      <c r="F475" s="2">
        <v>6.0176100000000003</v>
      </c>
      <c r="G475" s="2">
        <v>0</v>
      </c>
      <c r="H475" s="2">
        <v>10</v>
      </c>
      <c r="I475" s="2">
        <v>0</v>
      </c>
      <c r="J475" s="2">
        <v>0</v>
      </c>
    </row>
    <row r="476" spans="1:10">
      <c r="A476" s="2" t="s">
        <v>148</v>
      </c>
      <c r="B476" s="2" t="s">
        <v>98</v>
      </c>
      <c r="C476" s="2">
        <v>0.211425</v>
      </c>
      <c r="D476" s="60">
        <v>0</v>
      </c>
      <c r="E476" s="2">
        <v>24.4923</v>
      </c>
      <c r="F476" s="2">
        <v>9.6971500000000006</v>
      </c>
      <c r="G476" s="2">
        <v>10</v>
      </c>
      <c r="H476" s="2">
        <v>22.569900000000001</v>
      </c>
      <c r="I476" s="2">
        <v>0</v>
      </c>
      <c r="J476" s="2">
        <v>0</v>
      </c>
    </row>
    <row r="477" spans="1:10">
      <c r="A477" s="2" t="s">
        <v>148</v>
      </c>
      <c r="B477" s="2" t="s">
        <v>101</v>
      </c>
      <c r="C477" s="2">
        <v>8.3965999999999999E-2</v>
      </c>
      <c r="D477" s="60">
        <v>0</v>
      </c>
      <c r="E477" s="2">
        <v>22.6</v>
      </c>
      <c r="F477" s="2">
        <v>1.89232</v>
      </c>
      <c r="G477" s="2">
        <v>22.569900000000001</v>
      </c>
      <c r="H477" s="2">
        <v>24.933299999999999</v>
      </c>
      <c r="I477" s="2">
        <v>0</v>
      </c>
      <c r="J477" s="2">
        <v>0</v>
      </c>
    </row>
    <row r="478" spans="1:10">
      <c r="A478" s="2" t="s">
        <v>148</v>
      </c>
      <c r="B478" s="2" t="s">
        <v>63</v>
      </c>
      <c r="C478" s="2">
        <v>0.23463200000000001</v>
      </c>
      <c r="D478" s="60">
        <v>16.424299999999999</v>
      </c>
      <c r="E478" s="2">
        <v>18.600000000000001</v>
      </c>
      <c r="F478" s="2">
        <v>4</v>
      </c>
      <c r="G478" s="2">
        <v>24.933299999999999</v>
      </c>
      <c r="H478" s="2">
        <v>29.566600000000001</v>
      </c>
      <c r="I478" s="2">
        <v>0</v>
      </c>
      <c r="J478" s="2">
        <v>0</v>
      </c>
    </row>
    <row r="479" spans="1:10">
      <c r="A479" s="2" t="s">
        <v>148</v>
      </c>
      <c r="B479" s="2" t="s">
        <v>62</v>
      </c>
      <c r="C479" s="2">
        <v>0.31481399999999998</v>
      </c>
      <c r="D479" s="60">
        <v>25.185099999999998</v>
      </c>
      <c r="E479" s="2">
        <v>14.6</v>
      </c>
      <c r="F479" s="2">
        <v>4</v>
      </c>
      <c r="G479" s="2">
        <v>29.566600000000001</v>
      </c>
      <c r="H479" s="2">
        <v>33.595700000000001</v>
      </c>
      <c r="I479" s="2">
        <v>0</v>
      </c>
      <c r="J479" s="2">
        <v>0</v>
      </c>
    </row>
    <row r="480" spans="1:10">
      <c r="A480" s="2" t="s">
        <v>148</v>
      </c>
      <c r="B480" s="2" t="s">
        <v>101</v>
      </c>
      <c r="C480" s="2">
        <v>2.6813500000000001E-2</v>
      </c>
      <c r="D480" s="60">
        <v>0</v>
      </c>
      <c r="E480" s="2">
        <v>14.3</v>
      </c>
      <c r="F480" s="2">
        <v>0.3</v>
      </c>
      <c r="G480" s="2">
        <v>33.595700000000001</v>
      </c>
      <c r="H480" s="2">
        <v>33.872100000000003</v>
      </c>
      <c r="I480" s="2">
        <v>0</v>
      </c>
      <c r="J480" s="2">
        <v>0</v>
      </c>
    </row>
    <row r="481" spans="1:10">
      <c r="A481" s="2" t="s">
        <v>138</v>
      </c>
      <c r="B481" s="2">
        <v>6</v>
      </c>
      <c r="C481" s="2">
        <v>17.687200000000001</v>
      </c>
      <c r="D481" s="60" t="s">
        <v>149</v>
      </c>
    </row>
    <row r="482" spans="1:10">
      <c r="A482" s="2" t="s">
        <v>140</v>
      </c>
      <c r="B482" s="2">
        <v>0</v>
      </c>
      <c r="C482" s="2">
        <v>30</v>
      </c>
      <c r="D482" s="60">
        <v>30.5427</v>
      </c>
    </row>
    <row r="483" spans="1:10">
      <c r="A483" s="2" t="s">
        <v>141</v>
      </c>
      <c r="B483" s="2">
        <v>0</v>
      </c>
      <c r="C483" s="2">
        <v>1</v>
      </c>
      <c r="D483" s="60" t="s">
        <v>157</v>
      </c>
    </row>
    <row r="484" spans="1:10">
      <c r="A484" s="2" t="s">
        <v>141</v>
      </c>
      <c r="B484" s="2">
        <v>0</v>
      </c>
      <c r="C484" s="2">
        <v>6.4</v>
      </c>
      <c r="D484" s="60" t="s">
        <v>142</v>
      </c>
    </row>
    <row r="485" spans="1:10">
      <c r="A485" s="2" t="s">
        <v>141</v>
      </c>
      <c r="B485" s="2">
        <v>0</v>
      </c>
      <c r="C485" s="2">
        <v>13.1</v>
      </c>
      <c r="D485" s="60" t="s">
        <v>146</v>
      </c>
    </row>
    <row r="486" spans="1:10">
      <c r="A486" s="2" t="s">
        <v>141</v>
      </c>
      <c r="B486" s="2">
        <v>1</v>
      </c>
      <c r="C486" s="2">
        <v>13.1</v>
      </c>
      <c r="D486" s="60" t="s">
        <v>158</v>
      </c>
    </row>
    <row r="487" spans="1:10">
      <c r="A487" s="2" t="s">
        <v>141</v>
      </c>
      <c r="B487" s="2">
        <v>6.4</v>
      </c>
      <c r="C487" s="2">
        <v>13.1</v>
      </c>
      <c r="D487" s="60" t="s">
        <v>144</v>
      </c>
    </row>
    <row r="488" spans="1:10">
      <c r="A488" s="2" t="s">
        <v>141</v>
      </c>
      <c r="B488" s="2">
        <v>13.1</v>
      </c>
      <c r="C488" s="2">
        <v>13.4</v>
      </c>
      <c r="D488" s="60" t="s">
        <v>145</v>
      </c>
    </row>
    <row r="489" spans="1:10">
      <c r="A489" s="2" t="s">
        <v>141</v>
      </c>
      <c r="B489" s="2">
        <v>13.1</v>
      </c>
      <c r="C489" s="2">
        <v>13.4</v>
      </c>
      <c r="D489" s="60" t="s">
        <v>159</v>
      </c>
    </row>
    <row r="490" spans="1:10">
      <c r="A490" s="2" t="s">
        <v>141</v>
      </c>
      <c r="B490" s="2">
        <v>13.1</v>
      </c>
      <c r="C490" s="2">
        <v>13.4</v>
      </c>
      <c r="D490" s="60" t="s">
        <v>160</v>
      </c>
    </row>
    <row r="491" spans="1:10">
      <c r="A491" s="2" t="s">
        <v>141</v>
      </c>
      <c r="B491" s="2">
        <v>13.4</v>
      </c>
      <c r="C491" s="2">
        <v>16.600000000000001</v>
      </c>
      <c r="D491" s="60" t="s">
        <v>155</v>
      </c>
    </row>
    <row r="492" spans="1:10">
      <c r="A492" s="2" t="s">
        <v>141</v>
      </c>
      <c r="B492" s="2">
        <v>13.4</v>
      </c>
      <c r="C492" s="2">
        <v>24.924900000000001</v>
      </c>
      <c r="D492" s="60" t="s">
        <v>144</v>
      </c>
    </row>
    <row r="493" spans="1:10">
      <c r="A493" s="2" t="s">
        <v>141</v>
      </c>
      <c r="B493" s="2">
        <v>16.600000000000001</v>
      </c>
      <c r="C493" s="2">
        <v>24.924900000000001</v>
      </c>
      <c r="D493" s="60" t="s">
        <v>161</v>
      </c>
    </row>
    <row r="494" spans="1:10">
      <c r="A494" s="2" t="s">
        <v>148</v>
      </c>
      <c r="B494" s="2" t="s">
        <v>99</v>
      </c>
      <c r="C494" s="2">
        <v>2.43115E-2</v>
      </c>
      <c r="D494" s="60">
        <v>0</v>
      </c>
      <c r="E494" s="2">
        <v>0</v>
      </c>
      <c r="F494" s="2">
        <v>0.3</v>
      </c>
      <c r="G494" s="2">
        <v>31.4511</v>
      </c>
      <c r="H494" s="2">
        <v>32.837800000000001</v>
      </c>
      <c r="I494" s="2">
        <v>0</v>
      </c>
      <c r="J494" s="2">
        <v>0</v>
      </c>
    </row>
    <row r="495" spans="1:10">
      <c r="A495" s="2" t="s">
        <v>148</v>
      </c>
      <c r="B495" s="2" t="s">
        <v>100</v>
      </c>
      <c r="C495" s="2">
        <v>2.47625E-2</v>
      </c>
      <c r="D495" s="60">
        <v>0</v>
      </c>
      <c r="E495" s="2">
        <v>22.398399999999999</v>
      </c>
      <c r="F495" s="2">
        <v>8.1442800000000002</v>
      </c>
      <c r="G495" s="2">
        <v>0</v>
      </c>
      <c r="H495" s="2">
        <v>10</v>
      </c>
      <c r="I495" s="2">
        <v>0</v>
      </c>
      <c r="J495" s="2">
        <v>0</v>
      </c>
    </row>
    <row r="496" spans="1:10">
      <c r="A496" s="2" t="s">
        <v>148</v>
      </c>
      <c r="B496" s="2" t="s">
        <v>98</v>
      </c>
      <c r="C496" s="2">
        <v>7.7999999999999996E-3</v>
      </c>
      <c r="D496" s="60">
        <v>0</v>
      </c>
      <c r="E496" s="2">
        <v>21.496200000000002</v>
      </c>
      <c r="F496" s="2">
        <v>0.90222400000000003</v>
      </c>
      <c r="G496" s="2">
        <v>10</v>
      </c>
      <c r="H496" s="2">
        <v>10.976000000000001</v>
      </c>
      <c r="I496" s="2">
        <v>0</v>
      </c>
      <c r="J496" s="2">
        <v>0</v>
      </c>
    </row>
    <row r="497" spans="1:10">
      <c r="A497" s="2" t="s">
        <v>148</v>
      </c>
      <c r="B497" s="2" t="s">
        <v>101</v>
      </c>
      <c r="C497" s="2">
        <v>0.18282799999999999</v>
      </c>
      <c r="D497" s="60">
        <v>0</v>
      </c>
      <c r="E497" s="2">
        <v>12.3</v>
      </c>
      <c r="F497" s="2">
        <v>9.1961899999999996</v>
      </c>
      <c r="G497" s="2">
        <v>10.976000000000001</v>
      </c>
      <c r="H497" s="2">
        <v>19.9802</v>
      </c>
      <c r="I497" s="2">
        <v>0</v>
      </c>
      <c r="J497" s="2">
        <v>0</v>
      </c>
    </row>
    <row r="498" spans="1:10">
      <c r="A498" s="2" t="s">
        <v>148</v>
      </c>
      <c r="B498" s="2" t="s">
        <v>61</v>
      </c>
      <c r="C498" s="2">
        <v>0.145346</v>
      </c>
      <c r="D498" s="60">
        <v>12.3544</v>
      </c>
      <c r="E498" s="2">
        <v>8.3000000000000007</v>
      </c>
      <c r="F498" s="2">
        <v>4</v>
      </c>
      <c r="G498" s="2">
        <v>19.9802</v>
      </c>
      <c r="H498" s="2">
        <v>22.8978</v>
      </c>
      <c r="I498" s="2">
        <v>0</v>
      </c>
      <c r="J498" s="2">
        <v>0</v>
      </c>
    </row>
    <row r="499" spans="1:10">
      <c r="A499" s="2" t="s">
        <v>148</v>
      </c>
      <c r="B499" s="2" t="s">
        <v>60</v>
      </c>
      <c r="C499" s="2">
        <v>0.18327499999999999</v>
      </c>
      <c r="D499" s="60">
        <v>16.494700000000002</v>
      </c>
      <c r="E499" s="2">
        <v>4.3</v>
      </c>
      <c r="F499" s="2">
        <v>4</v>
      </c>
      <c r="G499" s="2">
        <v>22.8978</v>
      </c>
      <c r="H499" s="2">
        <v>25.3704</v>
      </c>
      <c r="I499" s="2">
        <v>0</v>
      </c>
      <c r="J499" s="2">
        <v>0</v>
      </c>
    </row>
    <row r="500" spans="1:10">
      <c r="A500" s="2" t="s">
        <v>148</v>
      </c>
      <c r="B500" s="2" t="s">
        <v>60</v>
      </c>
      <c r="C500" s="2">
        <v>0.23701900000000001</v>
      </c>
      <c r="D500" s="60">
        <v>21.331700000000001</v>
      </c>
      <c r="E500" s="2">
        <v>0.3</v>
      </c>
      <c r="F500" s="2">
        <v>4</v>
      </c>
      <c r="G500" s="2">
        <v>25.3704</v>
      </c>
      <c r="H500" s="2">
        <v>31.4511</v>
      </c>
      <c r="I500" s="2">
        <v>0</v>
      </c>
      <c r="J500" s="2">
        <v>0</v>
      </c>
    </row>
    <row r="501" spans="1:10">
      <c r="A501" s="2" t="s">
        <v>138</v>
      </c>
      <c r="B501" s="2">
        <v>7</v>
      </c>
      <c r="C501" s="2">
        <v>19.8186</v>
      </c>
      <c r="D501" s="60" t="s">
        <v>149</v>
      </c>
    </row>
    <row r="502" spans="1:10">
      <c r="A502" s="2" t="s">
        <v>140</v>
      </c>
      <c r="B502" s="2">
        <v>0</v>
      </c>
      <c r="C502" s="2">
        <v>61.0167</v>
      </c>
      <c r="D502" s="60">
        <v>38.212800000000001</v>
      </c>
    </row>
    <row r="503" spans="1:10">
      <c r="A503" s="2" t="s">
        <v>141</v>
      </c>
      <c r="B503" s="2">
        <v>0</v>
      </c>
      <c r="C503" s="2">
        <v>6.8</v>
      </c>
      <c r="D503" s="60" t="s">
        <v>142</v>
      </c>
    </row>
    <row r="504" spans="1:10">
      <c r="A504" s="2" t="s">
        <v>141</v>
      </c>
      <c r="B504" s="2">
        <v>0</v>
      </c>
      <c r="C504" s="2">
        <v>30.771599999999999</v>
      </c>
      <c r="D504" s="60" t="s">
        <v>143</v>
      </c>
    </row>
    <row r="505" spans="1:10">
      <c r="A505" s="2" t="s">
        <v>141</v>
      </c>
      <c r="B505" s="2">
        <v>6.8</v>
      </c>
      <c r="C505" s="2">
        <v>12.4</v>
      </c>
      <c r="D505" s="60" t="s">
        <v>144</v>
      </c>
    </row>
    <row r="506" spans="1:10">
      <c r="A506" s="2" t="s">
        <v>141</v>
      </c>
      <c r="B506" s="2">
        <v>12.4</v>
      </c>
      <c r="C506" s="2">
        <v>14.6</v>
      </c>
      <c r="D506" s="60" t="s">
        <v>147</v>
      </c>
    </row>
    <row r="507" spans="1:10">
      <c r="A507" s="2" t="s">
        <v>141</v>
      </c>
      <c r="B507" s="2">
        <v>14.6</v>
      </c>
      <c r="C507" s="2">
        <v>15</v>
      </c>
      <c r="D507" s="60" t="s">
        <v>151</v>
      </c>
    </row>
    <row r="508" spans="1:10">
      <c r="A508" s="2" t="s">
        <v>141</v>
      </c>
      <c r="B508" s="2">
        <v>15</v>
      </c>
      <c r="C508" s="2">
        <v>18.8</v>
      </c>
      <c r="D508" s="60" t="s">
        <v>145</v>
      </c>
    </row>
    <row r="509" spans="1:10">
      <c r="A509" s="2" t="s">
        <v>141</v>
      </c>
      <c r="B509" s="2">
        <v>18.8</v>
      </c>
      <c r="C509" s="2">
        <v>30.771599999999999</v>
      </c>
      <c r="D509" s="60" t="s">
        <v>144</v>
      </c>
    </row>
    <row r="510" spans="1:10">
      <c r="A510" s="2" t="s">
        <v>148</v>
      </c>
      <c r="B510" s="2" t="s">
        <v>99</v>
      </c>
      <c r="C510" s="2">
        <v>8.7976600000000002E-2</v>
      </c>
      <c r="D510" s="60">
        <v>0</v>
      </c>
      <c r="E510" s="2">
        <v>0</v>
      </c>
      <c r="F510" s="2">
        <v>0.3</v>
      </c>
      <c r="G510" s="2">
        <v>60.061</v>
      </c>
      <c r="H510" s="2">
        <v>62.205399999999997</v>
      </c>
      <c r="I510" s="2">
        <v>0</v>
      </c>
      <c r="J510" s="2">
        <v>0</v>
      </c>
    </row>
    <row r="511" spans="1:10">
      <c r="A511" s="2" t="s">
        <v>148</v>
      </c>
      <c r="B511" s="2" t="s">
        <v>100</v>
      </c>
      <c r="C511" s="2">
        <v>1.60508E-2</v>
      </c>
      <c r="D511" s="60">
        <v>0</v>
      </c>
      <c r="E511" s="2">
        <v>33.675899999999999</v>
      </c>
      <c r="F511" s="2">
        <v>4.53688</v>
      </c>
      <c r="G511" s="2">
        <v>0</v>
      </c>
      <c r="H511" s="2">
        <v>10</v>
      </c>
      <c r="I511" s="2">
        <v>0</v>
      </c>
      <c r="J511" s="2">
        <v>0</v>
      </c>
    </row>
    <row r="512" spans="1:10">
      <c r="A512" s="2" t="s">
        <v>148</v>
      </c>
      <c r="B512" s="2" t="s">
        <v>98</v>
      </c>
      <c r="C512" s="2">
        <v>0.38358799999999998</v>
      </c>
      <c r="D512" s="60">
        <v>0</v>
      </c>
      <c r="E512" s="2">
        <v>21.755400000000002</v>
      </c>
      <c r="F512" s="2">
        <v>11.920500000000001</v>
      </c>
      <c r="G512" s="2">
        <v>10</v>
      </c>
      <c r="H512" s="2">
        <v>29.0059</v>
      </c>
      <c r="I512" s="2">
        <v>0</v>
      </c>
      <c r="J512" s="2">
        <v>0</v>
      </c>
    </row>
    <row r="513" spans="1:10">
      <c r="A513" s="2" t="s">
        <v>148</v>
      </c>
      <c r="B513" s="2" t="s">
        <v>101</v>
      </c>
      <c r="C513" s="2">
        <v>5.19207E-2</v>
      </c>
      <c r="D513" s="60">
        <v>0</v>
      </c>
      <c r="E513" s="2">
        <v>21</v>
      </c>
      <c r="F513" s="2">
        <v>0.75542699999999996</v>
      </c>
      <c r="G513" s="2">
        <v>29.0059</v>
      </c>
      <c r="H513" s="2">
        <v>30.151</v>
      </c>
      <c r="I513" s="2">
        <v>0</v>
      </c>
      <c r="J513" s="2">
        <v>0</v>
      </c>
    </row>
    <row r="514" spans="1:10">
      <c r="A514" s="2" t="s">
        <v>148</v>
      </c>
      <c r="B514" s="2" t="s">
        <v>59</v>
      </c>
      <c r="C514" s="2">
        <v>0.55976199999999998</v>
      </c>
      <c r="D514" s="60">
        <v>55.976199999999999</v>
      </c>
      <c r="E514" s="2">
        <v>15</v>
      </c>
      <c r="F514" s="2">
        <v>6</v>
      </c>
      <c r="G514" s="2">
        <v>30.151</v>
      </c>
      <c r="H514" s="2">
        <v>38.323599999999999</v>
      </c>
      <c r="I514" s="2">
        <v>0</v>
      </c>
      <c r="J514" s="2">
        <v>0</v>
      </c>
    </row>
    <row r="515" spans="1:10">
      <c r="A515" s="2" t="s">
        <v>148</v>
      </c>
      <c r="B515" s="2" t="s">
        <v>101</v>
      </c>
      <c r="C515" s="2">
        <v>7.0518999999999998E-2</v>
      </c>
      <c r="D515" s="60">
        <v>0</v>
      </c>
      <c r="E515" s="2">
        <v>14.4</v>
      </c>
      <c r="F515" s="2">
        <v>0.6</v>
      </c>
      <c r="G515" s="2">
        <v>38.323599999999999</v>
      </c>
      <c r="H515" s="2">
        <v>39.040399999999998</v>
      </c>
      <c r="I515" s="2">
        <v>0</v>
      </c>
      <c r="J515" s="2">
        <v>0</v>
      </c>
    </row>
    <row r="516" spans="1:10">
      <c r="A516" s="2" t="s">
        <v>148</v>
      </c>
      <c r="B516" s="2" t="s">
        <v>59</v>
      </c>
      <c r="C516" s="2">
        <v>0.535412</v>
      </c>
      <c r="D516" s="60">
        <v>53.541200000000003</v>
      </c>
      <c r="E516" s="2">
        <v>10.4</v>
      </c>
      <c r="F516" s="2">
        <v>4</v>
      </c>
      <c r="G516" s="2">
        <v>39.040399999999998</v>
      </c>
      <c r="H516" s="2">
        <v>43.360300000000002</v>
      </c>
      <c r="I516" s="2">
        <v>0</v>
      </c>
      <c r="J516" s="2">
        <v>0</v>
      </c>
    </row>
    <row r="517" spans="1:10">
      <c r="A517" s="2" t="s">
        <v>148</v>
      </c>
      <c r="B517" s="2" t="s">
        <v>58</v>
      </c>
      <c r="C517" s="2">
        <v>0.643787</v>
      </c>
      <c r="D517" s="60">
        <v>67.5976</v>
      </c>
      <c r="E517" s="2">
        <v>6.4</v>
      </c>
      <c r="F517" s="2">
        <v>4</v>
      </c>
      <c r="G517" s="2">
        <v>43.360300000000002</v>
      </c>
      <c r="H517" s="2">
        <v>47.099800000000002</v>
      </c>
      <c r="I517" s="2">
        <v>0</v>
      </c>
      <c r="J517" s="2">
        <v>0</v>
      </c>
    </row>
    <row r="518" spans="1:10">
      <c r="A518" s="2" t="s">
        <v>148</v>
      </c>
      <c r="B518" s="2" t="s">
        <v>55</v>
      </c>
      <c r="C518" s="2">
        <v>1.2666500000000001</v>
      </c>
      <c r="D518" s="60">
        <v>183.66499999999999</v>
      </c>
      <c r="E518" s="2">
        <v>0.3</v>
      </c>
      <c r="F518" s="2">
        <v>6.1</v>
      </c>
      <c r="G518" s="2">
        <v>47.099800000000002</v>
      </c>
      <c r="H518" s="2">
        <v>60.061</v>
      </c>
      <c r="I518" s="2">
        <v>0</v>
      </c>
      <c r="J518" s="2">
        <v>0</v>
      </c>
    </row>
    <row r="519" spans="1:10">
      <c r="A519" s="2" t="s">
        <v>138</v>
      </c>
      <c r="B519" s="2">
        <v>8</v>
      </c>
      <c r="C519" s="2">
        <v>19.866900000000001</v>
      </c>
      <c r="D519" s="60" t="s">
        <v>139</v>
      </c>
    </row>
    <row r="520" spans="1:10">
      <c r="A520" s="2" t="s">
        <v>140</v>
      </c>
      <c r="B520" s="2">
        <v>0</v>
      </c>
      <c r="C520" s="2">
        <v>66.390500000000003</v>
      </c>
      <c r="D520" s="60">
        <v>39.168300000000002</v>
      </c>
    </row>
    <row r="521" spans="1:10">
      <c r="A521" s="2" t="s">
        <v>141</v>
      </c>
      <c r="B521" s="2">
        <v>0</v>
      </c>
      <c r="C521" s="2">
        <v>1.6</v>
      </c>
      <c r="D521" s="60" t="s">
        <v>157</v>
      </c>
    </row>
    <row r="522" spans="1:10">
      <c r="A522" s="2" t="s">
        <v>141</v>
      </c>
      <c r="B522" s="2">
        <v>0</v>
      </c>
      <c r="C522" s="2">
        <v>4.5999999999999996</v>
      </c>
      <c r="D522" s="60" t="s">
        <v>146</v>
      </c>
    </row>
    <row r="523" spans="1:10">
      <c r="A523" s="2" t="s">
        <v>141</v>
      </c>
      <c r="B523" s="2">
        <v>0</v>
      </c>
      <c r="C523" s="2">
        <v>7.6</v>
      </c>
      <c r="D523" s="60" t="s">
        <v>142</v>
      </c>
    </row>
    <row r="524" spans="1:10">
      <c r="A524" s="2" t="s">
        <v>141</v>
      </c>
      <c r="B524" s="2">
        <v>4.5999999999999996</v>
      </c>
      <c r="C524" s="2">
        <v>20.5</v>
      </c>
      <c r="D524" s="60" t="s">
        <v>143</v>
      </c>
    </row>
    <row r="525" spans="1:10">
      <c r="A525" s="2" t="s">
        <v>141</v>
      </c>
      <c r="B525" s="2">
        <v>7.6</v>
      </c>
      <c r="C525" s="2">
        <v>11.6</v>
      </c>
      <c r="D525" s="60" t="s">
        <v>144</v>
      </c>
    </row>
    <row r="526" spans="1:10">
      <c r="A526" s="2" t="s">
        <v>141</v>
      </c>
      <c r="B526" s="2">
        <v>11.6</v>
      </c>
      <c r="C526" s="2">
        <v>20.5</v>
      </c>
      <c r="D526" s="60" t="s">
        <v>147</v>
      </c>
    </row>
    <row r="527" spans="1:10">
      <c r="A527" s="2" t="s">
        <v>141</v>
      </c>
      <c r="B527" s="2">
        <v>20.5</v>
      </c>
      <c r="C527" s="2">
        <v>21</v>
      </c>
      <c r="D527" s="60" t="s">
        <v>159</v>
      </c>
    </row>
    <row r="528" spans="1:10">
      <c r="A528" s="2" t="s">
        <v>141</v>
      </c>
      <c r="B528" s="2">
        <v>20.5</v>
      </c>
      <c r="C528" s="2">
        <v>23.6</v>
      </c>
      <c r="D528" s="60" t="s">
        <v>145</v>
      </c>
    </row>
    <row r="529" spans="1:10">
      <c r="A529" s="2" t="s">
        <v>141</v>
      </c>
      <c r="B529" s="2">
        <v>21</v>
      </c>
      <c r="C529" s="2">
        <v>31.5</v>
      </c>
      <c r="D529" s="60" t="s">
        <v>155</v>
      </c>
    </row>
    <row r="530" spans="1:10">
      <c r="A530" s="2" t="s">
        <v>141</v>
      </c>
      <c r="B530" s="2">
        <v>23.6</v>
      </c>
      <c r="C530" s="2">
        <v>31.5</v>
      </c>
      <c r="D530" s="60" t="s">
        <v>144</v>
      </c>
    </row>
    <row r="531" spans="1:10">
      <c r="A531" s="2" t="s">
        <v>148</v>
      </c>
      <c r="B531" s="2" t="s">
        <v>99</v>
      </c>
      <c r="C531" s="2">
        <v>0.102503</v>
      </c>
      <c r="D531" s="60">
        <v>0</v>
      </c>
      <c r="E531" s="2">
        <v>0</v>
      </c>
      <c r="F531" s="2">
        <v>0.3</v>
      </c>
      <c r="G531" s="2">
        <v>64.855199999999996</v>
      </c>
      <c r="H531" s="2">
        <v>67.117199999999997</v>
      </c>
      <c r="I531" s="2">
        <v>0</v>
      </c>
      <c r="J531" s="2">
        <v>0</v>
      </c>
    </row>
    <row r="532" spans="1:10">
      <c r="A532" s="2" t="s">
        <v>148</v>
      </c>
      <c r="B532" s="2" t="s">
        <v>100</v>
      </c>
      <c r="C532" s="2">
        <v>1.4936100000000001E-2</v>
      </c>
      <c r="D532" s="60">
        <v>0</v>
      </c>
      <c r="E532" s="2">
        <v>35.014699999999998</v>
      </c>
      <c r="F532" s="2">
        <v>4.1536900000000001</v>
      </c>
      <c r="G532" s="2">
        <v>0</v>
      </c>
      <c r="H532" s="2">
        <v>10.0002</v>
      </c>
      <c r="I532" s="2">
        <v>0</v>
      </c>
      <c r="J532" s="2">
        <v>0</v>
      </c>
    </row>
    <row r="533" spans="1:10">
      <c r="A533" s="2" t="s">
        <v>148</v>
      </c>
      <c r="B533" s="2" t="s">
        <v>98</v>
      </c>
      <c r="C533" s="2">
        <v>0.435195</v>
      </c>
      <c r="D533" s="60">
        <v>0</v>
      </c>
      <c r="E533" s="2">
        <v>22.653500000000001</v>
      </c>
      <c r="F533" s="2">
        <v>12.3611</v>
      </c>
      <c r="G533" s="2">
        <v>10.0002</v>
      </c>
      <c r="H533" s="2">
        <v>30.723600000000001</v>
      </c>
      <c r="I533" s="2">
        <v>0</v>
      </c>
      <c r="J533" s="2">
        <v>0</v>
      </c>
    </row>
    <row r="534" spans="1:10">
      <c r="A534" s="2" t="s">
        <v>148</v>
      </c>
      <c r="B534" s="2" t="s">
        <v>101</v>
      </c>
      <c r="C534" s="2">
        <v>0.18737100000000001</v>
      </c>
      <c r="D534" s="60">
        <v>0</v>
      </c>
      <c r="E534" s="2">
        <v>20.399999999999999</v>
      </c>
      <c r="F534" s="2">
        <v>2.2535400000000001</v>
      </c>
      <c r="G534" s="2">
        <v>30.723600000000001</v>
      </c>
      <c r="H534" s="2">
        <v>34.282800000000002</v>
      </c>
      <c r="I534" s="2">
        <v>0</v>
      </c>
      <c r="J534" s="2">
        <v>0</v>
      </c>
    </row>
    <row r="535" spans="1:10">
      <c r="A535" s="2" t="s">
        <v>148</v>
      </c>
      <c r="B535" s="2" t="s">
        <v>59</v>
      </c>
      <c r="C535" s="2">
        <v>0.43600299999999997</v>
      </c>
      <c r="D535" s="60">
        <v>43.600299999999997</v>
      </c>
      <c r="E535" s="2">
        <v>16.399999999999999</v>
      </c>
      <c r="F535" s="2">
        <v>4</v>
      </c>
      <c r="G535" s="2">
        <v>34.282800000000002</v>
      </c>
      <c r="H535" s="2">
        <v>40.015599999999999</v>
      </c>
      <c r="I535" s="2">
        <v>0</v>
      </c>
      <c r="J535" s="2">
        <v>0</v>
      </c>
    </row>
    <row r="536" spans="1:10">
      <c r="A536" s="2" t="s">
        <v>148</v>
      </c>
      <c r="B536" s="2" t="s">
        <v>58</v>
      </c>
      <c r="C536" s="2">
        <v>0.56890799999999997</v>
      </c>
      <c r="D536" s="60">
        <v>59.735300000000002</v>
      </c>
      <c r="E536" s="2">
        <v>12.4</v>
      </c>
      <c r="F536" s="2">
        <v>4</v>
      </c>
      <c r="G536" s="2">
        <v>40.015599999999999</v>
      </c>
      <c r="H536" s="2">
        <v>44.906100000000002</v>
      </c>
      <c r="I536" s="2">
        <v>0</v>
      </c>
      <c r="J536" s="2">
        <v>0</v>
      </c>
    </row>
    <row r="537" spans="1:10">
      <c r="A537" s="2" t="s">
        <v>148</v>
      </c>
      <c r="B537" s="2" t="s">
        <v>58</v>
      </c>
      <c r="C537" s="2">
        <v>1.0881700000000001</v>
      </c>
      <c r="D537" s="60">
        <v>114.258</v>
      </c>
      <c r="E537" s="2">
        <v>6.4</v>
      </c>
      <c r="F537" s="2">
        <v>6</v>
      </c>
      <c r="G537" s="2">
        <v>44.906100000000002</v>
      </c>
      <c r="H537" s="2">
        <v>50.9741</v>
      </c>
      <c r="I537" s="2">
        <v>0</v>
      </c>
      <c r="J537" s="2">
        <v>0</v>
      </c>
    </row>
    <row r="538" spans="1:10">
      <c r="A538" s="2" t="s">
        <v>148</v>
      </c>
      <c r="B538" s="2" t="s">
        <v>55</v>
      </c>
      <c r="C538" s="2">
        <v>1.4813700000000001</v>
      </c>
      <c r="D538" s="60">
        <v>214.79900000000001</v>
      </c>
      <c r="E538" s="2">
        <v>0.3</v>
      </c>
      <c r="F538" s="2">
        <v>6.1</v>
      </c>
      <c r="G538" s="2">
        <v>50.9741</v>
      </c>
      <c r="H538" s="2">
        <v>64.855199999999996</v>
      </c>
      <c r="I538" s="2">
        <v>0</v>
      </c>
      <c r="J538" s="2">
        <v>0</v>
      </c>
    </row>
    <row r="539" spans="1:10">
      <c r="A539" s="2" t="s">
        <v>138</v>
      </c>
      <c r="B539" s="2">
        <v>9</v>
      </c>
      <c r="C539" s="2">
        <v>19.520900000000001</v>
      </c>
      <c r="D539" s="60" t="s">
        <v>149</v>
      </c>
    </row>
    <row r="540" spans="1:10">
      <c r="A540" s="2" t="s">
        <v>140</v>
      </c>
      <c r="B540" s="2">
        <v>0</v>
      </c>
      <c r="C540" s="2">
        <v>46.456600000000002</v>
      </c>
      <c r="D540" s="60">
        <v>35.475299999999997</v>
      </c>
    </row>
    <row r="541" spans="1:10">
      <c r="A541" s="2" t="s">
        <v>141</v>
      </c>
      <c r="B541" s="2">
        <v>0</v>
      </c>
      <c r="C541" s="2">
        <v>7.6</v>
      </c>
      <c r="D541" s="60" t="s">
        <v>142</v>
      </c>
    </row>
    <row r="542" spans="1:10">
      <c r="A542" s="2" t="s">
        <v>141</v>
      </c>
      <c r="B542" s="2">
        <v>0</v>
      </c>
      <c r="C542" s="2">
        <v>9.6999999999999993</v>
      </c>
      <c r="D542" s="60" t="s">
        <v>158</v>
      </c>
    </row>
    <row r="543" spans="1:10">
      <c r="A543" s="2" t="s">
        <v>141</v>
      </c>
      <c r="B543" s="2">
        <v>0</v>
      </c>
      <c r="C543" s="2">
        <v>28.684899999999999</v>
      </c>
      <c r="D543" s="60" t="s">
        <v>146</v>
      </c>
    </row>
    <row r="544" spans="1:10">
      <c r="A544" s="2" t="s">
        <v>141</v>
      </c>
      <c r="B544" s="2">
        <v>7.6</v>
      </c>
      <c r="C544" s="2">
        <v>9.6999999999999993</v>
      </c>
      <c r="D544" s="60" t="s">
        <v>144</v>
      </c>
    </row>
    <row r="545" spans="1:10">
      <c r="A545" s="2" t="s">
        <v>141</v>
      </c>
      <c r="B545" s="2">
        <v>9.6999999999999993</v>
      </c>
      <c r="C545" s="2">
        <v>10</v>
      </c>
      <c r="D545" s="60" t="s">
        <v>145</v>
      </c>
    </row>
    <row r="546" spans="1:10">
      <c r="A546" s="2" t="s">
        <v>141</v>
      </c>
      <c r="B546" s="2">
        <v>9.6999999999999993</v>
      </c>
      <c r="C546" s="2">
        <v>10</v>
      </c>
      <c r="D546" s="60" t="s">
        <v>160</v>
      </c>
    </row>
    <row r="547" spans="1:10">
      <c r="A547" s="2" t="s">
        <v>141</v>
      </c>
      <c r="B547" s="2">
        <v>10</v>
      </c>
      <c r="C547" s="2">
        <v>28.684899999999999</v>
      </c>
      <c r="D547" s="60" t="s">
        <v>144</v>
      </c>
    </row>
    <row r="548" spans="1:10">
      <c r="A548" s="2" t="s">
        <v>141</v>
      </c>
      <c r="B548" s="2">
        <v>11.8</v>
      </c>
      <c r="C548" s="2">
        <v>12.1</v>
      </c>
      <c r="D548" s="60" t="s">
        <v>153</v>
      </c>
    </row>
    <row r="549" spans="1:10">
      <c r="A549" s="2" t="s">
        <v>141</v>
      </c>
      <c r="B549" s="2">
        <v>11.8</v>
      </c>
      <c r="C549" s="2">
        <v>12.1</v>
      </c>
      <c r="D549" s="60" t="s">
        <v>154</v>
      </c>
    </row>
    <row r="550" spans="1:10">
      <c r="A550" s="2" t="s">
        <v>156</v>
      </c>
      <c r="B550" s="2">
        <v>11.8</v>
      </c>
      <c r="C550" s="2">
        <v>38.486699999999999</v>
      </c>
    </row>
    <row r="551" spans="1:10">
      <c r="A551" s="2" t="s">
        <v>148</v>
      </c>
      <c r="B551" s="2" t="s">
        <v>99</v>
      </c>
      <c r="C551" s="2">
        <v>5.3725200000000001E-2</v>
      </c>
      <c r="D551" s="60">
        <v>0</v>
      </c>
      <c r="E551" s="2">
        <v>0</v>
      </c>
      <c r="F551" s="2">
        <v>0.3</v>
      </c>
      <c r="G551" s="2">
        <v>46.878500000000003</v>
      </c>
      <c r="H551" s="2">
        <v>48.674199999999999</v>
      </c>
      <c r="I551" s="2">
        <v>0</v>
      </c>
      <c r="J551" s="2">
        <v>0</v>
      </c>
    </row>
    <row r="552" spans="1:10">
      <c r="A552" s="2" t="s">
        <v>148</v>
      </c>
      <c r="B552" s="2" t="s">
        <v>100</v>
      </c>
      <c r="C552" s="2">
        <v>2.3265500000000001E-2</v>
      </c>
      <c r="D552" s="60">
        <v>0</v>
      </c>
      <c r="E552" s="2">
        <v>28.201599999999999</v>
      </c>
      <c r="F552" s="2">
        <v>7.2736999999999998</v>
      </c>
      <c r="G552" s="2">
        <v>0</v>
      </c>
      <c r="H552" s="2">
        <v>10</v>
      </c>
      <c r="I552" s="2">
        <v>0</v>
      </c>
      <c r="J552" s="2">
        <v>0</v>
      </c>
    </row>
    <row r="553" spans="1:10">
      <c r="A553" s="2" t="s">
        <v>148</v>
      </c>
      <c r="B553" s="2" t="s">
        <v>64</v>
      </c>
      <c r="C553" s="2">
        <v>4.9894500000000001E-2</v>
      </c>
      <c r="D553" s="60">
        <v>1.4968300000000001</v>
      </c>
      <c r="E553" s="2">
        <v>24.1</v>
      </c>
      <c r="F553" s="2">
        <v>4.0999999999999996</v>
      </c>
      <c r="G553" s="2">
        <v>10.001799999999999</v>
      </c>
      <c r="H553" s="2">
        <v>14.757</v>
      </c>
      <c r="I553" s="2">
        <v>0</v>
      </c>
      <c r="J553" s="2">
        <v>0</v>
      </c>
    </row>
    <row r="554" spans="1:10">
      <c r="A554" s="2" t="s">
        <v>148</v>
      </c>
      <c r="B554" s="2" t="s">
        <v>63</v>
      </c>
      <c r="C554" s="2">
        <v>9.1809299999999996E-2</v>
      </c>
      <c r="D554" s="60">
        <v>6.4266500000000004</v>
      </c>
      <c r="E554" s="2">
        <v>20.100000000000001</v>
      </c>
      <c r="F554" s="2">
        <v>4</v>
      </c>
      <c r="G554" s="2">
        <v>14.757</v>
      </c>
      <c r="H554" s="2">
        <v>19.2822</v>
      </c>
      <c r="I554" s="2">
        <v>0</v>
      </c>
      <c r="J554" s="2">
        <v>0</v>
      </c>
    </row>
    <row r="555" spans="1:10">
      <c r="A555" s="2" t="s">
        <v>148</v>
      </c>
      <c r="B555" s="2" t="s">
        <v>61</v>
      </c>
      <c r="C555" s="2">
        <v>0.143925</v>
      </c>
      <c r="D555" s="60">
        <v>12.233599999999999</v>
      </c>
      <c r="E555" s="2">
        <v>16.100000000000001</v>
      </c>
      <c r="F555" s="2">
        <v>4</v>
      </c>
      <c r="G555" s="2">
        <v>19.2822</v>
      </c>
      <c r="H555" s="2">
        <v>23.367799999999999</v>
      </c>
      <c r="I555" s="2">
        <v>0</v>
      </c>
      <c r="J555" s="2">
        <v>0</v>
      </c>
    </row>
    <row r="556" spans="1:10">
      <c r="A556" s="2" t="s">
        <v>148</v>
      </c>
      <c r="B556" s="2" t="s">
        <v>60</v>
      </c>
      <c r="C556" s="2">
        <v>0.19917399999999999</v>
      </c>
      <c r="D556" s="60">
        <v>17.925699999999999</v>
      </c>
      <c r="E556" s="2">
        <v>12.1</v>
      </c>
      <c r="F556" s="2">
        <v>4</v>
      </c>
      <c r="G556" s="2">
        <v>23.367799999999999</v>
      </c>
      <c r="H556" s="2">
        <v>26.844000000000001</v>
      </c>
      <c r="I556" s="2">
        <v>0</v>
      </c>
      <c r="J556" s="2">
        <v>0</v>
      </c>
    </row>
    <row r="557" spans="1:10">
      <c r="A557" s="2" t="s">
        <v>148</v>
      </c>
      <c r="B557" s="2" t="s">
        <v>101</v>
      </c>
      <c r="C557" s="2">
        <v>4.1538499999999999E-2</v>
      </c>
      <c r="D557" s="60">
        <v>0</v>
      </c>
      <c r="E557" s="2">
        <v>11.5</v>
      </c>
      <c r="F557" s="2">
        <v>0.6</v>
      </c>
      <c r="G557" s="2">
        <v>26.844000000000001</v>
      </c>
      <c r="H557" s="2">
        <v>32.323700000000002</v>
      </c>
      <c r="I557" s="2">
        <v>0</v>
      </c>
      <c r="J557" s="2">
        <v>0</v>
      </c>
    </row>
    <row r="558" spans="1:10">
      <c r="A558" s="2" t="s">
        <v>148</v>
      </c>
      <c r="B558" s="2" t="s">
        <v>62</v>
      </c>
      <c r="C558" s="2">
        <v>0.57262800000000003</v>
      </c>
      <c r="D558" s="60">
        <v>45.810200000000002</v>
      </c>
      <c r="E558" s="2">
        <v>5.5</v>
      </c>
      <c r="F558" s="2">
        <v>6</v>
      </c>
      <c r="G558" s="2">
        <v>32.323700000000002</v>
      </c>
      <c r="H558" s="2">
        <v>37.199599999999997</v>
      </c>
      <c r="I558" s="2">
        <v>0</v>
      </c>
      <c r="J558" s="2">
        <v>0</v>
      </c>
    </row>
    <row r="559" spans="1:10">
      <c r="A559" s="2" t="s">
        <v>148</v>
      </c>
      <c r="B559" s="2" t="s">
        <v>56</v>
      </c>
      <c r="C559" s="2">
        <v>0.66871499999999995</v>
      </c>
      <c r="D559" s="60">
        <v>93.620099999999994</v>
      </c>
      <c r="E559" s="2">
        <v>0.3</v>
      </c>
      <c r="F559" s="2">
        <v>5.2</v>
      </c>
      <c r="G559" s="2">
        <v>37.199599999999997</v>
      </c>
      <c r="H559" s="2">
        <v>46.878500000000003</v>
      </c>
      <c r="I559" s="2">
        <v>0</v>
      </c>
      <c r="J559" s="2">
        <v>0</v>
      </c>
    </row>
    <row r="560" spans="1:10">
      <c r="A560" s="2" t="s">
        <v>140</v>
      </c>
      <c r="B560" s="2">
        <v>1</v>
      </c>
      <c r="C560" s="2">
        <v>22.3291</v>
      </c>
      <c r="D560" s="60">
        <v>35.475299999999997</v>
      </c>
      <c r="E560" s="2">
        <v>11.8</v>
      </c>
    </row>
    <row r="561" spans="1:10">
      <c r="A561" s="2" t="s">
        <v>141</v>
      </c>
      <c r="B561" s="2">
        <v>11.8</v>
      </c>
      <c r="C561" s="2">
        <v>12.1</v>
      </c>
      <c r="D561" s="60" t="s">
        <v>153</v>
      </c>
    </row>
    <row r="562" spans="1:10">
      <c r="A562" s="2" t="s">
        <v>141</v>
      </c>
      <c r="B562" s="2">
        <v>11.8</v>
      </c>
      <c r="C562" s="2">
        <v>28.684899999999999</v>
      </c>
      <c r="D562" s="60" t="s">
        <v>144</v>
      </c>
    </row>
    <row r="563" spans="1:10">
      <c r="A563" s="2" t="s">
        <v>141</v>
      </c>
      <c r="B563" s="2">
        <v>11.8</v>
      </c>
      <c r="C563" s="2">
        <v>28.684899999999999</v>
      </c>
      <c r="D563" s="60" t="s">
        <v>146</v>
      </c>
    </row>
    <row r="564" spans="1:10">
      <c r="A564" s="2" t="s">
        <v>148</v>
      </c>
      <c r="B564" s="2" t="s">
        <v>100</v>
      </c>
      <c r="C564" s="2">
        <v>3.7030300000000002E-2</v>
      </c>
      <c r="D564" s="60">
        <v>0</v>
      </c>
      <c r="E564" s="2">
        <v>22.7803</v>
      </c>
      <c r="F564" s="2">
        <v>12.695</v>
      </c>
      <c r="G564" s="2">
        <v>0</v>
      </c>
      <c r="H564" s="2">
        <v>10</v>
      </c>
      <c r="I564" s="2">
        <v>0</v>
      </c>
      <c r="J564" s="2">
        <v>0</v>
      </c>
    </row>
    <row r="565" spans="1:10">
      <c r="A565" s="2" t="s">
        <v>148</v>
      </c>
      <c r="B565" s="2" t="s">
        <v>98</v>
      </c>
      <c r="C565" s="2">
        <v>2.47E-2</v>
      </c>
      <c r="D565" s="60">
        <v>0</v>
      </c>
      <c r="E565" s="2">
        <v>20.146100000000001</v>
      </c>
      <c r="F565" s="2">
        <v>2.63415</v>
      </c>
      <c r="G565" s="2">
        <v>10</v>
      </c>
      <c r="H565" s="2">
        <v>11.812200000000001</v>
      </c>
      <c r="I565" s="2">
        <v>0</v>
      </c>
      <c r="J565" s="2">
        <v>0</v>
      </c>
    </row>
    <row r="566" spans="1:10">
      <c r="A566" s="2" t="s">
        <v>148</v>
      </c>
      <c r="B566" s="2" t="s">
        <v>101</v>
      </c>
      <c r="C566" s="2">
        <v>5.0663699999999999E-4</v>
      </c>
      <c r="D566" s="60">
        <v>0</v>
      </c>
      <c r="E566" s="2">
        <v>20.100000000000001</v>
      </c>
      <c r="F566" s="2">
        <v>4.6111600000000003E-2</v>
      </c>
      <c r="G566" s="2">
        <v>11.812200000000001</v>
      </c>
      <c r="H566" s="2">
        <v>11.843</v>
      </c>
      <c r="I566" s="2">
        <v>0</v>
      </c>
      <c r="J566" s="2">
        <v>0</v>
      </c>
    </row>
    <row r="567" spans="1:10">
      <c r="A567" s="2" t="s">
        <v>148</v>
      </c>
      <c r="B567" s="2" t="s">
        <v>64</v>
      </c>
      <c r="C567" s="2">
        <v>5.4293399999999999E-2</v>
      </c>
      <c r="D567" s="60">
        <v>1.6288</v>
      </c>
      <c r="E567" s="2">
        <v>16.100000000000001</v>
      </c>
      <c r="F567" s="2">
        <v>4</v>
      </c>
      <c r="G567" s="2">
        <v>11.843</v>
      </c>
      <c r="H567" s="2">
        <v>14.352399999999999</v>
      </c>
      <c r="I567" s="2">
        <v>0</v>
      </c>
      <c r="J567" s="2">
        <v>0</v>
      </c>
    </row>
    <row r="568" spans="1:10">
      <c r="A568" s="2" t="s">
        <v>148</v>
      </c>
      <c r="B568" s="2" t="s">
        <v>63</v>
      </c>
      <c r="C568" s="2">
        <v>7.5135499999999994E-2</v>
      </c>
      <c r="D568" s="60">
        <v>5.2594900000000004</v>
      </c>
      <c r="E568" s="2">
        <v>12.1</v>
      </c>
      <c r="F568" s="2">
        <v>4</v>
      </c>
      <c r="G568" s="2">
        <v>14.352399999999999</v>
      </c>
      <c r="H568" s="2">
        <v>16.487400000000001</v>
      </c>
      <c r="I568" s="2">
        <v>0</v>
      </c>
      <c r="J568" s="2">
        <v>0</v>
      </c>
    </row>
    <row r="569" spans="1:10">
      <c r="A569" s="2" t="s">
        <v>148</v>
      </c>
      <c r="B569" s="2" t="s">
        <v>101</v>
      </c>
      <c r="C569" s="2">
        <v>6.4614E-3</v>
      </c>
      <c r="D569" s="60">
        <v>0</v>
      </c>
      <c r="E569" s="2">
        <v>11.8</v>
      </c>
      <c r="F569" s="2">
        <v>0.3</v>
      </c>
      <c r="G569" s="2">
        <v>16.487400000000001</v>
      </c>
      <c r="H569" s="2">
        <v>16.631900000000002</v>
      </c>
      <c r="I569" s="2">
        <v>0</v>
      </c>
      <c r="J569" s="2">
        <v>0</v>
      </c>
    </row>
    <row r="570" spans="1:10">
      <c r="A570" s="2" t="s">
        <v>138</v>
      </c>
      <c r="B570" s="2">
        <v>10</v>
      </c>
      <c r="C570" s="2">
        <v>18.983499999999999</v>
      </c>
      <c r="D570" s="60" t="s">
        <v>149</v>
      </c>
    </row>
    <row r="571" spans="1:10">
      <c r="A571" s="2" t="s">
        <v>140</v>
      </c>
      <c r="B571" s="2">
        <v>0</v>
      </c>
      <c r="C571" s="2">
        <v>37.413200000000003</v>
      </c>
      <c r="D571" s="60">
        <v>33.225499999999997</v>
      </c>
    </row>
    <row r="572" spans="1:10">
      <c r="A572" s="2" t="s">
        <v>141</v>
      </c>
      <c r="B572" s="2">
        <v>0</v>
      </c>
      <c r="C572" s="2">
        <v>7.2</v>
      </c>
      <c r="D572" s="60" t="s">
        <v>142</v>
      </c>
    </row>
    <row r="573" spans="1:10">
      <c r="A573" s="2" t="s">
        <v>141</v>
      </c>
      <c r="B573" s="2">
        <v>0</v>
      </c>
      <c r="C573" s="2">
        <v>26.969899999999999</v>
      </c>
      <c r="D573" s="60" t="s">
        <v>146</v>
      </c>
    </row>
    <row r="574" spans="1:10">
      <c r="A574" s="2" t="s">
        <v>141</v>
      </c>
      <c r="B574" s="2">
        <v>7.2</v>
      </c>
      <c r="C574" s="2">
        <v>26.969899999999999</v>
      </c>
      <c r="D574" s="60" t="s">
        <v>144</v>
      </c>
    </row>
    <row r="575" spans="1:10">
      <c r="A575" s="2" t="s">
        <v>141</v>
      </c>
      <c r="B575" s="2">
        <v>10.4</v>
      </c>
      <c r="C575" s="2">
        <v>10.7</v>
      </c>
      <c r="D575" s="60" t="s">
        <v>153</v>
      </c>
    </row>
    <row r="576" spans="1:10">
      <c r="A576" s="2" t="s">
        <v>141</v>
      </c>
      <c r="B576" s="2">
        <v>10.4</v>
      </c>
      <c r="C576" s="2">
        <v>10.7</v>
      </c>
      <c r="D576" s="60" t="s">
        <v>154</v>
      </c>
    </row>
    <row r="577" spans="1:10">
      <c r="A577" s="2" t="s">
        <v>156</v>
      </c>
      <c r="B577" s="2">
        <v>10.4</v>
      </c>
      <c r="C577" s="2">
        <v>28.291699999999999</v>
      </c>
    </row>
    <row r="578" spans="1:10">
      <c r="A578" s="2" t="s">
        <v>148</v>
      </c>
      <c r="B578" s="2" t="s">
        <v>99</v>
      </c>
      <c r="C578" s="2">
        <v>3.63015E-2</v>
      </c>
      <c r="D578" s="60">
        <v>0</v>
      </c>
      <c r="E578" s="2">
        <v>0</v>
      </c>
      <c r="F578" s="2">
        <v>0.3</v>
      </c>
      <c r="G578" s="2">
        <v>38.491</v>
      </c>
      <c r="H578" s="2">
        <v>40.0593</v>
      </c>
      <c r="I578" s="2">
        <v>0</v>
      </c>
      <c r="J578" s="2">
        <v>0</v>
      </c>
    </row>
    <row r="579" spans="1:10">
      <c r="A579" s="2" t="s">
        <v>148</v>
      </c>
      <c r="B579" s="2" t="s">
        <v>100</v>
      </c>
      <c r="C579" s="2">
        <v>2.82682E-2</v>
      </c>
      <c r="D579" s="60">
        <v>0</v>
      </c>
      <c r="E579" s="2">
        <v>23.835000000000001</v>
      </c>
      <c r="F579" s="2">
        <v>9.3904700000000005</v>
      </c>
      <c r="G579" s="2">
        <v>0</v>
      </c>
      <c r="H579" s="2">
        <v>10</v>
      </c>
      <c r="I579" s="2">
        <v>0</v>
      </c>
      <c r="J579" s="2">
        <v>0</v>
      </c>
    </row>
    <row r="580" spans="1:10">
      <c r="A580" s="2" t="s">
        <v>148</v>
      </c>
      <c r="B580" s="2" t="s">
        <v>98</v>
      </c>
      <c r="C580" s="2">
        <v>1.1379800000000001E-2</v>
      </c>
      <c r="D580" s="60">
        <v>0</v>
      </c>
      <c r="E580" s="2">
        <v>22.5487</v>
      </c>
      <c r="F580" s="2">
        <v>1.28634</v>
      </c>
      <c r="G580" s="2">
        <v>10</v>
      </c>
      <c r="H580" s="2">
        <v>11.213900000000001</v>
      </c>
      <c r="I580" s="2">
        <v>0</v>
      </c>
      <c r="J580" s="2">
        <v>0</v>
      </c>
    </row>
    <row r="581" spans="1:10">
      <c r="A581" s="2" t="s">
        <v>148</v>
      </c>
      <c r="B581" s="2" t="s">
        <v>101</v>
      </c>
      <c r="C581" s="2">
        <v>4.8249600000000001E-4</v>
      </c>
      <c r="D581" s="60">
        <v>0</v>
      </c>
      <c r="E581" s="2">
        <v>22.5</v>
      </c>
      <c r="F581" s="2">
        <v>4.8654200000000002E-2</v>
      </c>
      <c r="G581" s="2">
        <v>11.213900000000001</v>
      </c>
      <c r="H581" s="2">
        <v>11.2597</v>
      </c>
      <c r="I581" s="2">
        <v>0</v>
      </c>
      <c r="J581" s="2">
        <v>0</v>
      </c>
    </row>
    <row r="582" spans="1:10">
      <c r="A582" s="2" t="s">
        <v>148</v>
      </c>
      <c r="B582" s="2" t="s">
        <v>64</v>
      </c>
      <c r="C582" s="2">
        <v>5.0874099999999998E-2</v>
      </c>
      <c r="D582" s="60">
        <v>1.5262199999999999</v>
      </c>
      <c r="E582" s="2">
        <v>18.7</v>
      </c>
      <c r="F582" s="2">
        <v>3.8</v>
      </c>
      <c r="G582" s="2">
        <v>11.2597</v>
      </c>
      <c r="H582" s="2">
        <v>14.734500000000001</v>
      </c>
      <c r="I582" s="2">
        <v>0</v>
      </c>
      <c r="J582" s="2">
        <v>0</v>
      </c>
    </row>
    <row r="583" spans="1:10">
      <c r="A583" s="2" t="s">
        <v>148</v>
      </c>
      <c r="B583" s="2" t="s">
        <v>63</v>
      </c>
      <c r="C583" s="2">
        <v>8.49221E-2</v>
      </c>
      <c r="D583" s="60">
        <v>5.9445399999999999</v>
      </c>
      <c r="E583" s="2">
        <v>14.7</v>
      </c>
      <c r="F583" s="2">
        <v>4</v>
      </c>
      <c r="G583" s="2">
        <v>14.734500000000001</v>
      </c>
      <c r="H583" s="2">
        <v>18.011900000000001</v>
      </c>
      <c r="I583" s="2">
        <v>0</v>
      </c>
      <c r="J583" s="2">
        <v>0</v>
      </c>
    </row>
    <row r="584" spans="1:10">
      <c r="A584" s="2" t="s">
        <v>148</v>
      </c>
      <c r="B584" s="2" t="s">
        <v>61</v>
      </c>
      <c r="C584" s="2">
        <v>0.118807</v>
      </c>
      <c r="D584" s="60">
        <v>10.098599999999999</v>
      </c>
      <c r="E584" s="2">
        <v>10.7</v>
      </c>
      <c r="F584" s="2">
        <v>4</v>
      </c>
      <c r="G584" s="2">
        <v>18.011900000000001</v>
      </c>
      <c r="H584" s="2">
        <v>20.7577</v>
      </c>
      <c r="I584" s="2">
        <v>0</v>
      </c>
      <c r="J584" s="2">
        <v>0</v>
      </c>
    </row>
    <row r="585" spans="1:10">
      <c r="A585" s="2" t="s">
        <v>148</v>
      </c>
      <c r="B585" s="2" t="s">
        <v>101</v>
      </c>
      <c r="C585" s="2">
        <v>1.5941E-2</v>
      </c>
      <c r="D585" s="60">
        <v>0</v>
      </c>
      <c r="E585" s="2">
        <v>10.3</v>
      </c>
      <c r="F585" s="2">
        <v>0.4</v>
      </c>
      <c r="G585" s="2">
        <v>20.7577</v>
      </c>
      <c r="H585" s="2">
        <v>26.973700000000001</v>
      </c>
      <c r="I585" s="2">
        <v>0</v>
      </c>
      <c r="J585" s="2">
        <v>0</v>
      </c>
    </row>
    <row r="586" spans="1:10">
      <c r="A586" s="2" t="s">
        <v>148</v>
      </c>
      <c r="B586" s="2" t="s">
        <v>60</v>
      </c>
      <c r="C586" s="2">
        <v>0.400642</v>
      </c>
      <c r="D586" s="60">
        <v>36.0578</v>
      </c>
      <c r="E586" s="2">
        <v>4.3</v>
      </c>
      <c r="F586" s="2">
        <v>6</v>
      </c>
      <c r="G586" s="2">
        <v>26.973700000000001</v>
      </c>
      <c r="H586" s="2">
        <v>31.227599999999999</v>
      </c>
      <c r="I586" s="2">
        <v>0</v>
      </c>
      <c r="J586" s="2">
        <v>0</v>
      </c>
    </row>
    <row r="587" spans="1:10">
      <c r="A587" s="2" t="s">
        <v>148</v>
      </c>
      <c r="B587" s="2" t="s">
        <v>59</v>
      </c>
      <c r="C587" s="2">
        <v>0.35809800000000003</v>
      </c>
      <c r="D587" s="60">
        <v>35.809800000000003</v>
      </c>
      <c r="E587" s="2">
        <v>0.3</v>
      </c>
      <c r="F587" s="2">
        <v>4</v>
      </c>
      <c r="G587" s="2">
        <v>31.227599999999999</v>
      </c>
      <c r="H587" s="2">
        <v>38.491</v>
      </c>
      <c r="I587" s="2">
        <v>0</v>
      </c>
      <c r="J587" s="2">
        <v>0</v>
      </c>
    </row>
    <row r="588" spans="1:10">
      <c r="A588" s="2" t="s">
        <v>140</v>
      </c>
      <c r="B588" s="2">
        <v>1</v>
      </c>
      <c r="C588" s="2">
        <v>22.902799999999999</v>
      </c>
      <c r="D588" s="60">
        <v>33.225499999999997</v>
      </c>
      <c r="E588" s="2">
        <v>10.4</v>
      </c>
    </row>
    <row r="589" spans="1:10">
      <c r="A589" s="2" t="s">
        <v>141</v>
      </c>
      <c r="B589" s="2">
        <v>10.4</v>
      </c>
      <c r="C589" s="2">
        <v>10.7</v>
      </c>
      <c r="D589" s="60" t="s">
        <v>153</v>
      </c>
    </row>
    <row r="590" spans="1:10">
      <c r="A590" s="2" t="s">
        <v>141</v>
      </c>
      <c r="B590" s="2">
        <v>10.4</v>
      </c>
      <c r="C590" s="2">
        <v>26.969899999999999</v>
      </c>
      <c r="D590" s="60" t="s">
        <v>144</v>
      </c>
    </row>
    <row r="591" spans="1:10">
      <c r="A591" s="2" t="s">
        <v>141</v>
      </c>
      <c r="B591" s="2">
        <v>10.4</v>
      </c>
      <c r="C591" s="2">
        <v>26.969899999999999</v>
      </c>
      <c r="D591" s="60" t="s">
        <v>146</v>
      </c>
    </row>
    <row r="592" spans="1:10">
      <c r="A592" s="2" t="s">
        <v>148</v>
      </c>
      <c r="B592" s="2" t="s">
        <v>100</v>
      </c>
      <c r="C592" s="2">
        <v>3.3930799999999997E-2</v>
      </c>
      <c r="D592" s="60">
        <v>0</v>
      </c>
      <c r="E592" s="2">
        <v>21.621300000000002</v>
      </c>
      <c r="F592" s="2">
        <v>11.604200000000001</v>
      </c>
      <c r="G592" s="2">
        <v>0</v>
      </c>
      <c r="H592" s="2">
        <v>10</v>
      </c>
      <c r="I592" s="2">
        <v>0</v>
      </c>
      <c r="J592" s="2">
        <v>0</v>
      </c>
    </row>
    <row r="593" spans="1:10">
      <c r="A593" s="2" t="s">
        <v>148</v>
      </c>
      <c r="B593" s="2" t="s">
        <v>98</v>
      </c>
      <c r="C593" s="2">
        <v>9.7508999999999998E-2</v>
      </c>
      <c r="D593" s="60">
        <v>0</v>
      </c>
      <c r="E593" s="2">
        <v>14.089</v>
      </c>
      <c r="F593" s="2">
        <v>7.5322199999999997</v>
      </c>
      <c r="G593" s="2">
        <v>10</v>
      </c>
      <c r="H593" s="2">
        <v>15.283799999999999</v>
      </c>
      <c r="I593" s="2">
        <v>0</v>
      </c>
      <c r="J593" s="2">
        <v>0</v>
      </c>
    </row>
    <row r="594" spans="1:10">
      <c r="A594" s="2" t="s">
        <v>148</v>
      </c>
      <c r="B594" s="2" t="s">
        <v>101</v>
      </c>
      <c r="C594" s="2">
        <v>7.7458700000000005E-2</v>
      </c>
      <c r="D594" s="60">
        <v>0</v>
      </c>
      <c r="E594" s="2">
        <v>10.4</v>
      </c>
      <c r="F594" s="2">
        <v>3.6890399999999999</v>
      </c>
      <c r="G594" s="2">
        <v>15.283799999999999</v>
      </c>
      <c r="H594" s="2">
        <v>17.3322</v>
      </c>
      <c r="I594" s="2">
        <v>0</v>
      </c>
      <c r="J594" s="2">
        <v>0</v>
      </c>
    </row>
    <row r="595" spans="1:10">
      <c r="A595" s="2" t="s">
        <v>138</v>
      </c>
      <c r="B595" s="2">
        <v>11</v>
      </c>
      <c r="C595" s="2">
        <v>19.7469</v>
      </c>
      <c r="D595" s="60" t="s">
        <v>149</v>
      </c>
    </row>
    <row r="596" spans="1:10">
      <c r="A596" s="2" t="s">
        <v>140</v>
      </c>
      <c r="B596" s="2">
        <v>0</v>
      </c>
      <c r="C596" s="2">
        <v>55.596299999999999</v>
      </c>
      <c r="D596" s="60">
        <v>37.3005</v>
      </c>
    </row>
    <row r="597" spans="1:10">
      <c r="A597" s="2" t="s">
        <v>141</v>
      </c>
      <c r="B597" s="2">
        <v>0</v>
      </c>
      <c r="C597" s="2">
        <v>7.1</v>
      </c>
      <c r="D597" s="60" t="s">
        <v>142</v>
      </c>
    </row>
    <row r="598" spans="1:10">
      <c r="A598" s="2" t="s">
        <v>141</v>
      </c>
      <c r="B598" s="2">
        <v>0</v>
      </c>
      <c r="C598" s="2">
        <v>30.0762</v>
      </c>
      <c r="D598" s="60" t="s">
        <v>146</v>
      </c>
    </row>
    <row r="599" spans="1:10">
      <c r="A599" s="2" t="s">
        <v>141</v>
      </c>
      <c r="B599" s="2">
        <v>7.1</v>
      </c>
      <c r="C599" s="2">
        <v>10.8</v>
      </c>
      <c r="D599" s="60" t="s">
        <v>144</v>
      </c>
    </row>
    <row r="600" spans="1:10">
      <c r="A600" s="2" t="s">
        <v>141</v>
      </c>
      <c r="B600" s="2">
        <v>10.8</v>
      </c>
      <c r="C600" s="2">
        <v>12.7</v>
      </c>
      <c r="D600" s="60" t="s">
        <v>145</v>
      </c>
    </row>
    <row r="601" spans="1:10">
      <c r="A601" s="2" t="s">
        <v>141</v>
      </c>
      <c r="B601" s="2">
        <v>12.7</v>
      </c>
      <c r="C601" s="2">
        <v>13.2</v>
      </c>
      <c r="D601" s="60" t="s">
        <v>147</v>
      </c>
    </row>
    <row r="602" spans="1:10">
      <c r="A602" s="2" t="s">
        <v>141</v>
      </c>
      <c r="B602" s="2">
        <v>13.2</v>
      </c>
      <c r="C602" s="2">
        <v>15.8</v>
      </c>
      <c r="D602" s="60" t="s">
        <v>145</v>
      </c>
    </row>
    <row r="603" spans="1:10">
      <c r="A603" s="2" t="s">
        <v>141</v>
      </c>
      <c r="B603" s="2">
        <v>15.8</v>
      </c>
      <c r="C603" s="2">
        <v>30.0762</v>
      </c>
      <c r="D603" s="60" t="s">
        <v>144</v>
      </c>
    </row>
    <row r="604" spans="1:10">
      <c r="A604" s="2" t="s">
        <v>148</v>
      </c>
      <c r="B604" s="2" t="s">
        <v>99</v>
      </c>
      <c r="C604" s="2">
        <v>7.4354799999999999E-2</v>
      </c>
      <c r="D604" s="60">
        <v>0</v>
      </c>
      <c r="E604" s="2">
        <v>0</v>
      </c>
      <c r="F604" s="2">
        <v>0.3</v>
      </c>
      <c r="G604" s="2">
        <v>55.194600000000001</v>
      </c>
      <c r="H604" s="2">
        <v>57.210900000000002</v>
      </c>
      <c r="I604" s="2">
        <v>0</v>
      </c>
      <c r="J604" s="2">
        <v>0</v>
      </c>
    </row>
    <row r="605" spans="1:10">
      <c r="A605" s="2" t="s">
        <v>148</v>
      </c>
      <c r="B605" s="2" t="s">
        <v>100</v>
      </c>
      <c r="C605" s="2">
        <v>1.7318099999999999E-2</v>
      </c>
      <c r="D605" s="60">
        <v>0</v>
      </c>
      <c r="E605" s="2">
        <v>32.310400000000001</v>
      </c>
      <c r="F605" s="2">
        <v>4.9901299999999997</v>
      </c>
      <c r="G605" s="2">
        <v>0</v>
      </c>
      <c r="H605" s="2">
        <v>10</v>
      </c>
      <c r="I605" s="2">
        <v>0</v>
      </c>
      <c r="J605" s="2">
        <v>0</v>
      </c>
    </row>
    <row r="606" spans="1:10">
      <c r="A606" s="2" t="s">
        <v>148</v>
      </c>
      <c r="B606" s="2" t="s">
        <v>98</v>
      </c>
      <c r="C606" s="2">
        <v>0.126275</v>
      </c>
      <c r="D606" s="60">
        <v>0</v>
      </c>
      <c r="E606" s="2">
        <v>25.501899999999999</v>
      </c>
      <c r="F606" s="2">
        <v>6.8084899999999999</v>
      </c>
      <c r="G606" s="2">
        <v>10</v>
      </c>
      <c r="H606" s="2">
        <v>20.279499999999999</v>
      </c>
      <c r="I606" s="2">
        <v>0</v>
      </c>
      <c r="J606" s="2">
        <v>0</v>
      </c>
    </row>
    <row r="607" spans="1:10">
      <c r="A607" s="2" t="s">
        <v>148</v>
      </c>
      <c r="B607" s="2" t="s">
        <v>101</v>
      </c>
      <c r="C607" s="2">
        <v>3.86419E-2</v>
      </c>
      <c r="D607" s="60">
        <v>0</v>
      </c>
      <c r="E607" s="2">
        <v>24.4</v>
      </c>
      <c r="F607" s="2">
        <v>1.10188</v>
      </c>
      <c r="G607" s="2">
        <v>20.279499999999999</v>
      </c>
      <c r="H607" s="2">
        <v>21.968399999999999</v>
      </c>
      <c r="I607" s="2">
        <v>0</v>
      </c>
      <c r="J607" s="2">
        <v>0</v>
      </c>
    </row>
    <row r="608" spans="1:10">
      <c r="A608" s="2" t="s">
        <v>148</v>
      </c>
      <c r="B608" s="2" t="s">
        <v>61</v>
      </c>
      <c r="C608" s="2">
        <v>0.33111000000000002</v>
      </c>
      <c r="D608" s="60">
        <v>28.144300000000001</v>
      </c>
      <c r="E608" s="2">
        <v>18.399999999999999</v>
      </c>
      <c r="F608" s="2">
        <v>6</v>
      </c>
      <c r="G608" s="2">
        <v>21.968399999999999</v>
      </c>
      <c r="H608" s="2">
        <v>30.607800000000001</v>
      </c>
      <c r="I608" s="2">
        <v>0</v>
      </c>
      <c r="J608" s="2">
        <v>0</v>
      </c>
    </row>
    <row r="609" spans="1:10">
      <c r="A609" s="2" t="s">
        <v>148</v>
      </c>
      <c r="B609" s="2" t="s">
        <v>59</v>
      </c>
      <c r="C609" s="2">
        <v>0.55612099999999998</v>
      </c>
      <c r="D609" s="60">
        <v>55.612099999999998</v>
      </c>
      <c r="E609" s="2">
        <v>12.4</v>
      </c>
      <c r="F609" s="2">
        <v>6</v>
      </c>
      <c r="G609" s="2">
        <v>30.607800000000001</v>
      </c>
      <c r="H609" s="2">
        <v>37.677599999999998</v>
      </c>
      <c r="I609" s="2">
        <v>0</v>
      </c>
      <c r="J609" s="2">
        <v>0</v>
      </c>
    </row>
    <row r="610" spans="1:10">
      <c r="A610" s="2" t="s">
        <v>148</v>
      </c>
      <c r="B610" s="2" t="s">
        <v>59</v>
      </c>
      <c r="C610" s="2">
        <v>0.77496200000000004</v>
      </c>
      <c r="D610" s="60">
        <v>77.496200000000002</v>
      </c>
      <c r="E610" s="2">
        <v>6.4</v>
      </c>
      <c r="F610" s="2">
        <v>6</v>
      </c>
      <c r="G610" s="2">
        <v>37.677599999999998</v>
      </c>
      <c r="H610" s="2">
        <v>43.186</v>
      </c>
      <c r="I610" s="2">
        <v>0</v>
      </c>
      <c r="J610" s="2">
        <v>0</v>
      </c>
    </row>
    <row r="611" spans="1:10">
      <c r="A611" s="2" t="s">
        <v>148</v>
      </c>
      <c r="B611" s="2" t="s">
        <v>55</v>
      </c>
      <c r="C611" s="2">
        <v>1.06657</v>
      </c>
      <c r="D611" s="60">
        <v>154.65299999999999</v>
      </c>
      <c r="E611" s="2">
        <v>0.3</v>
      </c>
      <c r="F611" s="2">
        <v>6.1</v>
      </c>
      <c r="G611" s="2">
        <v>43.186</v>
      </c>
      <c r="H611" s="2">
        <v>55.194600000000001</v>
      </c>
      <c r="I611" s="2">
        <v>0</v>
      </c>
      <c r="J611" s="2">
        <v>0</v>
      </c>
    </row>
    <row r="612" spans="1:10">
      <c r="A612" s="2" t="s">
        <v>138</v>
      </c>
      <c r="B612" s="2">
        <v>12</v>
      </c>
      <c r="C612" s="2">
        <v>19.262799999999999</v>
      </c>
      <c r="D612" s="60" t="s">
        <v>149</v>
      </c>
    </row>
    <row r="613" spans="1:10">
      <c r="A613" s="2" t="s">
        <v>140</v>
      </c>
      <c r="B613" s="2">
        <v>0</v>
      </c>
      <c r="C613" s="2">
        <v>41.075099999999999</v>
      </c>
      <c r="D613" s="60">
        <v>34.196599999999997</v>
      </c>
    </row>
    <row r="614" spans="1:10">
      <c r="A614" s="2" t="s">
        <v>141</v>
      </c>
      <c r="B614" s="2">
        <v>0</v>
      </c>
      <c r="C614" s="2">
        <v>6.6</v>
      </c>
      <c r="D614" s="60" t="s">
        <v>142</v>
      </c>
    </row>
    <row r="615" spans="1:10">
      <c r="A615" s="2" t="s">
        <v>141</v>
      </c>
      <c r="B615" s="2">
        <v>0</v>
      </c>
      <c r="C615" s="2">
        <v>11.8</v>
      </c>
      <c r="D615" s="60" t="s">
        <v>146</v>
      </c>
    </row>
    <row r="616" spans="1:10">
      <c r="A616" s="2" t="s">
        <v>141</v>
      </c>
      <c r="B616" s="2">
        <v>6.6</v>
      </c>
      <c r="C616" s="2">
        <v>27.7102</v>
      </c>
      <c r="D616" s="60" t="s">
        <v>144</v>
      </c>
    </row>
    <row r="617" spans="1:10">
      <c r="A617" s="2" t="s">
        <v>141</v>
      </c>
      <c r="B617" s="2">
        <v>11.8</v>
      </c>
      <c r="C617" s="2">
        <v>27.7102</v>
      </c>
      <c r="D617" s="60" t="s">
        <v>155</v>
      </c>
    </row>
    <row r="618" spans="1:10">
      <c r="A618" s="2" t="s">
        <v>148</v>
      </c>
      <c r="B618" s="2" t="s">
        <v>99</v>
      </c>
      <c r="C618" s="2">
        <v>4.2990399999999998E-2</v>
      </c>
      <c r="D618" s="60">
        <v>0</v>
      </c>
      <c r="E618" s="2">
        <v>0</v>
      </c>
      <c r="F618" s="2">
        <v>0.3</v>
      </c>
      <c r="G618" s="2">
        <v>41.908299999999997</v>
      </c>
      <c r="H618" s="2">
        <v>43.5702</v>
      </c>
      <c r="I618" s="2">
        <v>0</v>
      </c>
      <c r="J618" s="2">
        <v>0</v>
      </c>
    </row>
    <row r="619" spans="1:10">
      <c r="A619" s="2" t="s">
        <v>148</v>
      </c>
      <c r="B619" s="2" t="s">
        <v>100</v>
      </c>
      <c r="C619" s="2">
        <v>2.12012E-2</v>
      </c>
      <c r="D619" s="60">
        <v>0</v>
      </c>
      <c r="E619" s="2">
        <v>27.661799999999999</v>
      </c>
      <c r="F619" s="2">
        <v>6.5348199999999999</v>
      </c>
      <c r="G619" s="2">
        <v>0</v>
      </c>
      <c r="H619" s="2">
        <v>10</v>
      </c>
      <c r="I619" s="2">
        <v>0</v>
      </c>
      <c r="J619" s="2">
        <v>0</v>
      </c>
    </row>
    <row r="620" spans="1:10">
      <c r="A620" s="2" t="s">
        <v>148</v>
      </c>
      <c r="B620" s="2" t="s">
        <v>98</v>
      </c>
      <c r="C620" s="2">
        <v>7.4352500000000002E-2</v>
      </c>
      <c r="D620" s="60">
        <v>0</v>
      </c>
      <c r="E620" s="2">
        <v>22.431100000000001</v>
      </c>
      <c r="F620" s="2">
        <v>5.2306900000000001</v>
      </c>
      <c r="G620" s="2">
        <v>10</v>
      </c>
      <c r="H620" s="2">
        <v>16.6525</v>
      </c>
      <c r="I620" s="2">
        <v>0</v>
      </c>
      <c r="J620" s="2">
        <v>0</v>
      </c>
    </row>
    <row r="621" spans="1:10">
      <c r="A621" s="2" t="s">
        <v>148</v>
      </c>
      <c r="B621" s="2" t="s">
        <v>101</v>
      </c>
      <c r="C621" s="2">
        <v>2.8842199999999998E-3</v>
      </c>
      <c r="D621" s="60">
        <v>0</v>
      </c>
      <c r="E621" s="2">
        <v>22.3</v>
      </c>
      <c r="F621" s="2">
        <v>0.13111500000000001</v>
      </c>
      <c r="G621" s="2">
        <v>16.6525</v>
      </c>
      <c r="H621" s="2">
        <v>16.8186</v>
      </c>
      <c r="I621" s="2">
        <v>0</v>
      </c>
      <c r="J621" s="2">
        <v>0</v>
      </c>
    </row>
    <row r="622" spans="1:10">
      <c r="A622" s="2" t="s">
        <v>148</v>
      </c>
      <c r="B622" s="2" t="s">
        <v>63</v>
      </c>
      <c r="C622" s="2">
        <v>0.117553</v>
      </c>
      <c r="D622" s="60">
        <v>8.2286900000000003</v>
      </c>
      <c r="E622" s="2">
        <v>18.3</v>
      </c>
      <c r="F622" s="2">
        <v>4</v>
      </c>
      <c r="G622" s="2">
        <v>16.8186</v>
      </c>
      <c r="H622" s="2">
        <v>21.693300000000001</v>
      </c>
      <c r="I622" s="2">
        <v>0</v>
      </c>
      <c r="J622" s="2">
        <v>0</v>
      </c>
    </row>
    <row r="623" spans="1:10">
      <c r="A623" s="2" t="s">
        <v>148</v>
      </c>
      <c r="B623" s="2" t="s">
        <v>63</v>
      </c>
      <c r="C623" s="2">
        <v>0.29409999999999997</v>
      </c>
      <c r="D623" s="60">
        <v>20.587</v>
      </c>
      <c r="E623" s="2">
        <v>12.3</v>
      </c>
      <c r="F623" s="2">
        <v>6</v>
      </c>
      <c r="G623" s="2">
        <v>21.693300000000001</v>
      </c>
      <c r="H623" s="2">
        <v>27.878299999999999</v>
      </c>
      <c r="I623" s="2">
        <v>0</v>
      </c>
      <c r="J623" s="2">
        <v>0</v>
      </c>
    </row>
    <row r="624" spans="1:10">
      <c r="A624" s="2" t="s">
        <v>148</v>
      </c>
      <c r="B624" s="2" t="s">
        <v>62</v>
      </c>
      <c r="C624" s="2">
        <v>0.27474500000000002</v>
      </c>
      <c r="D624" s="60">
        <v>21.979600000000001</v>
      </c>
      <c r="E624" s="2">
        <v>8.3000000000000007</v>
      </c>
      <c r="F624" s="2">
        <v>4</v>
      </c>
      <c r="G624" s="2">
        <v>27.878299999999999</v>
      </c>
      <c r="H624" s="2">
        <v>31.133900000000001</v>
      </c>
      <c r="I624" s="2">
        <v>0</v>
      </c>
      <c r="J624" s="2">
        <v>0</v>
      </c>
    </row>
    <row r="625" spans="1:10">
      <c r="A625" s="2" t="s">
        <v>148</v>
      </c>
      <c r="B625" s="2" t="s">
        <v>59</v>
      </c>
      <c r="C625" s="2">
        <v>0.33378400000000003</v>
      </c>
      <c r="D625" s="60">
        <v>33.378399999999999</v>
      </c>
      <c r="E625" s="2">
        <v>4.3</v>
      </c>
      <c r="F625" s="2">
        <v>4</v>
      </c>
      <c r="G625" s="2">
        <v>31.133900000000001</v>
      </c>
      <c r="H625" s="2">
        <v>34.0655</v>
      </c>
      <c r="I625" s="2">
        <v>0</v>
      </c>
      <c r="J625" s="2">
        <v>0</v>
      </c>
    </row>
    <row r="626" spans="1:10">
      <c r="A626" s="2" t="s">
        <v>148</v>
      </c>
      <c r="B626" s="2" t="s">
        <v>59</v>
      </c>
      <c r="C626" s="2">
        <v>0.425788</v>
      </c>
      <c r="D626" s="60">
        <v>42.578800000000001</v>
      </c>
      <c r="E626" s="2">
        <v>0.3</v>
      </c>
      <c r="F626" s="2">
        <v>4</v>
      </c>
      <c r="G626" s="2">
        <v>34.0655</v>
      </c>
      <c r="H626" s="2">
        <v>41.908299999999997</v>
      </c>
      <c r="I626" s="2">
        <v>0</v>
      </c>
      <c r="J626" s="2">
        <v>0</v>
      </c>
    </row>
    <row r="627" spans="1:10">
      <c r="A627" s="2" t="s">
        <v>138</v>
      </c>
      <c r="B627" s="2">
        <v>13</v>
      </c>
      <c r="C627" s="2">
        <v>19.207000000000001</v>
      </c>
      <c r="D627" s="60" t="s">
        <v>139</v>
      </c>
    </row>
    <row r="628" spans="1:10">
      <c r="A628" s="2" t="s">
        <v>140</v>
      </c>
      <c r="B628" s="2">
        <v>0</v>
      </c>
      <c r="C628" s="2">
        <v>39.514299999999999</v>
      </c>
      <c r="D628" s="60">
        <v>35.101599999999998</v>
      </c>
    </row>
    <row r="629" spans="1:10">
      <c r="A629" s="2" t="s">
        <v>141</v>
      </c>
      <c r="B629" s="2">
        <v>0</v>
      </c>
      <c r="C629" s="2">
        <v>7.3</v>
      </c>
      <c r="D629" s="60" t="s">
        <v>142</v>
      </c>
    </row>
    <row r="630" spans="1:10">
      <c r="A630" s="2" t="s">
        <v>141</v>
      </c>
      <c r="B630" s="2">
        <v>0</v>
      </c>
      <c r="C630" s="2">
        <v>28.4</v>
      </c>
      <c r="D630" s="60" t="s">
        <v>143</v>
      </c>
    </row>
    <row r="631" spans="1:10">
      <c r="A631" s="2" t="s">
        <v>141</v>
      </c>
      <c r="B631" s="2">
        <v>7.3</v>
      </c>
      <c r="C631" s="2">
        <v>28.4</v>
      </c>
      <c r="D631" s="60" t="s">
        <v>144</v>
      </c>
    </row>
    <row r="632" spans="1:10">
      <c r="A632" s="2" t="s">
        <v>148</v>
      </c>
      <c r="B632" s="2" t="s">
        <v>99</v>
      </c>
      <c r="C632" s="2">
        <v>4.0178800000000001E-2</v>
      </c>
      <c r="D632" s="60">
        <v>0</v>
      </c>
      <c r="E632" s="2">
        <v>0</v>
      </c>
      <c r="F632" s="2">
        <v>0.3</v>
      </c>
      <c r="G632" s="2">
        <v>40.532800000000002</v>
      </c>
      <c r="H632" s="2">
        <v>42.100999999999999</v>
      </c>
      <c r="I632" s="2">
        <v>0</v>
      </c>
      <c r="J632" s="2">
        <v>0</v>
      </c>
    </row>
    <row r="633" spans="1:10">
      <c r="A633" s="2" t="s">
        <v>148</v>
      </c>
      <c r="B633" s="2" t="s">
        <v>100</v>
      </c>
      <c r="C633" s="2">
        <v>2.25045E-2</v>
      </c>
      <c r="D633" s="60">
        <v>0</v>
      </c>
      <c r="E633" s="2">
        <v>28.106000000000002</v>
      </c>
      <c r="F633" s="2">
        <v>6.9955699999999998</v>
      </c>
      <c r="G633" s="2">
        <v>0</v>
      </c>
      <c r="H633" s="2">
        <v>10</v>
      </c>
      <c r="I633" s="2">
        <v>0</v>
      </c>
      <c r="J633" s="2">
        <v>0</v>
      </c>
    </row>
    <row r="634" spans="1:10">
      <c r="A634" s="2" t="s">
        <v>148</v>
      </c>
      <c r="B634" s="2" t="s">
        <v>98</v>
      </c>
      <c r="C634" s="2">
        <v>6.6444100000000006E-2</v>
      </c>
      <c r="D634" s="60">
        <v>0</v>
      </c>
      <c r="E634" s="2">
        <v>23.1553</v>
      </c>
      <c r="F634" s="2">
        <v>4.9506600000000001</v>
      </c>
      <c r="G634" s="2">
        <v>10</v>
      </c>
      <c r="H634" s="2">
        <v>15.935</v>
      </c>
      <c r="I634" s="2">
        <v>0</v>
      </c>
      <c r="J634" s="2">
        <v>0</v>
      </c>
    </row>
    <row r="635" spans="1:10">
      <c r="A635" s="2" t="s">
        <v>148</v>
      </c>
      <c r="B635" s="2" t="s">
        <v>101</v>
      </c>
      <c r="C635" s="2">
        <v>1.8171699999999999E-2</v>
      </c>
      <c r="D635" s="60">
        <v>0</v>
      </c>
      <c r="E635" s="2">
        <v>22.3</v>
      </c>
      <c r="F635" s="2">
        <v>0.85532200000000003</v>
      </c>
      <c r="G635" s="2">
        <v>15.935</v>
      </c>
      <c r="H635" s="2">
        <v>16.952000000000002</v>
      </c>
      <c r="I635" s="2">
        <v>0</v>
      </c>
      <c r="J635" s="2">
        <v>0</v>
      </c>
    </row>
    <row r="636" spans="1:10">
      <c r="A636" s="2" t="s">
        <v>148</v>
      </c>
      <c r="B636" s="2" t="s">
        <v>61</v>
      </c>
      <c r="C636" s="2">
        <v>0.19683500000000001</v>
      </c>
      <c r="D636" s="60">
        <v>16.731000000000002</v>
      </c>
      <c r="E636" s="2">
        <v>16.3</v>
      </c>
      <c r="F636" s="2">
        <v>6</v>
      </c>
      <c r="G636" s="2">
        <v>16.952000000000002</v>
      </c>
      <c r="H636" s="2">
        <v>23.5562</v>
      </c>
      <c r="I636" s="2">
        <v>0</v>
      </c>
      <c r="J636" s="2">
        <v>0</v>
      </c>
    </row>
    <row r="637" spans="1:10">
      <c r="A637" s="2" t="s">
        <v>148</v>
      </c>
      <c r="B637" s="2" t="s">
        <v>60</v>
      </c>
      <c r="C637" s="2">
        <v>0.20365800000000001</v>
      </c>
      <c r="D637" s="60">
        <v>18.3292</v>
      </c>
      <c r="E637" s="2">
        <v>12.3</v>
      </c>
      <c r="F637" s="2">
        <v>4</v>
      </c>
      <c r="G637" s="2">
        <v>23.5562</v>
      </c>
      <c r="H637" s="2">
        <v>27.210599999999999</v>
      </c>
      <c r="I637" s="2">
        <v>0</v>
      </c>
      <c r="J637" s="2">
        <v>0</v>
      </c>
    </row>
    <row r="638" spans="1:10">
      <c r="A638" s="2" t="s">
        <v>148</v>
      </c>
      <c r="B638" s="2" t="s">
        <v>60</v>
      </c>
      <c r="C638" s="2">
        <v>0.26027</v>
      </c>
      <c r="D638" s="60">
        <v>23.424299999999999</v>
      </c>
      <c r="E638" s="2">
        <v>8.3000000000000007</v>
      </c>
      <c r="F638" s="2">
        <v>4</v>
      </c>
      <c r="G638" s="2">
        <v>27.210599999999999</v>
      </c>
      <c r="H638" s="2">
        <v>30.237100000000002</v>
      </c>
      <c r="I638" s="2">
        <v>0</v>
      </c>
      <c r="J638" s="2">
        <v>0</v>
      </c>
    </row>
    <row r="639" spans="1:10">
      <c r="A639" s="2" t="s">
        <v>148</v>
      </c>
      <c r="B639" s="2" t="s">
        <v>59</v>
      </c>
      <c r="C639" s="2">
        <v>0.313917</v>
      </c>
      <c r="D639" s="60">
        <v>31.3917</v>
      </c>
      <c r="E639" s="2">
        <v>4.3</v>
      </c>
      <c r="F639" s="2">
        <v>4</v>
      </c>
      <c r="G639" s="2">
        <v>30.237100000000002</v>
      </c>
      <c r="H639" s="2">
        <v>33.0045</v>
      </c>
      <c r="I639" s="2">
        <v>0</v>
      </c>
      <c r="J639" s="2">
        <v>0</v>
      </c>
    </row>
    <row r="640" spans="1:10">
      <c r="A640" s="2" t="s">
        <v>148</v>
      </c>
      <c r="B640" s="2" t="s">
        <v>59</v>
      </c>
      <c r="C640" s="2">
        <v>0.39939200000000002</v>
      </c>
      <c r="D640" s="60">
        <v>39.9392</v>
      </c>
      <c r="E640" s="2">
        <v>0.3</v>
      </c>
      <c r="F640" s="2">
        <v>4</v>
      </c>
      <c r="G640" s="2">
        <v>33.0045</v>
      </c>
      <c r="H640" s="2">
        <v>40.532800000000002</v>
      </c>
      <c r="I640" s="2">
        <v>0</v>
      </c>
      <c r="J640" s="2">
        <v>0</v>
      </c>
    </row>
    <row r="641" spans="1:10">
      <c r="A641" s="2" t="s">
        <v>138</v>
      </c>
      <c r="B641" s="2">
        <v>14</v>
      </c>
      <c r="C641" s="2">
        <v>19.1572</v>
      </c>
      <c r="D641" s="60" t="s">
        <v>149</v>
      </c>
    </row>
    <row r="642" spans="1:10">
      <c r="A642" s="2" t="s">
        <v>140</v>
      </c>
      <c r="B642" s="2">
        <v>0</v>
      </c>
      <c r="C642" s="2">
        <v>39.514299999999999</v>
      </c>
      <c r="D642" s="60">
        <v>33.793199999999999</v>
      </c>
    </row>
    <row r="643" spans="1:10">
      <c r="A643" s="2" t="s">
        <v>141</v>
      </c>
      <c r="B643" s="2">
        <v>0</v>
      </c>
      <c r="C643" s="2">
        <v>7.1</v>
      </c>
      <c r="D643" s="60" t="s">
        <v>142</v>
      </c>
    </row>
    <row r="644" spans="1:10">
      <c r="A644" s="2" t="s">
        <v>141</v>
      </c>
      <c r="B644" s="2">
        <v>0</v>
      </c>
      <c r="C644" s="2">
        <v>27.402699999999999</v>
      </c>
      <c r="D644" s="60" t="s">
        <v>146</v>
      </c>
    </row>
    <row r="645" spans="1:10">
      <c r="A645" s="2" t="s">
        <v>141</v>
      </c>
      <c r="B645" s="2">
        <v>7.1</v>
      </c>
      <c r="C645" s="2">
        <v>27.402699999999999</v>
      </c>
      <c r="D645" s="60" t="s">
        <v>144</v>
      </c>
    </row>
    <row r="646" spans="1:10">
      <c r="A646" s="2" t="s">
        <v>148</v>
      </c>
      <c r="B646" s="2" t="s">
        <v>99</v>
      </c>
      <c r="C646" s="2">
        <v>4.0077700000000001E-2</v>
      </c>
      <c r="D646" s="60">
        <v>0</v>
      </c>
      <c r="E646" s="2">
        <v>0</v>
      </c>
      <c r="F646" s="2">
        <v>0.3</v>
      </c>
      <c r="G646" s="2">
        <v>40.455399999999997</v>
      </c>
      <c r="H646" s="2">
        <v>42.0777</v>
      </c>
      <c r="I646" s="2">
        <v>0</v>
      </c>
      <c r="J646" s="2">
        <v>0</v>
      </c>
    </row>
    <row r="647" spans="1:10">
      <c r="A647" s="2" t="s">
        <v>148</v>
      </c>
      <c r="B647" s="2" t="s">
        <v>100</v>
      </c>
      <c r="C647" s="2">
        <v>2.1677399999999999E-2</v>
      </c>
      <c r="D647" s="60">
        <v>0</v>
      </c>
      <c r="E647" s="2">
        <v>27.053899999999999</v>
      </c>
      <c r="F647" s="2">
        <v>6.7393700000000001</v>
      </c>
      <c r="G647" s="2">
        <v>0</v>
      </c>
      <c r="H647" s="2">
        <v>10</v>
      </c>
      <c r="I647" s="2">
        <v>0</v>
      </c>
      <c r="J647" s="2">
        <v>0</v>
      </c>
    </row>
    <row r="648" spans="1:10">
      <c r="A648" s="2" t="s">
        <v>148</v>
      </c>
      <c r="B648" s="2" t="s">
        <v>101</v>
      </c>
      <c r="C648" s="2">
        <v>4.258E-4</v>
      </c>
      <c r="D648" s="60">
        <v>0</v>
      </c>
      <c r="E648" s="2">
        <v>27</v>
      </c>
      <c r="F648" s="2">
        <v>5.3859799999999999E-2</v>
      </c>
      <c r="G648" s="2">
        <v>10</v>
      </c>
      <c r="H648" s="2">
        <v>10.0657</v>
      </c>
      <c r="I648" s="2">
        <v>0</v>
      </c>
      <c r="J648" s="2">
        <v>0</v>
      </c>
    </row>
    <row r="649" spans="1:10">
      <c r="A649" s="2" t="s">
        <v>148</v>
      </c>
      <c r="B649" s="2" t="s">
        <v>64</v>
      </c>
      <c r="C649" s="2">
        <v>6.3281199999999996E-2</v>
      </c>
      <c r="D649" s="60">
        <v>1.8984399999999999</v>
      </c>
      <c r="E649" s="2">
        <v>22.3</v>
      </c>
      <c r="F649" s="2">
        <v>4.7</v>
      </c>
      <c r="G649" s="2">
        <v>10.0657</v>
      </c>
      <c r="H649" s="2">
        <v>15.916600000000001</v>
      </c>
      <c r="I649" s="2">
        <v>0</v>
      </c>
      <c r="J649" s="2">
        <v>0</v>
      </c>
    </row>
    <row r="650" spans="1:10">
      <c r="A650" s="2" t="s">
        <v>148</v>
      </c>
      <c r="B650" s="2" t="s">
        <v>63</v>
      </c>
      <c r="C650" s="2">
        <v>0.10633099999999999</v>
      </c>
      <c r="D650" s="60">
        <v>7.4431599999999998</v>
      </c>
      <c r="E650" s="2">
        <v>18.3</v>
      </c>
      <c r="F650" s="2">
        <v>4</v>
      </c>
      <c r="G650" s="2">
        <v>15.916600000000001</v>
      </c>
      <c r="H650" s="2">
        <v>20.705200000000001</v>
      </c>
      <c r="I650" s="2">
        <v>0</v>
      </c>
      <c r="J650" s="2">
        <v>0</v>
      </c>
    </row>
    <row r="651" spans="1:10">
      <c r="A651" s="2" t="s">
        <v>148</v>
      </c>
      <c r="B651" s="2" t="s">
        <v>61</v>
      </c>
      <c r="C651" s="2">
        <v>0.164913</v>
      </c>
      <c r="D651" s="60">
        <v>14.0176</v>
      </c>
      <c r="E651" s="2">
        <v>14.3</v>
      </c>
      <c r="F651" s="2">
        <v>4</v>
      </c>
      <c r="G651" s="2">
        <v>20.705200000000001</v>
      </c>
      <c r="H651" s="2">
        <v>24.940999999999999</v>
      </c>
      <c r="I651" s="2">
        <v>0</v>
      </c>
      <c r="J651" s="2">
        <v>0</v>
      </c>
    </row>
    <row r="652" spans="1:10">
      <c r="A652" s="2" t="s">
        <v>148</v>
      </c>
      <c r="B652" s="2" t="s">
        <v>60</v>
      </c>
      <c r="C652" s="2">
        <v>0.22539899999999999</v>
      </c>
      <c r="D652" s="60">
        <v>20.285900000000002</v>
      </c>
      <c r="E652" s="2">
        <v>10.3</v>
      </c>
      <c r="F652" s="2">
        <v>4</v>
      </c>
      <c r="G652" s="2">
        <v>24.940999999999999</v>
      </c>
      <c r="H652" s="2">
        <v>28.473800000000001</v>
      </c>
      <c r="I652" s="2">
        <v>0</v>
      </c>
      <c r="J652" s="2">
        <v>0</v>
      </c>
    </row>
    <row r="653" spans="1:10">
      <c r="A653" s="2" t="s">
        <v>148</v>
      </c>
      <c r="B653" s="2" t="s">
        <v>60</v>
      </c>
      <c r="C653" s="2">
        <v>0.282555</v>
      </c>
      <c r="D653" s="60">
        <v>25.43</v>
      </c>
      <c r="E653" s="2">
        <v>6.3</v>
      </c>
      <c r="F653" s="2">
        <v>4</v>
      </c>
      <c r="G653" s="2">
        <v>28.473800000000001</v>
      </c>
      <c r="H653" s="2">
        <v>31.412199999999999</v>
      </c>
      <c r="I653" s="2">
        <v>0</v>
      </c>
      <c r="J653" s="2">
        <v>0</v>
      </c>
    </row>
    <row r="654" spans="1:10">
      <c r="A654" s="2" t="s">
        <v>148</v>
      </c>
      <c r="B654" s="2" t="s">
        <v>59</v>
      </c>
      <c r="C654" s="2">
        <v>0.55838200000000004</v>
      </c>
      <c r="D654" s="60">
        <v>55.838200000000001</v>
      </c>
      <c r="E654" s="2">
        <v>0.3</v>
      </c>
      <c r="F654" s="2">
        <v>6</v>
      </c>
      <c r="G654" s="2">
        <v>31.412199999999999</v>
      </c>
      <c r="H654" s="2">
        <v>40.455399999999997</v>
      </c>
      <c r="I654" s="2">
        <v>0</v>
      </c>
      <c r="J654" s="2">
        <v>0</v>
      </c>
    </row>
    <row r="655" spans="1:10">
      <c r="A655" s="2" t="s">
        <v>138</v>
      </c>
      <c r="B655" s="2">
        <v>15</v>
      </c>
      <c r="C655" s="2">
        <v>19.862500000000001</v>
      </c>
      <c r="D655" s="60" t="s">
        <v>149</v>
      </c>
    </row>
    <row r="656" spans="1:10">
      <c r="A656" s="2" t="s">
        <v>140</v>
      </c>
      <c r="B656" s="2">
        <v>0</v>
      </c>
      <c r="C656" s="2">
        <v>65.903599999999997</v>
      </c>
      <c r="D656" s="60">
        <v>38.945999999999998</v>
      </c>
    </row>
    <row r="657" spans="1:10">
      <c r="A657" s="2" t="s">
        <v>141</v>
      </c>
      <c r="B657" s="2">
        <v>0</v>
      </c>
      <c r="C657" s="2">
        <v>7.6</v>
      </c>
      <c r="D657" s="60" t="s">
        <v>142</v>
      </c>
    </row>
    <row r="658" spans="1:10">
      <c r="A658" s="2" t="s">
        <v>141</v>
      </c>
      <c r="B658" s="2">
        <v>0</v>
      </c>
      <c r="C658" s="2">
        <v>31.330500000000001</v>
      </c>
      <c r="D658" s="60" t="s">
        <v>143</v>
      </c>
    </row>
    <row r="659" spans="1:10">
      <c r="A659" s="2" t="s">
        <v>141</v>
      </c>
      <c r="B659" s="2">
        <v>7.6</v>
      </c>
      <c r="C659" s="2">
        <v>12</v>
      </c>
      <c r="D659" s="60" t="s">
        <v>144</v>
      </c>
    </row>
    <row r="660" spans="1:10">
      <c r="A660" s="2" t="s">
        <v>141</v>
      </c>
      <c r="B660" s="2">
        <v>12</v>
      </c>
      <c r="C660" s="2">
        <v>20.5</v>
      </c>
      <c r="D660" s="60" t="s">
        <v>147</v>
      </c>
    </row>
    <row r="661" spans="1:10">
      <c r="A661" s="2" t="s">
        <v>141</v>
      </c>
      <c r="B661" s="2">
        <v>20.5</v>
      </c>
      <c r="C661" s="2">
        <v>31.330500000000001</v>
      </c>
      <c r="D661" s="60" t="s">
        <v>144</v>
      </c>
    </row>
    <row r="662" spans="1:10">
      <c r="A662" s="2" t="s">
        <v>148</v>
      </c>
      <c r="B662" s="2" t="s">
        <v>99</v>
      </c>
      <c r="C662" s="2">
        <v>0.101122</v>
      </c>
      <c r="D662" s="60">
        <v>0</v>
      </c>
      <c r="E662" s="2">
        <v>0</v>
      </c>
      <c r="F662" s="2">
        <v>0.3</v>
      </c>
      <c r="G662" s="2">
        <v>64.411000000000001</v>
      </c>
      <c r="H662" s="2">
        <v>66.669700000000006</v>
      </c>
      <c r="I662" s="2">
        <v>0</v>
      </c>
      <c r="J662" s="2">
        <v>0</v>
      </c>
    </row>
    <row r="663" spans="1:10">
      <c r="A663" s="2" t="s">
        <v>148</v>
      </c>
      <c r="B663" s="2" t="s">
        <v>100</v>
      </c>
      <c r="C663" s="2">
        <v>1.4981899999999999E-2</v>
      </c>
      <c r="D663" s="60">
        <v>0</v>
      </c>
      <c r="E663" s="2">
        <v>34.773800000000001</v>
      </c>
      <c r="F663" s="2">
        <v>4.1721399999999997</v>
      </c>
      <c r="G663" s="2">
        <v>0</v>
      </c>
      <c r="H663" s="2">
        <v>10.0002</v>
      </c>
      <c r="I663" s="2">
        <v>0</v>
      </c>
      <c r="J663" s="2">
        <v>0</v>
      </c>
    </row>
    <row r="664" spans="1:10">
      <c r="A664" s="2" t="s">
        <v>148</v>
      </c>
      <c r="B664" s="2" t="s">
        <v>98</v>
      </c>
      <c r="C664" s="2">
        <v>0.25050099999999997</v>
      </c>
      <c r="D664" s="60">
        <v>0</v>
      </c>
      <c r="E664" s="2">
        <v>25.3399</v>
      </c>
      <c r="F664" s="2">
        <v>9.4339600000000008</v>
      </c>
      <c r="G664" s="2">
        <v>10.0002</v>
      </c>
      <c r="H664" s="2">
        <v>25.832599999999999</v>
      </c>
      <c r="I664" s="2">
        <v>0</v>
      </c>
      <c r="J664" s="2">
        <v>0</v>
      </c>
    </row>
    <row r="665" spans="1:10">
      <c r="A665" s="2" t="s">
        <v>148</v>
      </c>
      <c r="B665" s="2" t="s">
        <v>101</v>
      </c>
      <c r="C665" s="2">
        <v>4.64877E-2</v>
      </c>
      <c r="D665" s="60">
        <v>0</v>
      </c>
      <c r="E665" s="2">
        <v>24.5</v>
      </c>
      <c r="F665" s="2">
        <v>0.83987100000000003</v>
      </c>
      <c r="G665" s="2">
        <v>25.832599999999999</v>
      </c>
      <c r="H665" s="2">
        <v>27.252800000000001</v>
      </c>
      <c r="I665" s="2">
        <v>0</v>
      </c>
      <c r="J665" s="2">
        <v>0</v>
      </c>
    </row>
    <row r="666" spans="1:10">
      <c r="A666" s="2" t="s">
        <v>148</v>
      </c>
      <c r="B666" s="2" t="s">
        <v>60</v>
      </c>
      <c r="C666" s="2">
        <v>0.29402299999999998</v>
      </c>
      <c r="D666" s="60">
        <v>26.4621</v>
      </c>
      <c r="E666" s="2">
        <v>20.5</v>
      </c>
      <c r="F666" s="2">
        <v>4</v>
      </c>
      <c r="G666" s="2">
        <v>27.252800000000001</v>
      </c>
      <c r="H666" s="2">
        <v>33.722999999999999</v>
      </c>
      <c r="I666" s="2">
        <v>0</v>
      </c>
      <c r="J666" s="2">
        <v>0</v>
      </c>
    </row>
    <row r="667" spans="1:10">
      <c r="A667" s="2" t="s">
        <v>148</v>
      </c>
      <c r="B667" s="2" t="s">
        <v>101</v>
      </c>
      <c r="C667" s="2">
        <v>8.9726500000000004E-3</v>
      </c>
      <c r="D667" s="60">
        <v>0</v>
      </c>
      <c r="E667" s="2">
        <v>20.399999999999999</v>
      </c>
      <c r="F667" s="2">
        <v>0.1</v>
      </c>
      <c r="G667" s="2">
        <v>33.722999999999999</v>
      </c>
      <c r="H667" s="2">
        <v>33.8767</v>
      </c>
      <c r="I667" s="2">
        <v>0</v>
      </c>
      <c r="J667" s="2">
        <v>0</v>
      </c>
    </row>
    <row r="668" spans="1:10">
      <c r="A668" s="2" t="s">
        <v>148</v>
      </c>
      <c r="B668" s="2" t="s">
        <v>59</v>
      </c>
      <c r="C668" s="2">
        <v>0.68987200000000004</v>
      </c>
      <c r="D668" s="60">
        <v>68.987200000000001</v>
      </c>
      <c r="E668" s="2">
        <v>14.4</v>
      </c>
      <c r="F668" s="2">
        <v>6</v>
      </c>
      <c r="G668" s="2">
        <v>33.8767</v>
      </c>
      <c r="H668" s="2">
        <v>42.182600000000001</v>
      </c>
      <c r="I668" s="2">
        <v>0</v>
      </c>
      <c r="J668" s="2">
        <v>0</v>
      </c>
    </row>
    <row r="669" spans="1:10">
      <c r="A669" s="2" t="s">
        <v>148</v>
      </c>
      <c r="B669" s="2" t="s">
        <v>58</v>
      </c>
      <c r="C669" s="2">
        <v>0.62251400000000001</v>
      </c>
      <c r="D669" s="60">
        <v>65.364000000000004</v>
      </c>
      <c r="E669" s="2">
        <v>10.4</v>
      </c>
      <c r="F669" s="2">
        <v>4</v>
      </c>
      <c r="G669" s="2">
        <v>42.182600000000001</v>
      </c>
      <c r="H669" s="2">
        <v>46.678899999999999</v>
      </c>
      <c r="I669" s="2">
        <v>0</v>
      </c>
      <c r="J669" s="2">
        <v>0</v>
      </c>
    </row>
    <row r="670" spans="1:10">
      <c r="A670" s="2" t="s">
        <v>148</v>
      </c>
      <c r="B670" s="2" t="s">
        <v>58</v>
      </c>
      <c r="C670" s="2">
        <v>0.74433300000000002</v>
      </c>
      <c r="D670" s="60">
        <v>78.154899999999998</v>
      </c>
      <c r="E670" s="2">
        <v>6.4</v>
      </c>
      <c r="F670" s="2">
        <v>4</v>
      </c>
      <c r="G670" s="2">
        <v>46.678899999999999</v>
      </c>
      <c r="H670" s="2">
        <v>50.598999999999997</v>
      </c>
      <c r="I670" s="2">
        <v>0</v>
      </c>
      <c r="J670" s="2">
        <v>0</v>
      </c>
    </row>
    <row r="671" spans="1:10">
      <c r="A671" s="2" t="s">
        <v>148</v>
      </c>
      <c r="B671" s="2" t="s">
        <v>55</v>
      </c>
      <c r="C671" s="2">
        <v>1.46014</v>
      </c>
      <c r="D671" s="60">
        <v>211.72</v>
      </c>
      <c r="E671" s="2">
        <v>0.3</v>
      </c>
      <c r="F671" s="2">
        <v>6.1</v>
      </c>
      <c r="G671" s="2">
        <v>50.598999999999997</v>
      </c>
      <c r="H671" s="2">
        <v>64.411000000000001</v>
      </c>
      <c r="I671" s="2">
        <v>0</v>
      </c>
      <c r="J671" s="2">
        <v>0</v>
      </c>
    </row>
    <row r="672" spans="1:10">
      <c r="A672" s="2" t="s">
        <v>138</v>
      </c>
      <c r="B672" s="2">
        <v>16</v>
      </c>
      <c r="C672" s="2">
        <v>19.8872</v>
      </c>
      <c r="D672" s="60" t="s">
        <v>139</v>
      </c>
    </row>
    <row r="673" spans="1:10">
      <c r="A673" s="2" t="s">
        <v>140</v>
      </c>
      <c r="B673" s="2">
        <v>0</v>
      </c>
      <c r="C673" s="2">
        <v>69.790899999999993</v>
      </c>
      <c r="D673" s="60">
        <v>39.299500000000002</v>
      </c>
    </row>
    <row r="674" spans="1:10">
      <c r="A674" s="2" t="s">
        <v>141</v>
      </c>
      <c r="B674" s="2">
        <v>0</v>
      </c>
      <c r="C674" s="2">
        <v>0.5</v>
      </c>
      <c r="D674" s="60" t="s">
        <v>157</v>
      </c>
    </row>
    <row r="675" spans="1:10">
      <c r="A675" s="2" t="s">
        <v>141</v>
      </c>
      <c r="B675" s="2">
        <v>0</v>
      </c>
      <c r="C675" s="2">
        <v>6.5</v>
      </c>
      <c r="D675" s="60" t="s">
        <v>142</v>
      </c>
    </row>
    <row r="676" spans="1:10">
      <c r="A676" s="2" t="s">
        <v>141</v>
      </c>
      <c r="B676" s="2">
        <v>0</v>
      </c>
      <c r="C676" s="2">
        <v>31.6</v>
      </c>
      <c r="D676" s="60" t="s">
        <v>146</v>
      </c>
    </row>
    <row r="677" spans="1:10">
      <c r="A677" s="2" t="s">
        <v>141</v>
      </c>
      <c r="B677" s="2">
        <v>6.5</v>
      </c>
      <c r="C677" s="2">
        <v>13.4</v>
      </c>
      <c r="D677" s="60" t="s">
        <v>145</v>
      </c>
    </row>
    <row r="678" spans="1:10">
      <c r="A678" s="2" t="s">
        <v>141</v>
      </c>
      <c r="B678" s="2">
        <v>13.4</v>
      </c>
      <c r="C678" s="2">
        <v>15.6</v>
      </c>
      <c r="D678" s="60" t="s">
        <v>151</v>
      </c>
    </row>
    <row r="679" spans="1:10">
      <c r="A679" s="2" t="s">
        <v>141</v>
      </c>
      <c r="B679" s="2">
        <v>15.6</v>
      </c>
      <c r="C679" s="2">
        <v>19.899999999999999</v>
      </c>
      <c r="D679" s="60" t="s">
        <v>145</v>
      </c>
    </row>
    <row r="680" spans="1:10">
      <c r="A680" s="2" t="s">
        <v>141</v>
      </c>
      <c r="B680" s="2">
        <v>19.899999999999999</v>
      </c>
      <c r="C680" s="2">
        <v>31.6</v>
      </c>
      <c r="D680" s="60" t="s">
        <v>144</v>
      </c>
    </row>
    <row r="681" spans="1:10">
      <c r="A681" s="2" t="s">
        <v>148</v>
      </c>
      <c r="B681" s="2" t="s">
        <v>99</v>
      </c>
      <c r="C681" s="2">
        <v>0.112119</v>
      </c>
      <c r="D681" s="60">
        <v>0</v>
      </c>
      <c r="E681" s="2">
        <v>0</v>
      </c>
      <c r="F681" s="2">
        <v>0.3</v>
      </c>
      <c r="G681" s="2">
        <v>67.832700000000003</v>
      </c>
      <c r="H681" s="2">
        <v>70.191000000000003</v>
      </c>
      <c r="I681" s="2">
        <v>0</v>
      </c>
      <c r="J681" s="2">
        <v>0</v>
      </c>
    </row>
    <row r="682" spans="1:10">
      <c r="A682" s="2" t="s">
        <v>148</v>
      </c>
      <c r="B682" s="2" t="s">
        <v>100</v>
      </c>
      <c r="C682" s="2">
        <v>1.4116399999999999E-2</v>
      </c>
      <c r="D682" s="60">
        <v>0</v>
      </c>
      <c r="E682" s="2">
        <v>35.4086</v>
      </c>
      <c r="F682" s="2">
        <v>3.8909500000000001</v>
      </c>
      <c r="G682" s="2">
        <v>0</v>
      </c>
      <c r="H682" s="2">
        <v>10.0001</v>
      </c>
      <c r="I682" s="2">
        <v>0</v>
      </c>
      <c r="J682" s="2">
        <v>0</v>
      </c>
    </row>
    <row r="683" spans="1:10">
      <c r="A683" s="2" t="s">
        <v>148</v>
      </c>
      <c r="B683" s="2" t="s">
        <v>98</v>
      </c>
      <c r="C683" s="2">
        <v>1.22417</v>
      </c>
      <c r="D683" s="60">
        <v>0</v>
      </c>
      <c r="E683" s="2">
        <v>16.0229</v>
      </c>
      <c r="F683" s="2">
        <v>19.3857</v>
      </c>
      <c r="G683" s="2">
        <v>10.0001</v>
      </c>
      <c r="H683" s="2">
        <v>42.441600000000001</v>
      </c>
      <c r="I683" s="2">
        <v>0</v>
      </c>
      <c r="J683" s="2">
        <v>0</v>
      </c>
    </row>
    <row r="684" spans="1:10">
      <c r="A684" s="2" t="s">
        <v>148</v>
      </c>
      <c r="B684" s="2" t="s">
        <v>101</v>
      </c>
      <c r="C684" s="2">
        <v>7.5214299999999998E-2</v>
      </c>
      <c r="D684" s="60">
        <v>0</v>
      </c>
      <c r="E684" s="2">
        <v>15.5</v>
      </c>
      <c r="F684" s="2">
        <v>0.52289699999999995</v>
      </c>
      <c r="G684" s="2">
        <v>42.441600000000001</v>
      </c>
      <c r="H684" s="2">
        <v>43.145699999999998</v>
      </c>
      <c r="I684" s="2">
        <v>0</v>
      </c>
      <c r="J684" s="2">
        <v>0</v>
      </c>
    </row>
    <row r="685" spans="1:10">
      <c r="A685" s="2" t="s">
        <v>148</v>
      </c>
      <c r="B685" s="2" t="s">
        <v>62</v>
      </c>
      <c r="C685" s="2">
        <v>0.65569299999999997</v>
      </c>
      <c r="D685" s="60">
        <v>52.455399999999997</v>
      </c>
      <c r="E685" s="2">
        <v>11.5</v>
      </c>
      <c r="F685" s="2">
        <v>4</v>
      </c>
      <c r="G685" s="2">
        <v>43.145699999999998</v>
      </c>
      <c r="H685" s="2">
        <v>48.0396</v>
      </c>
      <c r="I685" s="2">
        <v>0</v>
      </c>
      <c r="J685" s="2">
        <v>0</v>
      </c>
    </row>
    <row r="686" spans="1:10">
      <c r="A686" s="2" t="s">
        <v>148</v>
      </c>
      <c r="B686" s="2" t="s">
        <v>58</v>
      </c>
      <c r="C686" s="2">
        <v>1.2365600000000001</v>
      </c>
      <c r="D686" s="60">
        <v>129.839</v>
      </c>
      <c r="E686" s="2">
        <v>5.5</v>
      </c>
      <c r="F686" s="2">
        <v>6</v>
      </c>
      <c r="G686" s="2">
        <v>48.0396</v>
      </c>
      <c r="H686" s="2">
        <v>54.264400000000002</v>
      </c>
      <c r="I686" s="2">
        <v>0</v>
      </c>
      <c r="J686" s="2">
        <v>0</v>
      </c>
    </row>
    <row r="687" spans="1:10">
      <c r="A687" s="2" t="s">
        <v>148</v>
      </c>
      <c r="B687" s="2" t="s">
        <v>55</v>
      </c>
      <c r="C687" s="2">
        <v>1.41662</v>
      </c>
      <c r="D687" s="60">
        <v>205.40899999999999</v>
      </c>
      <c r="E687" s="2">
        <v>0.3</v>
      </c>
      <c r="F687" s="2">
        <v>5.2</v>
      </c>
      <c r="G687" s="2">
        <v>54.264400000000002</v>
      </c>
      <c r="H687" s="2">
        <v>67.832700000000003</v>
      </c>
      <c r="I687" s="2">
        <v>0</v>
      </c>
      <c r="J687" s="2">
        <v>0</v>
      </c>
    </row>
    <row r="688" spans="1:10">
      <c r="A688" s="2" t="s">
        <v>138</v>
      </c>
      <c r="B688" s="2">
        <v>17</v>
      </c>
      <c r="C688" s="2">
        <v>19.271799999999999</v>
      </c>
      <c r="D688" s="60" t="s">
        <v>139</v>
      </c>
    </row>
    <row r="689" spans="1:10">
      <c r="A689" s="2" t="s">
        <v>140</v>
      </c>
      <c r="B689" s="2">
        <v>0</v>
      </c>
      <c r="C689" s="2">
        <v>44.036200000000001</v>
      </c>
      <c r="D689" s="60">
        <v>30.247699999999998</v>
      </c>
    </row>
    <row r="690" spans="1:10">
      <c r="A690" s="2" t="s">
        <v>141</v>
      </c>
      <c r="B690" s="2">
        <v>0</v>
      </c>
      <c r="C690" s="2">
        <v>6.8</v>
      </c>
      <c r="D690" s="60" t="s">
        <v>142</v>
      </c>
    </row>
    <row r="691" spans="1:10">
      <c r="A691" s="2" t="s">
        <v>141</v>
      </c>
      <c r="B691" s="2">
        <v>0</v>
      </c>
      <c r="C691" s="2">
        <v>24.7</v>
      </c>
      <c r="D691" s="60" t="s">
        <v>146</v>
      </c>
    </row>
    <row r="692" spans="1:10">
      <c r="A692" s="2" t="s">
        <v>141</v>
      </c>
      <c r="B692" s="2">
        <v>6.8</v>
      </c>
      <c r="C692" s="2">
        <v>11.3</v>
      </c>
      <c r="D692" s="60" t="s">
        <v>144</v>
      </c>
    </row>
    <row r="693" spans="1:10">
      <c r="A693" s="2" t="s">
        <v>141</v>
      </c>
      <c r="B693" s="2">
        <v>11.3</v>
      </c>
      <c r="C693" s="2">
        <v>11.6</v>
      </c>
      <c r="D693" s="60" t="s">
        <v>145</v>
      </c>
    </row>
    <row r="694" spans="1:10">
      <c r="A694" s="2" t="s">
        <v>141</v>
      </c>
      <c r="B694" s="2">
        <v>11.6</v>
      </c>
      <c r="C694" s="2">
        <v>16.3</v>
      </c>
      <c r="D694" s="60" t="s">
        <v>144</v>
      </c>
    </row>
    <row r="695" spans="1:10">
      <c r="A695" s="2" t="s">
        <v>141</v>
      </c>
      <c r="B695" s="2">
        <v>16.3</v>
      </c>
      <c r="C695" s="2">
        <v>16.600000000000001</v>
      </c>
      <c r="D695" s="60" t="s">
        <v>145</v>
      </c>
    </row>
    <row r="696" spans="1:10">
      <c r="A696" s="2" t="s">
        <v>141</v>
      </c>
      <c r="B696" s="2">
        <v>16.600000000000001</v>
      </c>
      <c r="C696" s="2">
        <v>24.7</v>
      </c>
      <c r="D696" s="60" t="s">
        <v>144</v>
      </c>
    </row>
    <row r="697" spans="1:10">
      <c r="A697" s="2" t="s">
        <v>148</v>
      </c>
      <c r="B697" s="2" t="s">
        <v>99</v>
      </c>
      <c r="C697" s="2">
        <v>4.8308799999999999E-2</v>
      </c>
      <c r="D697" s="60">
        <v>0</v>
      </c>
      <c r="E697" s="2">
        <v>0</v>
      </c>
      <c r="F697" s="2">
        <v>0.3</v>
      </c>
      <c r="G697" s="2">
        <v>44.326599999999999</v>
      </c>
      <c r="H697" s="2">
        <v>46.2988</v>
      </c>
      <c r="I697" s="2">
        <v>0</v>
      </c>
      <c r="J697" s="2">
        <v>0</v>
      </c>
    </row>
    <row r="698" spans="1:10">
      <c r="A698" s="2" t="s">
        <v>148</v>
      </c>
      <c r="B698" s="2" t="s">
        <v>100</v>
      </c>
      <c r="C698" s="2">
        <v>1.76498E-2</v>
      </c>
      <c r="D698" s="60">
        <v>0</v>
      </c>
      <c r="E698" s="2">
        <v>24.889399999999998</v>
      </c>
      <c r="F698" s="2">
        <v>5.3582400000000003</v>
      </c>
      <c r="G698" s="2">
        <v>0</v>
      </c>
      <c r="H698" s="2">
        <v>10</v>
      </c>
      <c r="I698" s="2">
        <v>0</v>
      </c>
      <c r="J698" s="2">
        <v>0</v>
      </c>
    </row>
    <row r="699" spans="1:10">
      <c r="A699" s="2" t="s">
        <v>148</v>
      </c>
      <c r="B699" s="2" t="s">
        <v>98</v>
      </c>
      <c r="C699" s="2">
        <v>0.28246700000000002</v>
      </c>
      <c r="D699" s="60">
        <v>0</v>
      </c>
      <c r="E699" s="2">
        <v>14.3668</v>
      </c>
      <c r="F699" s="2">
        <v>10.522600000000001</v>
      </c>
      <c r="G699" s="2">
        <v>10</v>
      </c>
      <c r="H699" s="2">
        <v>25.4939</v>
      </c>
      <c r="I699" s="2">
        <v>0</v>
      </c>
      <c r="J699" s="2">
        <v>0</v>
      </c>
    </row>
    <row r="700" spans="1:10">
      <c r="A700" s="2" t="s">
        <v>148</v>
      </c>
      <c r="B700" s="2" t="s">
        <v>101</v>
      </c>
      <c r="C700" s="2">
        <v>3.42297E-3</v>
      </c>
      <c r="D700" s="60">
        <v>0</v>
      </c>
      <c r="E700" s="2">
        <v>14.3</v>
      </c>
      <c r="F700" s="2">
        <v>6.6830299999999995E-2</v>
      </c>
      <c r="G700" s="2">
        <v>25.4939</v>
      </c>
      <c r="H700" s="2">
        <v>25.58</v>
      </c>
      <c r="I700" s="2">
        <v>0</v>
      </c>
      <c r="J700" s="2">
        <v>0</v>
      </c>
    </row>
    <row r="701" spans="1:10">
      <c r="A701" s="2" t="s">
        <v>148</v>
      </c>
      <c r="B701" s="2" t="s">
        <v>60</v>
      </c>
      <c r="C701" s="2">
        <v>0.24671599999999999</v>
      </c>
      <c r="D701" s="60">
        <v>22.204499999999999</v>
      </c>
      <c r="E701" s="2">
        <v>10.3</v>
      </c>
      <c r="F701" s="2">
        <v>4</v>
      </c>
      <c r="G701" s="2">
        <v>25.58</v>
      </c>
      <c r="H701" s="2">
        <v>30.238</v>
      </c>
      <c r="I701" s="2">
        <v>0</v>
      </c>
      <c r="J701" s="2">
        <v>0</v>
      </c>
    </row>
    <row r="702" spans="1:10">
      <c r="A702" s="2" t="s">
        <v>148</v>
      </c>
      <c r="B702" s="2" t="s">
        <v>59</v>
      </c>
      <c r="C702" s="2">
        <v>0.51655600000000002</v>
      </c>
      <c r="D702" s="60">
        <v>51.6556</v>
      </c>
      <c r="E702" s="2">
        <v>4.3</v>
      </c>
      <c r="F702" s="2">
        <v>6</v>
      </c>
      <c r="G702" s="2">
        <v>30.238</v>
      </c>
      <c r="H702" s="2">
        <v>35.732399999999998</v>
      </c>
      <c r="I702" s="2">
        <v>0</v>
      </c>
      <c r="J702" s="2">
        <v>0</v>
      </c>
    </row>
    <row r="703" spans="1:10">
      <c r="A703" s="2" t="s">
        <v>148</v>
      </c>
      <c r="B703" s="2" t="s">
        <v>56</v>
      </c>
      <c r="C703" s="2">
        <v>0.47033700000000001</v>
      </c>
      <c r="D703" s="60">
        <v>65.847099999999998</v>
      </c>
      <c r="E703" s="2">
        <v>0.3</v>
      </c>
      <c r="F703" s="2">
        <v>4</v>
      </c>
      <c r="G703" s="2">
        <v>35.732399999999998</v>
      </c>
      <c r="H703" s="2">
        <v>44.326599999999999</v>
      </c>
      <c r="I703" s="2">
        <v>0</v>
      </c>
      <c r="J703" s="2">
        <v>0</v>
      </c>
    </row>
    <row r="704" spans="1:10">
      <c r="A704" s="2" t="s">
        <v>127</v>
      </c>
      <c r="B704" s="2" t="s">
        <v>104</v>
      </c>
      <c r="C704" s="2">
        <v>100</v>
      </c>
    </row>
    <row r="705" spans="1:10">
      <c r="A705" s="2" t="s">
        <v>130</v>
      </c>
      <c r="B705" s="2" t="s">
        <v>131</v>
      </c>
      <c r="C705" s="2" t="s">
        <v>162</v>
      </c>
      <c r="D705" s="60" t="s">
        <v>133</v>
      </c>
      <c r="E705" s="2">
        <v>11</v>
      </c>
      <c r="F705" s="2">
        <v>2016</v>
      </c>
    </row>
    <row r="706" spans="1:10">
      <c r="A706" s="2" t="s">
        <v>163</v>
      </c>
      <c r="B706" s="2" t="s">
        <v>164</v>
      </c>
      <c r="C706" s="2" t="s">
        <v>165</v>
      </c>
      <c r="D706" s="60" t="s">
        <v>166</v>
      </c>
      <c r="E706" s="2" t="s">
        <v>100</v>
      </c>
      <c r="F706" s="2" t="s">
        <v>167</v>
      </c>
      <c r="G706" s="2" t="s">
        <v>168</v>
      </c>
    </row>
    <row r="707" spans="1:10">
      <c r="A707" s="2" t="s">
        <v>134</v>
      </c>
      <c r="B707" s="2" t="s">
        <v>67</v>
      </c>
      <c r="C707" s="2">
        <v>28</v>
      </c>
      <c r="D707" s="60" t="s">
        <v>169</v>
      </c>
      <c r="E707" s="2" t="s">
        <v>170</v>
      </c>
      <c r="F707" s="2" t="s">
        <v>171</v>
      </c>
      <c r="G707" s="2" t="s">
        <v>128</v>
      </c>
      <c r="H707" s="2" t="s">
        <v>172</v>
      </c>
      <c r="I707" s="2" t="s">
        <v>173</v>
      </c>
    </row>
    <row r="708" spans="1:10">
      <c r="A708" s="2" t="s">
        <v>138</v>
      </c>
      <c r="B708" s="2">
        <v>1</v>
      </c>
      <c r="C708" s="2">
        <v>19.515899999999998</v>
      </c>
      <c r="D708" s="60" t="s">
        <v>129</v>
      </c>
      <c r="E708" s="2" t="s">
        <v>139</v>
      </c>
    </row>
    <row r="709" spans="1:10">
      <c r="A709" s="2" t="s">
        <v>140</v>
      </c>
      <c r="B709" s="2">
        <v>0</v>
      </c>
      <c r="C709" s="2">
        <v>48.457900000000002</v>
      </c>
      <c r="D709" s="60">
        <v>29.442799999999998</v>
      </c>
    </row>
    <row r="710" spans="1:10">
      <c r="A710" s="2" t="s">
        <v>141</v>
      </c>
      <c r="B710" s="2">
        <v>0</v>
      </c>
      <c r="C710" s="2">
        <v>4.5</v>
      </c>
      <c r="D710" s="60" t="s">
        <v>158</v>
      </c>
    </row>
    <row r="711" spans="1:10">
      <c r="A711" s="2" t="s">
        <v>141</v>
      </c>
      <c r="B711" s="2">
        <v>0</v>
      </c>
      <c r="C711" s="2">
        <v>7.3</v>
      </c>
      <c r="D711" s="60" t="s">
        <v>142</v>
      </c>
    </row>
    <row r="712" spans="1:10">
      <c r="A712" s="2" t="s">
        <v>141</v>
      </c>
      <c r="B712" s="2">
        <v>0</v>
      </c>
      <c r="C712" s="2">
        <v>13</v>
      </c>
      <c r="D712" s="60" t="s">
        <v>146</v>
      </c>
    </row>
    <row r="713" spans="1:10">
      <c r="A713" s="2" t="s">
        <v>141</v>
      </c>
      <c r="B713" s="2">
        <v>4.5</v>
      </c>
      <c r="C713" s="2">
        <v>4.8</v>
      </c>
      <c r="D713" s="60" t="s">
        <v>174</v>
      </c>
    </row>
    <row r="714" spans="1:10">
      <c r="A714" s="2" t="s">
        <v>141</v>
      </c>
      <c r="B714" s="2">
        <v>7.3</v>
      </c>
      <c r="C714" s="2">
        <v>12.1</v>
      </c>
      <c r="D714" s="60" t="s">
        <v>144</v>
      </c>
    </row>
    <row r="715" spans="1:10">
      <c r="A715" s="2" t="s">
        <v>141</v>
      </c>
      <c r="B715" s="2">
        <v>12.1</v>
      </c>
      <c r="C715" s="2">
        <v>12.4</v>
      </c>
      <c r="D715" s="60" t="s">
        <v>147</v>
      </c>
    </row>
    <row r="716" spans="1:10">
      <c r="A716" s="2" t="s">
        <v>141</v>
      </c>
      <c r="B716" s="2">
        <v>12.4</v>
      </c>
      <c r="C716" s="2">
        <v>23.3</v>
      </c>
      <c r="D716" s="60" t="s">
        <v>144</v>
      </c>
    </row>
    <row r="717" spans="1:10">
      <c r="A717" s="2" t="s">
        <v>141</v>
      </c>
      <c r="B717" s="2">
        <v>13</v>
      </c>
      <c r="C717" s="2">
        <v>13.5</v>
      </c>
      <c r="D717" s="60" t="s">
        <v>159</v>
      </c>
    </row>
    <row r="718" spans="1:10">
      <c r="A718" s="2" t="s">
        <v>141</v>
      </c>
      <c r="B718" s="2">
        <v>13.5</v>
      </c>
      <c r="C718" s="2">
        <v>23.3</v>
      </c>
      <c r="D718" s="60" t="s">
        <v>146</v>
      </c>
    </row>
    <row r="719" spans="1:10">
      <c r="A719" s="2" t="s">
        <v>148</v>
      </c>
      <c r="B719" s="2" t="s">
        <v>99</v>
      </c>
      <c r="C719" s="2">
        <v>5.7238299999999999E-2</v>
      </c>
      <c r="D719" s="60">
        <v>0</v>
      </c>
      <c r="E719" s="2">
        <v>0</v>
      </c>
      <c r="F719" s="2">
        <v>0.3</v>
      </c>
      <c r="G719" s="2">
        <v>48.224800000000002</v>
      </c>
      <c r="H719" s="2">
        <v>50.4251</v>
      </c>
      <c r="I719" s="2">
        <v>0</v>
      </c>
      <c r="J719" s="2">
        <v>0</v>
      </c>
    </row>
    <row r="720" spans="1:10">
      <c r="A720" s="2" t="s">
        <v>148</v>
      </c>
      <c r="B720" s="2" t="s">
        <v>100</v>
      </c>
      <c r="C720" s="2">
        <v>1.5724700000000001E-2</v>
      </c>
      <c r="D720" s="60">
        <v>0</v>
      </c>
      <c r="E720" s="2">
        <v>24.77</v>
      </c>
      <c r="F720" s="2">
        <v>4.6727800000000004</v>
      </c>
      <c r="G720" s="2">
        <v>0</v>
      </c>
      <c r="H720" s="2">
        <v>10</v>
      </c>
      <c r="I720" s="2">
        <v>0</v>
      </c>
      <c r="J720" s="2">
        <v>0</v>
      </c>
    </row>
    <row r="721" spans="1:10">
      <c r="A721" s="2" t="s">
        <v>148</v>
      </c>
      <c r="B721" s="2" t="s">
        <v>98</v>
      </c>
      <c r="C721" s="2">
        <v>0.15271000000000001</v>
      </c>
      <c r="D721" s="60">
        <v>0</v>
      </c>
      <c r="E721" s="2">
        <v>17.589600000000001</v>
      </c>
      <c r="F721" s="2">
        <v>7.1804399999999999</v>
      </c>
      <c r="G721" s="2">
        <v>10</v>
      </c>
      <c r="H721" s="2">
        <v>22.165299999999998</v>
      </c>
      <c r="I721" s="2">
        <v>0</v>
      </c>
      <c r="J721" s="2">
        <v>0</v>
      </c>
    </row>
    <row r="722" spans="1:10">
      <c r="A722" s="2" t="s">
        <v>148</v>
      </c>
      <c r="B722" s="2" t="s">
        <v>101</v>
      </c>
      <c r="C722" s="2">
        <v>3.47942E-3</v>
      </c>
      <c r="D722" s="60">
        <v>0</v>
      </c>
      <c r="E722" s="2">
        <v>17.5</v>
      </c>
      <c r="F722" s="2">
        <v>8.9574399999999998E-2</v>
      </c>
      <c r="G722" s="2">
        <v>22.165299999999998</v>
      </c>
      <c r="H722" s="2">
        <v>22.3127</v>
      </c>
      <c r="I722" s="2">
        <v>0</v>
      </c>
      <c r="J722" s="2">
        <v>0</v>
      </c>
    </row>
    <row r="723" spans="1:10">
      <c r="A723" s="2" t="s">
        <v>148</v>
      </c>
      <c r="B723" s="2" t="s">
        <v>60</v>
      </c>
      <c r="C723" s="2">
        <v>0.20468800000000001</v>
      </c>
      <c r="D723" s="60">
        <v>18.421900000000001</v>
      </c>
      <c r="E723" s="2">
        <v>13.5</v>
      </c>
      <c r="F723" s="2">
        <v>4</v>
      </c>
      <c r="G723" s="2">
        <v>22.3127</v>
      </c>
      <c r="H723" s="2">
        <v>28.457799999999999</v>
      </c>
      <c r="I723" s="2">
        <v>0</v>
      </c>
      <c r="J723" s="2">
        <v>0</v>
      </c>
    </row>
    <row r="724" spans="1:10">
      <c r="A724" s="2" t="s">
        <v>148</v>
      </c>
      <c r="B724" s="2" t="s">
        <v>101</v>
      </c>
      <c r="C724" s="2">
        <v>4.6068699999999997E-2</v>
      </c>
      <c r="D724" s="60">
        <v>0</v>
      </c>
      <c r="E724" s="2">
        <v>12.8</v>
      </c>
      <c r="F724" s="2">
        <v>0.7</v>
      </c>
      <c r="G724" s="2">
        <v>28.457799999999999</v>
      </c>
      <c r="H724" s="2">
        <v>29.4285</v>
      </c>
      <c r="I724" s="2">
        <v>0</v>
      </c>
      <c r="J724" s="2">
        <v>0</v>
      </c>
    </row>
    <row r="725" spans="1:10">
      <c r="A725" s="2" t="s">
        <v>148</v>
      </c>
      <c r="B725" s="2" t="s">
        <v>62</v>
      </c>
      <c r="C725" s="2">
        <v>0.32158500000000001</v>
      </c>
      <c r="D725" s="60">
        <v>25.726800000000001</v>
      </c>
      <c r="E725" s="2">
        <v>8.8000000000000007</v>
      </c>
      <c r="F725" s="2">
        <v>4</v>
      </c>
      <c r="G725" s="2">
        <v>29.4285</v>
      </c>
      <c r="H725" s="2">
        <v>34.312399999999997</v>
      </c>
      <c r="I725" s="2">
        <v>0</v>
      </c>
      <c r="J725" s="2">
        <v>0</v>
      </c>
    </row>
    <row r="726" spans="1:10">
      <c r="A726" s="2" t="s">
        <v>148</v>
      </c>
      <c r="B726" s="2" t="s">
        <v>59</v>
      </c>
      <c r="C726" s="2">
        <v>0.415576</v>
      </c>
      <c r="D726" s="60">
        <v>41.557600000000001</v>
      </c>
      <c r="E726" s="2">
        <v>4.8</v>
      </c>
      <c r="F726" s="2">
        <v>4</v>
      </c>
      <c r="G726" s="2">
        <v>34.312399999999997</v>
      </c>
      <c r="H726" s="2">
        <v>38.307400000000001</v>
      </c>
      <c r="I726" s="2">
        <v>0</v>
      </c>
      <c r="J726" s="2">
        <v>0</v>
      </c>
    </row>
    <row r="727" spans="1:10">
      <c r="A727" s="2" t="s">
        <v>148</v>
      </c>
      <c r="B727" s="2" t="s">
        <v>101</v>
      </c>
      <c r="C727" s="2">
        <v>5.8368799999999998E-2</v>
      </c>
      <c r="D727" s="60">
        <v>0</v>
      </c>
      <c r="E727" s="2">
        <v>4.3</v>
      </c>
      <c r="F727" s="2">
        <v>0.5</v>
      </c>
      <c r="G727" s="2">
        <v>38.307400000000001</v>
      </c>
      <c r="H727" s="2">
        <v>38.801200000000001</v>
      </c>
      <c r="I727" s="2">
        <v>0</v>
      </c>
      <c r="J727" s="2">
        <v>0</v>
      </c>
    </row>
    <row r="728" spans="1:10">
      <c r="A728" s="2" t="s">
        <v>148</v>
      </c>
      <c r="B728" s="2" t="s">
        <v>56</v>
      </c>
      <c r="C728" s="2">
        <v>0.55517300000000003</v>
      </c>
      <c r="D728" s="60">
        <v>77.724299999999999</v>
      </c>
      <c r="E728" s="2">
        <v>0.3</v>
      </c>
      <c r="F728" s="2">
        <v>4</v>
      </c>
      <c r="G728" s="2">
        <v>38.801200000000001</v>
      </c>
      <c r="H728" s="2">
        <v>48.224800000000002</v>
      </c>
      <c r="I728" s="2">
        <v>0</v>
      </c>
      <c r="J728" s="2">
        <v>0</v>
      </c>
    </row>
    <row r="729" spans="1:10">
      <c r="A729" s="2" t="s">
        <v>138</v>
      </c>
      <c r="B729" s="2">
        <v>2</v>
      </c>
      <c r="C729" s="2">
        <v>19.6069</v>
      </c>
      <c r="D729" s="60" t="s">
        <v>129</v>
      </c>
      <c r="E729" s="2" t="s">
        <v>175</v>
      </c>
    </row>
    <row r="730" spans="1:10">
      <c r="A730" s="2" t="s">
        <v>140</v>
      </c>
      <c r="B730" s="2">
        <v>0</v>
      </c>
      <c r="C730" s="2">
        <v>54.988999999999997</v>
      </c>
      <c r="D730" s="60">
        <v>26.451899999999998</v>
      </c>
      <c r="E730" s="2">
        <v>0</v>
      </c>
      <c r="F730" s="2">
        <v>14</v>
      </c>
    </row>
    <row r="731" spans="1:10">
      <c r="A731" s="2" t="s">
        <v>141</v>
      </c>
      <c r="B731" s="2">
        <v>0</v>
      </c>
      <c r="C731" s="2">
        <v>6.4</v>
      </c>
      <c r="D731" s="60" t="s">
        <v>142</v>
      </c>
    </row>
    <row r="732" spans="1:10">
      <c r="A732" s="2" t="s">
        <v>141</v>
      </c>
      <c r="B732" s="2">
        <v>0</v>
      </c>
      <c r="C732" s="2">
        <v>21.049700000000001</v>
      </c>
      <c r="D732" s="60" t="s">
        <v>146</v>
      </c>
    </row>
    <row r="733" spans="1:10">
      <c r="A733" s="2" t="s">
        <v>141</v>
      </c>
      <c r="B733" s="2">
        <v>6.4</v>
      </c>
      <c r="C733" s="2">
        <v>11.8</v>
      </c>
      <c r="D733" s="60" t="s">
        <v>144</v>
      </c>
    </row>
    <row r="734" spans="1:10">
      <c r="A734" s="2" t="s">
        <v>141</v>
      </c>
      <c r="B734" s="2">
        <v>11.8</v>
      </c>
      <c r="C734" s="2">
        <v>13.8</v>
      </c>
      <c r="D734" s="60" t="s">
        <v>145</v>
      </c>
    </row>
    <row r="735" spans="1:10">
      <c r="A735" s="2" t="s">
        <v>141</v>
      </c>
      <c r="B735" s="2">
        <v>13.8</v>
      </c>
      <c r="C735" s="2">
        <v>21.049700000000001</v>
      </c>
      <c r="D735" s="60" t="s">
        <v>147</v>
      </c>
    </row>
    <row r="736" spans="1:10">
      <c r="A736" s="2" t="s">
        <v>148</v>
      </c>
      <c r="B736" s="2" t="s">
        <v>99</v>
      </c>
      <c r="C736" s="2">
        <v>7.1302099999999993E-2</v>
      </c>
      <c r="D736" s="60">
        <v>0</v>
      </c>
      <c r="E736" s="2">
        <v>0</v>
      </c>
      <c r="F736" s="2">
        <v>0.3</v>
      </c>
      <c r="G736" s="2">
        <v>53.708399999999997</v>
      </c>
      <c r="H736" s="2">
        <v>56.414999999999999</v>
      </c>
      <c r="I736" s="2">
        <v>0</v>
      </c>
      <c r="J736" s="2">
        <v>0</v>
      </c>
    </row>
    <row r="737" spans="1:10">
      <c r="A737" s="2" t="s">
        <v>148</v>
      </c>
      <c r="B737" s="2" t="s">
        <v>101</v>
      </c>
      <c r="C737" s="2">
        <v>0.11237900000000001</v>
      </c>
      <c r="D737" s="60">
        <v>0</v>
      </c>
      <c r="E737" s="2">
        <v>12.4</v>
      </c>
      <c r="F737" s="2">
        <v>1.6</v>
      </c>
      <c r="G737" s="2">
        <v>28.3889</v>
      </c>
      <c r="H737" s="2">
        <v>31.357800000000001</v>
      </c>
      <c r="I737" s="2">
        <v>0</v>
      </c>
      <c r="J737" s="2">
        <v>0</v>
      </c>
    </row>
    <row r="738" spans="1:10">
      <c r="A738" s="2" t="s">
        <v>148</v>
      </c>
      <c r="B738" s="2" t="s">
        <v>59</v>
      </c>
      <c r="C738" s="2">
        <v>0.61816400000000005</v>
      </c>
      <c r="D738" s="60">
        <v>61.816400000000002</v>
      </c>
      <c r="E738" s="2">
        <v>6.4</v>
      </c>
      <c r="F738" s="2">
        <v>6</v>
      </c>
      <c r="G738" s="2">
        <v>31.357800000000001</v>
      </c>
      <c r="H738" s="2">
        <v>40.337499999999999</v>
      </c>
      <c r="I738" s="2">
        <v>0</v>
      </c>
      <c r="J738" s="2">
        <v>0</v>
      </c>
    </row>
    <row r="739" spans="1:10">
      <c r="A739" s="2" t="s">
        <v>148</v>
      </c>
      <c r="B739" s="2" t="s">
        <v>55</v>
      </c>
      <c r="C739" s="2">
        <v>0.96689899999999995</v>
      </c>
      <c r="D739" s="60">
        <v>140.19999999999999</v>
      </c>
      <c r="E739" s="2">
        <v>0.3</v>
      </c>
      <c r="F739" s="2">
        <v>6.1</v>
      </c>
      <c r="G739" s="2">
        <v>40.337499999999999</v>
      </c>
      <c r="H739" s="2">
        <v>53.708399999999997</v>
      </c>
      <c r="I739" s="2">
        <v>0</v>
      </c>
      <c r="J739" s="2">
        <v>0</v>
      </c>
    </row>
    <row r="740" spans="1:10">
      <c r="A740" s="2" t="s">
        <v>138</v>
      </c>
      <c r="B740" s="2">
        <v>3</v>
      </c>
      <c r="C740" s="2">
        <v>18.471599999999999</v>
      </c>
      <c r="D740" s="60" t="s">
        <v>129</v>
      </c>
      <c r="E740" s="2" t="s">
        <v>149</v>
      </c>
    </row>
    <row r="741" spans="1:10">
      <c r="A741" s="2" t="s">
        <v>140</v>
      </c>
      <c r="B741" s="2">
        <v>0</v>
      </c>
      <c r="C741" s="2">
        <v>35.848999999999997</v>
      </c>
      <c r="D741" s="60">
        <v>24.5611</v>
      </c>
    </row>
    <row r="742" spans="1:10">
      <c r="A742" s="2" t="s">
        <v>141</v>
      </c>
      <c r="B742" s="2">
        <v>0</v>
      </c>
      <c r="C742" s="2">
        <v>6.6</v>
      </c>
      <c r="D742" s="60" t="s">
        <v>142</v>
      </c>
    </row>
    <row r="743" spans="1:10">
      <c r="A743" s="2" t="s">
        <v>141</v>
      </c>
      <c r="B743" s="2">
        <v>0</v>
      </c>
      <c r="C743" s="2">
        <v>10.6</v>
      </c>
      <c r="D743" s="60" t="s">
        <v>146</v>
      </c>
    </row>
    <row r="744" spans="1:10">
      <c r="A744" s="2" t="s">
        <v>141</v>
      </c>
      <c r="B744" s="2">
        <v>6.6</v>
      </c>
      <c r="C744" s="2">
        <v>19.627099999999999</v>
      </c>
      <c r="D744" s="60" t="s">
        <v>145</v>
      </c>
    </row>
    <row r="745" spans="1:10">
      <c r="A745" s="2" t="s">
        <v>141</v>
      </c>
      <c r="B745" s="2">
        <v>10.6</v>
      </c>
      <c r="C745" s="2">
        <v>11.1</v>
      </c>
      <c r="D745" s="60" t="s">
        <v>161</v>
      </c>
    </row>
    <row r="746" spans="1:10">
      <c r="A746" s="2" t="s">
        <v>141</v>
      </c>
      <c r="B746" s="2">
        <v>11.1</v>
      </c>
      <c r="C746" s="2">
        <v>19.627099999999999</v>
      </c>
      <c r="D746" s="60" t="s">
        <v>146</v>
      </c>
    </row>
    <row r="747" spans="1:10">
      <c r="A747" s="2" t="s">
        <v>148</v>
      </c>
      <c r="B747" s="2" t="s">
        <v>99</v>
      </c>
      <c r="C747" s="2">
        <v>3.2994799999999998E-2</v>
      </c>
      <c r="D747" s="60">
        <v>0</v>
      </c>
      <c r="E747" s="2">
        <v>0</v>
      </c>
      <c r="F747" s="2">
        <v>0.3</v>
      </c>
      <c r="G747" s="2">
        <v>36.477200000000003</v>
      </c>
      <c r="H747" s="2">
        <v>38.445300000000003</v>
      </c>
      <c r="I747" s="2">
        <v>0</v>
      </c>
      <c r="J747" s="2">
        <v>0</v>
      </c>
    </row>
    <row r="748" spans="1:10">
      <c r="A748" s="2" t="s">
        <v>148</v>
      </c>
      <c r="B748" s="2" t="s">
        <v>100</v>
      </c>
      <c r="C748" s="2">
        <v>1.7177700000000001E-2</v>
      </c>
      <c r="D748" s="60">
        <v>0</v>
      </c>
      <c r="E748" s="2">
        <v>19.103400000000001</v>
      </c>
      <c r="F748" s="2">
        <v>5.4577200000000001</v>
      </c>
      <c r="G748" s="2">
        <v>0</v>
      </c>
      <c r="H748" s="2">
        <v>10</v>
      </c>
      <c r="I748" s="2">
        <v>0</v>
      </c>
      <c r="J748" s="2">
        <v>0</v>
      </c>
    </row>
    <row r="749" spans="1:10">
      <c r="A749" s="2" t="s">
        <v>148</v>
      </c>
      <c r="B749" s="2" t="s">
        <v>64</v>
      </c>
      <c r="C749" s="2">
        <v>5.5258799999999997E-2</v>
      </c>
      <c r="D749" s="60">
        <v>1.6577599999999999</v>
      </c>
      <c r="E749" s="2">
        <v>15.1</v>
      </c>
      <c r="F749" s="2">
        <v>4</v>
      </c>
      <c r="G749" s="2">
        <v>10.0052</v>
      </c>
      <c r="H749" s="2">
        <v>16.252600000000001</v>
      </c>
      <c r="I749" s="2">
        <v>0</v>
      </c>
      <c r="J749" s="2">
        <v>0</v>
      </c>
    </row>
    <row r="750" spans="1:10">
      <c r="A750" s="2" t="s">
        <v>148</v>
      </c>
      <c r="B750" s="2" t="s">
        <v>61</v>
      </c>
      <c r="C750" s="2">
        <v>0.11619</v>
      </c>
      <c r="D750" s="60">
        <v>9.8761399999999995</v>
      </c>
      <c r="E750" s="2">
        <v>11.1</v>
      </c>
      <c r="F750" s="2">
        <v>4</v>
      </c>
      <c r="G750" s="2">
        <v>16.252600000000001</v>
      </c>
      <c r="H750" s="2">
        <v>21.904399999999999</v>
      </c>
      <c r="I750" s="2">
        <v>0</v>
      </c>
      <c r="J750" s="2">
        <v>0</v>
      </c>
    </row>
    <row r="751" spans="1:10">
      <c r="A751" s="2" t="s">
        <v>148</v>
      </c>
      <c r="B751" s="2" t="s">
        <v>101</v>
      </c>
      <c r="C751" s="2">
        <v>3.1551999999999997E-2</v>
      </c>
      <c r="D751" s="60">
        <v>0</v>
      </c>
      <c r="E751" s="2">
        <v>10.3</v>
      </c>
      <c r="F751" s="2">
        <v>0.8</v>
      </c>
      <c r="G751" s="2">
        <v>21.904399999999999</v>
      </c>
      <c r="H751" s="2">
        <v>22.901700000000002</v>
      </c>
      <c r="I751" s="2">
        <v>0</v>
      </c>
      <c r="J751" s="2">
        <v>0</v>
      </c>
    </row>
    <row r="752" spans="1:10">
      <c r="A752" s="2" t="s">
        <v>148</v>
      </c>
      <c r="B752" s="2" t="s">
        <v>60</v>
      </c>
      <c r="C752" s="2">
        <v>0.19883200000000001</v>
      </c>
      <c r="D752" s="60">
        <v>17.8949</v>
      </c>
      <c r="E752" s="2">
        <v>6.3</v>
      </c>
      <c r="F752" s="2">
        <v>4</v>
      </c>
      <c r="G752" s="2">
        <v>22.901700000000002</v>
      </c>
      <c r="H752" s="2">
        <v>27.1599</v>
      </c>
      <c r="I752" s="2">
        <v>0</v>
      </c>
      <c r="J752" s="2">
        <v>0</v>
      </c>
    </row>
    <row r="753" spans="1:10">
      <c r="A753" s="2" t="s">
        <v>148</v>
      </c>
      <c r="B753" s="2" t="s">
        <v>60</v>
      </c>
      <c r="C753" s="2">
        <v>0.43565199999999998</v>
      </c>
      <c r="D753" s="60">
        <v>39.208599999999997</v>
      </c>
      <c r="E753" s="2">
        <v>0.3</v>
      </c>
      <c r="F753" s="2">
        <v>6</v>
      </c>
      <c r="G753" s="2">
        <v>27.1599</v>
      </c>
      <c r="H753" s="2">
        <v>36.477200000000003</v>
      </c>
      <c r="I753" s="2">
        <v>0</v>
      </c>
      <c r="J753" s="2">
        <v>0</v>
      </c>
    </row>
    <row r="754" spans="1:10">
      <c r="A754" s="2" t="s">
        <v>138</v>
      </c>
      <c r="B754" s="2">
        <v>4</v>
      </c>
      <c r="C754" s="2">
        <v>19.1325</v>
      </c>
      <c r="D754" s="60" t="s">
        <v>129</v>
      </c>
      <c r="E754" s="2" t="s">
        <v>149</v>
      </c>
    </row>
    <row r="755" spans="1:10">
      <c r="A755" s="2" t="s">
        <v>140</v>
      </c>
      <c r="B755" s="2">
        <v>0</v>
      </c>
      <c r="C755" s="2">
        <v>43.079799999999999</v>
      </c>
      <c r="D755" s="60">
        <v>25.380400000000002</v>
      </c>
    </row>
    <row r="756" spans="1:10">
      <c r="A756" s="2" t="s">
        <v>141</v>
      </c>
      <c r="B756" s="2">
        <v>0</v>
      </c>
      <c r="C756" s="2">
        <v>6.9</v>
      </c>
      <c r="D756" s="60" t="s">
        <v>142</v>
      </c>
    </row>
    <row r="757" spans="1:10">
      <c r="A757" s="2" t="s">
        <v>141</v>
      </c>
      <c r="B757" s="2">
        <v>0</v>
      </c>
      <c r="C757" s="2">
        <v>12.6</v>
      </c>
      <c r="D757" s="60" t="s">
        <v>146</v>
      </c>
    </row>
    <row r="758" spans="1:10">
      <c r="A758" s="2" t="s">
        <v>141</v>
      </c>
      <c r="B758" s="2">
        <v>6.9</v>
      </c>
      <c r="C758" s="2">
        <v>7.2</v>
      </c>
      <c r="D758" s="60" t="s">
        <v>153</v>
      </c>
    </row>
    <row r="759" spans="1:10">
      <c r="A759" s="2" t="s">
        <v>141</v>
      </c>
      <c r="B759" s="2">
        <v>6.9</v>
      </c>
      <c r="C759" s="2">
        <v>7.2</v>
      </c>
      <c r="D759" s="60" t="s">
        <v>154</v>
      </c>
    </row>
    <row r="760" spans="1:10">
      <c r="A760" s="2" t="s">
        <v>141</v>
      </c>
      <c r="B760" s="2">
        <v>6.9</v>
      </c>
      <c r="C760" s="2">
        <v>12.6</v>
      </c>
      <c r="D760" s="60" t="s">
        <v>145</v>
      </c>
    </row>
    <row r="761" spans="1:10">
      <c r="A761" s="2" t="s">
        <v>141</v>
      </c>
      <c r="B761" s="2">
        <v>12.6</v>
      </c>
      <c r="C761" s="2">
        <v>12.9</v>
      </c>
      <c r="D761" s="60" t="s">
        <v>147</v>
      </c>
    </row>
    <row r="762" spans="1:10">
      <c r="A762" s="2" t="s">
        <v>141</v>
      </c>
      <c r="B762" s="2">
        <v>12.6</v>
      </c>
      <c r="C762" s="2">
        <v>20.243500000000001</v>
      </c>
      <c r="D762" s="60" t="s">
        <v>161</v>
      </c>
    </row>
    <row r="763" spans="1:10">
      <c r="A763" s="2" t="s">
        <v>141</v>
      </c>
      <c r="B763" s="2">
        <v>12.9</v>
      </c>
      <c r="C763" s="2">
        <v>20.243500000000001</v>
      </c>
      <c r="D763" s="60" t="s">
        <v>144</v>
      </c>
    </row>
    <row r="764" spans="1:10">
      <c r="A764" s="2" t="s">
        <v>156</v>
      </c>
      <c r="B764" s="2">
        <v>6.9</v>
      </c>
      <c r="C764" s="2">
        <v>30.475300000000001</v>
      </c>
    </row>
    <row r="765" spans="1:10">
      <c r="A765" s="2" t="s">
        <v>148</v>
      </c>
      <c r="B765" s="2" t="s">
        <v>99</v>
      </c>
      <c r="C765" s="2">
        <v>4.5940000000000002E-2</v>
      </c>
      <c r="D765" s="60">
        <v>0</v>
      </c>
      <c r="E765" s="2">
        <v>0</v>
      </c>
      <c r="F765" s="2">
        <v>0.3</v>
      </c>
      <c r="G765" s="2">
        <v>43.072899999999997</v>
      </c>
      <c r="H765" s="2">
        <v>45.3279</v>
      </c>
      <c r="I765" s="2">
        <v>0</v>
      </c>
      <c r="J765" s="2">
        <v>0</v>
      </c>
    </row>
    <row r="766" spans="1:10">
      <c r="A766" s="2" t="s">
        <v>148</v>
      </c>
      <c r="B766" s="2" t="s">
        <v>100</v>
      </c>
      <c r="C766" s="2">
        <v>2.0339400000000001E-2</v>
      </c>
      <c r="D766" s="60">
        <v>0</v>
      </c>
      <c r="E766" s="2">
        <v>18.707699999999999</v>
      </c>
      <c r="F766" s="2">
        <v>6.6726900000000002</v>
      </c>
      <c r="G766" s="2">
        <v>0</v>
      </c>
      <c r="H766" s="2">
        <v>10</v>
      </c>
      <c r="I766" s="2">
        <v>0</v>
      </c>
      <c r="J766" s="2">
        <v>0</v>
      </c>
    </row>
    <row r="767" spans="1:10">
      <c r="A767" s="2" t="s">
        <v>148</v>
      </c>
      <c r="B767" s="2" t="s">
        <v>101</v>
      </c>
      <c r="C767" s="2">
        <v>0.13319900000000001</v>
      </c>
      <c r="D767" s="60">
        <v>0</v>
      </c>
      <c r="E767" s="2">
        <v>11.2</v>
      </c>
      <c r="F767" s="2">
        <v>7.5076700000000001</v>
      </c>
      <c r="G767" s="2">
        <v>10</v>
      </c>
      <c r="H767" s="2">
        <v>19.2302</v>
      </c>
      <c r="I767" s="2">
        <v>0</v>
      </c>
      <c r="J767" s="2">
        <v>0</v>
      </c>
    </row>
    <row r="768" spans="1:10">
      <c r="A768" s="2" t="s">
        <v>148</v>
      </c>
      <c r="B768" s="2" t="s">
        <v>61</v>
      </c>
      <c r="C768" s="2">
        <v>0.14112</v>
      </c>
      <c r="D768" s="60">
        <v>11.995200000000001</v>
      </c>
      <c r="E768" s="2">
        <v>7.2</v>
      </c>
      <c r="F768" s="2">
        <v>4</v>
      </c>
      <c r="G768" s="2">
        <v>19.2302</v>
      </c>
      <c r="H768" s="2">
        <v>22.940999999999999</v>
      </c>
      <c r="I768" s="2">
        <v>0</v>
      </c>
      <c r="J768" s="2">
        <v>0</v>
      </c>
    </row>
    <row r="769" spans="1:10">
      <c r="A769" s="2" t="s">
        <v>148</v>
      </c>
      <c r="B769" s="2" t="s">
        <v>101</v>
      </c>
      <c r="C769" s="2">
        <v>6.0564100000000003E-2</v>
      </c>
      <c r="D769" s="60">
        <v>0</v>
      </c>
      <c r="E769" s="2">
        <v>6.3</v>
      </c>
      <c r="F769" s="2">
        <v>0.9</v>
      </c>
      <c r="G769" s="2">
        <v>22.940999999999999</v>
      </c>
      <c r="H769" s="2">
        <v>32.2438</v>
      </c>
      <c r="I769" s="2">
        <v>0</v>
      </c>
      <c r="J769" s="2">
        <v>0</v>
      </c>
    </row>
    <row r="770" spans="1:10">
      <c r="A770" s="2" t="s">
        <v>148</v>
      </c>
      <c r="B770" s="2" t="s">
        <v>59</v>
      </c>
      <c r="C770" s="2">
        <v>0.61021300000000001</v>
      </c>
      <c r="D770" s="60">
        <v>61.021299999999997</v>
      </c>
      <c r="E770" s="2">
        <v>0.3</v>
      </c>
      <c r="F770" s="2">
        <v>6</v>
      </c>
      <c r="G770" s="2">
        <v>32.2438</v>
      </c>
      <c r="H770" s="2">
        <v>43.072899999999997</v>
      </c>
      <c r="I770" s="2">
        <v>0</v>
      </c>
      <c r="J770" s="2">
        <v>0</v>
      </c>
    </row>
    <row r="771" spans="1:10">
      <c r="A771" s="2" t="s">
        <v>140</v>
      </c>
      <c r="B771" s="2">
        <v>1</v>
      </c>
      <c r="C771" s="2">
        <v>23.800899999999999</v>
      </c>
      <c r="D771" s="60">
        <v>25.380400000000002</v>
      </c>
      <c r="E771" s="2">
        <v>6.9</v>
      </c>
      <c r="F771" s="2">
        <v>10.8</v>
      </c>
    </row>
    <row r="772" spans="1:10">
      <c r="A772" s="2" t="s">
        <v>141</v>
      </c>
      <c r="B772" s="2">
        <v>6.9</v>
      </c>
      <c r="C772" s="2">
        <v>7.2</v>
      </c>
      <c r="D772" s="60" t="s">
        <v>153</v>
      </c>
    </row>
    <row r="773" spans="1:10">
      <c r="A773" s="2" t="s">
        <v>141</v>
      </c>
      <c r="B773" s="2">
        <v>6.9</v>
      </c>
      <c r="C773" s="2">
        <v>20.243500000000001</v>
      </c>
      <c r="D773" s="60" t="s">
        <v>145</v>
      </c>
    </row>
    <row r="774" spans="1:10">
      <c r="A774" s="2" t="s">
        <v>141</v>
      </c>
      <c r="B774" s="2">
        <v>6.9</v>
      </c>
      <c r="C774" s="2">
        <v>20.243500000000001</v>
      </c>
      <c r="D774" s="60" t="s">
        <v>161</v>
      </c>
    </row>
    <row r="775" spans="1:10">
      <c r="A775" s="2" t="s">
        <v>148</v>
      </c>
      <c r="B775" s="2" t="s">
        <v>101</v>
      </c>
      <c r="C775" s="2">
        <v>9.1070100000000001E-2</v>
      </c>
      <c r="D775" s="60">
        <v>0</v>
      </c>
      <c r="E775" s="2">
        <v>6.9</v>
      </c>
      <c r="F775" s="2">
        <v>3.9</v>
      </c>
      <c r="G775" s="2">
        <v>15.7456</v>
      </c>
      <c r="H775" s="2">
        <v>18.5794</v>
      </c>
      <c r="I775" s="2">
        <v>0</v>
      </c>
      <c r="J775" s="2">
        <v>0</v>
      </c>
    </row>
    <row r="776" spans="1:10">
      <c r="A776" s="2" t="s">
        <v>138</v>
      </c>
      <c r="B776" s="2">
        <v>5</v>
      </c>
      <c r="C776" s="2">
        <v>19.488</v>
      </c>
      <c r="D776" s="60" t="s">
        <v>129</v>
      </c>
      <c r="E776" s="2" t="s">
        <v>149</v>
      </c>
    </row>
    <row r="777" spans="1:10">
      <c r="A777" s="2" t="s">
        <v>140</v>
      </c>
      <c r="B777" s="2">
        <v>0</v>
      </c>
      <c r="C777" s="2">
        <v>50.746200000000002</v>
      </c>
      <c r="D777" s="60">
        <v>26.105</v>
      </c>
    </row>
    <row r="778" spans="1:10">
      <c r="A778" s="2" t="s">
        <v>141</v>
      </c>
      <c r="B778" s="2">
        <v>0</v>
      </c>
      <c r="C778" s="2">
        <v>6.6</v>
      </c>
      <c r="D778" s="60" t="s">
        <v>142</v>
      </c>
    </row>
    <row r="779" spans="1:10">
      <c r="A779" s="2" t="s">
        <v>141</v>
      </c>
      <c r="B779" s="2">
        <v>0</v>
      </c>
      <c r="C779" s="2">
        <v>20.788699999999999</v>
      </c>
      <c r="D779" s="60" t="s">
        <v>146</v>
      </c>
    </row>
    <row r="780" spans="1:10">
      <c r="A780" s="2" t="s">
        <v>141</v>
      </c>
      <c r="B780" s="2">
        <v>6.6</v>
      </c>
      <c r="C780" s="2">
        <v>12.3</v>
      </c>
      <c r="D780" s="60" t="s">
        <v>144</v>
      </c>
    </row>
    <row r="781" spans="1:10">
      <c r="A781" s="2" t="s">
        <v>141</v>
      </c>
      <c r="B781" s="2">
        <v>12.3</v>
      </c>
      <c r="C781" s="2">
        <v>13.9</v>
      </c>
      <c r="D781" s="60" t="s">
        <v>145</v>
      </c>
    </row>
    <row r="782" spans="1:10">
      <c r="A782" s="2" t="s">
        <v>141</v>
      </c>
      <c r="B782" s="2">
        <v>13.9</v>
      </c>
      <c r="C782" s="2">
        <v>14.2</v>
      </c>
      <c r="D782" s="60" t="s">
        <v>153</v>
      </c>
    </row>
    <row r="783" spans="1:10">
      <c r="A783" s="2" t="s">
        <v>141</v>
      </c>
      <c r="B783" s="2">
        <v>13.9</v>
      </c>
      <c r="C783" s="2">
        <v>14.2</v>
      </c>
      <c r="D783" s="60" t="s">
        <v>154</v>
      </c>
    </row>
    <row r="784" spans="1:10">
      <c r="A784" s="2" t="s">
        <v>141</v>
      </c>
      <c r="B784" s="2">
        <v>13.9</v>
      </c>
      <c r="C784" s="2">
        <v>20.788699999999999</v>
      </c>
      <c r="D784" s="60" t="s">
        <v>144</v>
      </c>
    </row>
    <row r="785" spans="1:10">
      <c r="A785" s="2" t="s">
        <v>156</v>
      </c>
      <c r="B785" s="2">
        <v>13.9</v>
      </c>
      <c r="C785" s="2">
        <v>39.501899999999999</v>
      </c>
    </row>
    <row r="786" spans="1:10">
      <c r="A786" s="2" t="s">
        <v>148</v>
      </c>
      <c r="B786" s="2" t="s">
        <v>99</v>
      </c>
      <c r="C786" s="2">
        <v>6.1702800000000002E-2</v>
      </c>
      <c r="D786" s="60">
        <v>0</v>
      </c>
      <c r="E786" s="2">
        <v>0</v>
      </c>
      <c r="F786" s="2">
        <v>0.3</v>
      </c>
      <c r="G786" s="2">
        <v>49.948500000000003</v>
      </c>
      <c r="H786" s="2">
        <v>52.496499999999997</v>
      </c>
      <c r="I786" s="2">
        <v>0</v>
      </c>
      <c r="J786" s="2">
        <v>0</v>
      </c>
    </row>
    <row r="787" spans="1:10">
      <c r="A787" s="2" t="s">
        <v>148</v>
      </c>
      <c r="B787" s="2" t="s">
        <v>100</v>
      </c>
      <c r="C787" s="2">
        <v>1.67951E-2</v>
      </c>
      <c r="D787" s="60">
        <v>0</v>
      </c>
      <c r="E787" s="2">
        <v>20.8796</v>
      </c>
      <c r="F787" s="2">
        <v>5.2253999999999996</v>
      </c>
      <c r="G787" s="2">
        <v>0</v>
      </c>
      <c r="H787" s="2">
        <v>10</v>
      </c>
      <c r="I787" s="2">
        <v>0</v>
      </c>
      <c r="J787" s="2">
        <v>0</v>
      </c>
    </row>
    <row r="788" spans="1:10">
      <c r="A788" s="2" t="s">
        <v>148</v>
      </c>
      <c r="B788" s="2" t="s">
        <v>98</v>
      </c>
      <c r="C788" s="2">
        <v>0.15254899999999999</v>
      </c>
      <c r="D788" s="60">
        <v>0</v>
      </c>
      <c r="E788" s="2">
        <v>13.644500000000001</v>
      </c>
      <c r="F788" s="2">
        <v>7.2351400000000003</v>
      </c>
      <c r="G788" s="2">
        <v>10</v>
      </c>
      <c r="H788" s="2">
        <v>26.727900000000002</v>
      </c>
      <c r="I788" s="2">
        <v>0</v>
      </c>
      <c r="J788" s="2">
        <v>0</v>
      </c>
    </row>
    <row r="789" spans="1:10">
      <c r="A789" s="2" t="s">
        <v>148</v>
      </c>
      <c r="B789" s="2" t="s">
        <v>101</v>
      </c>
      <c r="C789" s="2">
        <v>8.1839500000000006E-3</v>
      </c>
      <c r="D789" s="60">
        <v>0</v>
      </c>
      <c r="E789" s="2">
        <v>13.5</v>
      </c>
      <c r="F789" s="2">
        <v>0.144454</v>
      </c>
      <c r="G789" s="2">
        <v>26.727900000000002</v>
      </c>
      <c r="H789" s="2">
        <v>26.987300000000001</v>
      </c>
      <c r="I789" s="2">
        <v>0</v>
      </c>
      <c r="J789" s="2">
        <v>0</v>
      </c>
    </row>
    <row r="790" spans="1:10">
      <c r="A790" s="2" t="s">
        <v>148</v>
      </c>
      <c r="B790" s="2" t="s">
        <v>60</v>
      </c>
      <c r="C790" s="2">
        <v>0.29014299999999998</v>
      </c>
      <c r="D790" s="60">
        <v>26.1128</v>
      </c>
      <c r="E790" s="2">
        <v>9.5</v>
      </c>
      <c r="F790" s="2">
        <v>4</v>
      </c>
      <c r="G790" s="2">
        <v>26.987300000000001</v>
      </c>
      <c r="H790" s="2">
        <v>33.432899999999997</v>
      </c>
      <c r="I790" s="2">
        <v>0</v>
      </c>
      <c r="J790" s="2">
        <v>0</v>
      </c>
    </row>
    <row r="791" spans="1:10">
      <c r="A791" s="2" t="s">
        <v>148</v>
      </c>
      <c r="B791" s="2" t="s">
        <v>59</v>
      </c>
      <c r="C791" s="2">
        <v>0.40902100000000002</v>
      </c>
      <c r="D791" s="60">
        <v>40.902099999999997</v>
      </c>
      <c r="E791" s="2">
        <v>5.5</v>
      </c>
      <c r="F791" s="2">
        <v>4</v>
      </c>
      <c r="G791" s="2">
        <v>33.432899999999997</v>
      </c>
      <c r="H791" s="2">
        <v>38.475499999999997</v>
      </c>
      <c r="I791" s="2">
        <v>0</v>
      </c>
      <c r="J791" s="2">
        <v>0</v>
      </c>
    </row>
    <row r="792" spans="1:10">
      <c r="A792" s="2" t="s">
        <v>148</v>
      </c>
      <c r="B792" s="2" t="s">
        <v>56</v>
      </c>
      <c r="C792" s="2">
        <v>0.73289899999999997</v>
      </c>
      <c r="D792" s="60">
        <v>102.60599999999999</v>
      </c>
      <c r="E792" s="2">
        <v>0.3</v>
      </c>
      <c r="F792" s="2">
        <v>5.2</v>
      </c>
      <c r="G792" s="2">
        <v>38.475499999999997</v>
      </c>
      <c r="H792" s="2">
        <v>49.948500000000003</v>
      </c>
      <c r="I792" s="2">
        <v>0</v>
      </c>
      <c r="J792" s="2">
        <v>0</v>
      </c>
    </row>
    <row r="793" spans="1:10">
      <c r="A793" s="2" t="s">
        <v>140</v>
      </c>
      <c r="B793" s="2">
        <v>1</v>
      </c>
      <c r="C793" s="2">
        <v>24.685600000000001</v>
      </c>
      <c r="D793" s="60">
        <v>31.436499999999999</v>
      </c>
      <c r="E793" s="2">
        <v>13.9</v>
      </c>
    </row>
    <row r="794" spans="1:10">
      <c r="A794" s="2" t="s">
        <v>141</v>
      </c>
      <c r="B794" s="2">
        <v>13.9</v>
      </c>
      <c r="C794" s="2">
        <v>14.2</v>
      </c>
      <c r="D794" s="60" t="s">
        <v>153</v>
      </c>
    </row>
    <row r="795" spans="1:10">
      <c r="A795" s="2" t="s">
        <v>141</v>
      </c>
      <c r="B795" s="2">
        <v>13.9</v>
      </c>
      <c r="C795" s="2">
        <v>24.8</v>
      </c>
      <c r="D795" s="60" t="s">
        <v>144</v>
      </c>
    </row>
    <row r="796" spans="1:10">
      <c r="A796" s="2" t="s">
        <v>141</v>
      </c>
      <c r="B796" s="2">
        <v>13.9</v>
      </c>
      <c r="C796" s="2">
        <v>24.8</v>
      </c>
      <c r="D796" s="60" t="s">
        <v>146</v>
      </c>
    </row>
    <row r="797" spans="1:10">
      <c r="A797" s="2" t="s">
        <v>148</v>
      </c>
      <c r="B797" s="2" t="s">
        <v>100</v>
      </c>
      <c r="C797" s="2">
        <v>3.00705E-2</v>
      </c>
      <c r="D797" s="60">
        <v>0</v>
      </c>
      <c r="E797" s="2">
        <v>21.241299999999999</v>
      </c>
      <c r="F797" s="2">
        <v>10.1952</v>
      </c>
      <c r="G797" s="2">
        <v>0</v>
      </c>
      <c r="H797" s="2">
        <v>10</v>
      </c>
      <c r="I797" s="2">
        <v>0</v>
      </c>
      <c r="J797" s="2">
        <v>0</v>
      </c>
    </row>
    <row r="798" spans="1:10">
      <c r="A798" s="2" t="s">
        <v>148</v>
      </c>
      <c r="B798" s="2" t="s">
        <v>98</v>
      </c>
      <c r="C798" s="2">
        <v>6.8020999999999998E-2</v>
      </c>
      <c r="D798" s="60">
        <v>0</v>
      </c>
      <c r="E798" s="2">
        <v>15.6549</v>
      </c>
      <c r="F798" s="2">
        <v>5.5863699999999996</v>
      </c>
      <c r="G798" s="2">
        <v>10</v>
      </c>
      <c r="H798" s="2">
        <v>14.6469</v>
      </c>
      <c r="I798" s="2">
        <v>0</v>
      </c>
      <c r="J798" s="2">
        <v>0</v>
      </c>
    </row>
    <row r="799" spans="1:10">
      <c r="A799" s="2" t="s">
        <v>148</v>
      </c>
      <c r="B799" s="2" t="s">
        <v>101</v>
      </c>
      <c r="C799" s="2">
        <v>3.2284100000000003E-2</v>
      </c>
      <c r="D799" s="60">
        <v>0</v>
      </c>
      <c r="E799" s="2">
        <v>13.9</v>
      </c>
      <c r="F799" s="2">
        <v>1.75492</v>
      </c>
      <c r="G799" s="2">
        <v>14.6469</v>
      </c>
      <c r="H799" s="2">
        <v>15.936400000000001</v>
      </c>
      <c r="I799" s="2">
        <v>0</v>
      </c>
      <c r="J799" s="2">
        <v>0</v>
      </c>
    </row>
    <row r="800" spans="1:10">
      <c r="A800" s="2" t="s">
        <v>138</v>
      </c>
      <c r="B800" s="2">
        <v>6</v>
      </c>
      <c r="C800" s="2">
        <v>19.4328</v>
      </c>
      <c r="D800" s="60" t="s">
        <v>129</v>
      </c>
      <c r="E800" s="2" t="s">
        <v>139</v>
      </c>
    </row>
    <row r="801" spans="1:10">
      <c r="A801" s="2" t="s">
        <v>140</v>
      </c>
      <c r="B801" s="2">
        <v>0</v>
      </c>
      <c r="C801" s="2">
        <v>48.888399999999997</v>
      </c>
      <c r="D801" s="60">
        <v>26.2529</v>
      </c>
    </row>
    <row r="802" spans="1:10">
      <c r="A802" s="2" t="s">
        <v>141</v>
      </c>
      <c r="B802" s="2">
        <v>0</v>
      </c>
      <c r="C802" s="2">
        <v>4</v>
      </c>
      <c r="D802" s="60" t="s">
        <v>174</v>
      </c>
    </row>
    <row r="803" spans="1:10">
      <c r="A803" s="2" t="s">
        <v>141</v>
      </c>
      <c r="B803" s="2">
        <v>0</v>
      </c>
      <c r="C803" s="2">
        <v>5.3</v>
      </c>
      <c r="D803" s="60" t="s">
        <v>142</v>
      </c>
    </row>
    <row r="804" spans="1:10">
      <c r="A804" s="2" t="s">
        <v>141</v>
      </c>
      <c r="B804" s="2">
        <v>0</v>
      </c>
      <c r="C804" s="2">
        <v>20.9</v>
      </c>
      <c r="D804" s="60" t="s">
        <v>146</v>
      </c>
    </row>
    <row r="805" spans="1:10">
      <c r="A805" s="2" t="s">
        <v>141</v>
      </c>
      <c r="B805" s="2">
        <v>4</v>
      </c>
      <c r="C805" s="2">
        <v>6.8</v>
      </c>
      <c r="D805" s="60" t="s">
        <v>158</v>
      </c>
    </row>
    <row r="806" spans="1:10">
      <c r="A806" s="2" t="s">
        <v>141</v>
      </c>
      <c r="B806" s="2">
        <v>5.3</v>
      </c>
      <c r="C806" s="2">
        <v>10</v>
      </c>
      <c r="D806" s="60" t="s">
        <v>144</v>
      </c>
    </row>
    <row r="807" spans="1:10">
      <c r="A807" s="2" t="s">
        <v>141</v>
      </c>
      <c r="B807" s="2">
        <v>6.8</v>
      </c>
      <c r="C807" s="2">
        <v>7.1</v>
      </c>
      <c r="D807" s="60" t="s">
        <v>176</v>
      </c>
    </row>
    <row r="808" spans="1:10">
      <c r="A808" s="2" t="s">
        <v>141</v>
      </c>
      <c r="B808" s="2">
        <v>7.1</v>
      </c>
      <c r="C808" s="2">
        <v>12.5</v>
      </c>
      <c r="D808" s="60" t="s">
        <v>158</v>
      </c>
    </row>
    <row r="809" spans="1:10">
      <c r="A809" s="2" t="s">
        <v>141</v>
      </c>
      <c r="B809" s="2">
        <v>10</v>
      </c>
      <c r="C809" s="2">
        <v>10.5</v>
      </c>
      <c r="D809" s="60" t="s">
        <v>147</v>
      </c>
    </row>
    <row r="810" spans="1:10">
      <c r="A810" s="2" t="s">
        <v>141</v>
      </c>
      <c r="B810" s="2">
        <v>10.5</v>
      </c>
      <c r="C810" s="2">
        <v>12.9</v>
      </c>
      <c r="D810" s="60" t="s">
        <v>145</v>
      </c>
    </row>
    <row r="811" spans="1:10">
      <c r="A811" s="2" t="s">
        <v>141</v>
      </c>
      <c r="B811" s="2">
        <v>12.5</v>
      </c>
      <c r="C811" s="2">
        <v>12.8</v>
      </c>
      <c r="D811" s="60" t="s">
        <v>177</v>
      </c>
    </row>
    <row r="812" spans="1:10">
      <c r="A812" s="2" t="s">
        <v>141</v>
      </c>
      <c r="B812" s="2">
        <v>12.9</v>
      </c>
      <c r="C812" s="2">
        <v>20.9</v>
      </c>
      <c r="D812" s="60" t="s">
        <v>144</v>
      </c>
    </row>
    <row r="813" spans="1:10">
      <c r="A813" s="2" t="s">
        <v>148</v>
      </c>
      <c r="B813" s="2" t="s">
        <v>99</v>
      </c>
      <c r="C813" s="2">
        <v>5.7736599999999999E-2</v>
      </c>
      <c r="D813" s="60">
        <v>0</v>
      </c>
      <c r="E813" s="2">
        <v>0</v>
      </c>
      <c r="F813" s="2">
        <v>0.3</v>
      </c>
      <c r="G813" s="2">
        <v>48.322299999999998</v>
      </c>
      <c r="H813" s="2">
        <v>50.774500000000003</v>
      </c>
      <c r="I813" s="2">
        <v>0</v>
      </c>
      <c r="J813" s="2">
        <v>0</v>
      </c>
    </row>
    <row r="814" spans="1:10">
      <c r="A814" s="2" t="s">
        <v>148</v>
      </c>
      <c r="B814" s="2" t="s">
        <v>100</v>
      </c>
      <c r="C814" s="2">
        <v>1.39183E-2</v>
      </c>
      <c r="D814" s="60">
        <v>0</v>
      </c>
      <c r="E814" s="2">
        <v>22.123999999999999</v>
      </c>
      <c r="F814" s="2">
        <v>4.12887</v>
      </c>
      <c r="G814" s="2">
        <v>0</v>
      </c>
      <c r="H814" s="2">
        <v>10</v>
      </c>
      <c r="I814" s="2">
        <v>0</v>
      </c>
      <c r="J814" s="2">
        <v>0</v>
      </c>
    </row>
    <row r="815" spans="1:10">
      <c r="A815" s="2" t="s">
        <v>148</v>
      </c>
      <c r="B815" s="2" t="s">
        <v>98</v>
      </c>
      <c r="C815" s="2">
        <v>0.14912800000000001</v>
      </c>
      <c r="D815" s="60">
        <v>0</v>
      </c>
      <c r="E815" s="2">
        <v>15.4147</v>
      </c>
      <c r="F815" s="2">
        <v>6.70939</v>
      </c>
      <c r="G815" s="2">
        <v>10</v>
      </c>
      <c r="H815" s="2">
        <v>22.817900000000002</v>
      </c>
      <c r="I815" s="2">
        <v>0</v>
      </c>
      <c r="J815" s="2">
        <v>0</v>
      </c>
    </row>
    <row r="816" spans="1:10">
      <c r="A816" s="2" t="s">
        <v>148</v>
      </c>
      <c r="B816" s="2" t="s">
        <v>101</v>
      </c>
      <c r="C816" s="2">
        <v>5.9997200000000005E-4</v>
      </c>
      <c r="D816" s="60">
        <v>0</v>
      </c>
      <c r="E816" s="2">
        <v>15.4</v>
      </c>
      <c r="F816" s="2">
        <v>1.46546E-2</v>
      </c>
      <c r="G816" s="2">
        <v>22.817900000000002</v>
      </c>
      <c r="H816" s="2">
        <v>22.844899999999999</v>
      </c>
      <c r="I816" s="2">
        <v>0</v>
      </c>
      <c r="J816" s="2">
        <v>0</v>
      </c>
    </row>
    <row r="817" spans="1:10">
      <c r="A817" s="2" t="s">
        <v>148</v>
      </c>
      <c r="B817" s="2" t="s">
        <v>64</v>
      </c>
      <c r="C817" s="2">
        <v>0.32305200000000001</v>
      </c>
      <c r="D817" s="60">
        <v>9.6915499999999994</v>
      </c>
      <c r="E817" s="2">
        <v>10</v>
      </c>
      <c r="F817" s="2">
        <v>5.4</v>
      </c>
      <c r="G817" s="2">
        <v>22.844899999999999</v>
      </c>
      <c r="H817" s="2">
        <v>31.716000000000001</v>
      </c>
      <c r="I817" s="2">
        <v>0</v>
      </c>
      <c r="J817" s="2">
        <v>0</v>
      </c>
    </row>
    <row r="818" spans="1:10">
      <c r="A818" s="2" t="s">
        <v>148</v>
      </c>
      <c r="B818" s="2" t="s">
        <v>59</v>
      </c>
      <c r="C818" s="2">
        <v>0.59483600000000003</v>
      </c>
      <c r="D818" s="60">
        <v>59.483600000000003</v>
      </c>
      <c r="E818" s="2">
        <v>4</v>
      </c>
      <c r="F818" s="2">
        <v>6</v>
      </c>
      <c r="G818" s="2">
        <v>31.716000000000001</v>
      </c>
      <c r="H818" s="2">
        <v>38.883099999999999</v>
      </c>
      <c r="I818" s="2">
        <v>0</v>
      </c>
      <c r="J818" s="2">
        <v>0</v>
      </c>
    </row>
    <row r="819" spans="1:10">
      <c r="A819" s="2" t="s">
        <v>148</v>
      </c>
      <c r="B819" s="2" t="s">
        <v>101</v>
      </c>
      <c r="C819" s="2">
        <v>0.51571</v>
      </c>
      <c r="D819" s="60">
        <v>0</v>
      </c>
      <c r="E819" s="2">
        <v>0.3</v>
      </c>
      <c r="F819" s="2">
        <v>3.7</v>
      </c>
      <c r="G819" s="2">
        <v>38.883099999999999</v>
      </c>
      <c r="H819" s="2">
        <v>48.322299999999998</v>
      </c>
      <c r="I819" s="2">
        <v>0</v>
      </c>
      <c r="J819" s="2">
        <v>0</v>
      </c>
    </row>
    <row r="820" spans="1:10">
      <c r="A820" s="2" t="s">
        <v>138</v>
      </c>
      <c r="B820" s="2">
        <v>7</v>
      </c>
      <c r="C820" s="2">
        <v>19.2818</v>
      </c>
      <c r="D820" s="60" t="s">
        <v>129</v>
      </c>
      <c r="E820" s="2" t="s">
        <v>149</v>
      </c>
    </row>
    <row r="821" spans="1:10">
      <c r="A821" s="2" t="s">
        <v>140</v>
      </c>
      <c r="B821" s="2">
        <v>0</v>
      </c>
      <c r="C821" s="2">
        <v>45.712899999999998</v>
      </c>
      <c r="D821" s="60">
        <v>25.6447</v>
      </c>
    </row>
    <row r="822" spans="1:10">
      <c r="A822" s="2" t="s">
        <v>141</v>
      </c>
      <c r="B822" s="2">
        <v>0</v>
      </c>
      <c r="C822" s="2">
        <v>6.7</v>
      </c>
      <c r="D822" s="60" t="s">
        <v>142</v>
      </c>
    </row>
    <row r="823" spans="1:10">
      <c r="A823" s="2" t="s">
        <v>141</v>
      </c>
      <c r="B823" s="2">
        <v>0</v>
      </c>
      <c r="C823" s="2">
        <v>10.6</v>
      </c>
      <c r="D823" s="60" t="s">
        <v>146</v>
      </c>
    </row>
    <row r="824" spans="1:10">
      <c r="A824" s="2" t="s">
        <v>141</v>
      </c>
      <c r="B824" s="2">
        <v>6.7</v>
      </c>
      <c r="C824" s="2">
        <v>9</v>
      </c>
      <c r="D824" s="60" t="s">
        <v>144</v>
      </c>
    </row>
    <row r="825" spans="1:10">
      <c r="A825" s="2" t="s">
        <v>141</v>
      </c>
      <c r="B825" s="2">
        <v>9</v>
      </c>
      <c r="C825" s="2">
        <v>10.4</v>
      </c>
      <c r="D825" s="60" t="s">
        <v>145</v>
      </c>
    </row>
    <row r="826" spans="1:10">
      <c r="A826" s="2" t="s">
        <v>141</v>
      </c>
      <c r="B826" s="2">
        <v>10.4</v>
      </c>
      <c r="C826" s="2">
        <v>20.442399999999999</v>
      </c>
      <c r="D826" s="60" t="s">
        <v>144</v>
      </c>
    </row>
    <row r="827" spans="1:10">
      <c r="A827" s="2" t="s">
        <v>141</v>
      </c>
      <c r="B827" s="2">
        <v>10.6</v>
      </c>
      <c r="C827" s="2">
        <v>10.9</v>
      </c>
      <c r="D827" s="60" t="s">
        <v>153</v>
      </c>
    </row>
    <row r="828" spans="1:10">
      <c r="A828" s="2" t="s">
        <v>141</v>
      </c>
      <c r="B828" s="2">
        <v>10.6</v>
      </c>
      <c r="C828" s="2">
        <v>10.9</v>
      </c>
      <c r="D828" s="60" t="s">
        <v>154</v>
      </c>
    </row>
    <row r="829" spans="1:10">
      <c r="A829" s="2" t="s">
        <v>141</v>
      </c>
      <c r="B829" s="2">
        <v>10.6</v>
      </c>
      <c r="C829" s="2">
        <v>20.442399999999999</v>
      </c>
      <c r="D829" s="60" t="s">
        <v>152</v>
      </c>
    </row>
    <row r="830" spans="1:10">
      <c r="A830" s="2" t="s">
        <v>156</v>
      </c>
      <c r="B830" s="2">
        <v>10.6</v>
      </c>
      <c r="C830" s="2">
        <v>31.2347</v>
      </c>
    </row>
    <row r="831" spans="1:10">
      <c r="A831" s="2" t="s">
        <v>148</v>
      </c>
      <c r="B831" s="2" t="s">
        <v>99</v>
      </c>
      <c r="C831" s="2">
        <v>5.1121199999999999E-2</v>
      </c>
      <c r="D831" s="60">
        <v>0</v>
      </c>
      <c r="E831" s="2">
        <v>0</v>
      </c>
      <c r="F831" s="2">
        <v>0.3</v>
      </c>
      <c r="G831" s="2">
        <v>45.447099999999999</v>
      </c>
      <c r="H831" s="2">
        <v>47.803800000000003</v>
      </c>
      <c r="I831" s="2">
        <v>0</v>
      </c>
      <c r="J831" s="2">
        <v>0</v>
      </c>
    </row>
    <row r="832" spans="1:10">
      <c r="A832" s="2" t="s">
        <v>148</v>
      </c>
      <c r="B832" s="2" t="s">
        <v>100</v>
      </c>
      <c r="C832" s="2">
        <v>2.0131300000000001E-2</v>
      </c>
      <c r="D832" s="60">
        <v>0</v>
      </c>
      <c r="E832" s="2">
        <v>19.070499999999999</v>
      </c>
      <c r="F832" s="2">
        <v>6.5742500000000001</v>
      </c>
      <c r="G832" s="2">
        <v>0</v>
      </c>
      <c r="H832" s="2">
        <v>10</v>
      </c>
      <c r="I832" s="2">
        <v>0</v>
      </c>
      <c r="J832" s="2">
        <v>0</v>
      </c>
    </row>
    <row r="833" spans="1:10">
      <c r="A833" s="2" t="s">
        <v>148</v>
      </c>
      <c r="B833" s="2" t="s">
        <v>101</v>
      </c>
      <c r="C833" s="2">
        <v>5.58688E-4</v>
      </c>
      <c r="D833" s="60">
        <v>0</v>
      </c>
      <c r="E833" s="2">
        <v>19</v>
      </c>
      <c r="F833" s="2">
        <v>7.0471699999999998E-2</v>
      </c>
      <c r="G833" s="2">
        <v>10</v>
      </c>
      <c r="H833" s="2">
        <v>10.0937</v>
      </c>
      <c r="I833" s="2">
        <v>0</v>
      </c>
      <c r="J833" s="2">
        <v>0</v>
      </c>
    </row>
    <row r="834" spans="1:10">
      <c r="A834" s="2" t="s">
        <v>148</v>
      </c>
      <c r="B834" s="2" t="s">
        <v>64</v>
      </c>
      <c r="C834" s="2">
        <v>4.4591600000000002E-2</v>
      </c>
      <c r="D834" s="60">
        <v>1.33775</v>
      </c>
      <c r="E834" s="2">
        <v>15.4</v>
      </c>
      <c r="F834" s="2">
        <v>3.6</v>
      </c>
      <c r="G834" s="2">
        <v>10.0937</v>
      </c>
      <c r="H834" s="2">
        <v>14.840199999999999</v>
      </c>
      <c r="I834" s="2">
        <v>0</v>
      </c>
      <c r="J834" s="2">
        <v>0</v>
      </c>
    </row>
    <row r="835" spans="1:10">
      <c r="A835" s="2" t="s">
        <v>148</v>
      </c>
      <c r="B835" s="2" t="s">
        <v>64</v>
      </c>
      <c r="C835" s="2">
        <v>0.109801</v>
      </c>
      <c r="D835" s="60">
        <v>3.2940200000000002</v>
      </c>
      <c r="E835" s="2">
        <v>10.9</v>
      </c>
      <c r="F835" s="2">
        <v>4.5</v>
      </c>
      <c r="G835" s="2">
        <v>14.840199999999999</v>
      </c>
      <c r="H835" s="2">
        <v>20.098099999999999</v>
      </c>
      <c r="I835" s="2">
        <v>0</v>
      </c>
      <c r="J835" s="2">
        <v>0</v>
      </c>
    </row>
    <row r="836" spans="1:10">
      <c r="A836" s="2" t="s">
        <v>148</v>
      </c>
      <c r="B836" s="2" t="s">
        <v>101</v>
      </c>
      <c r="C836" s="2">
        <v>2.9361700000000001E-2</v>
      </c>
      <c r="D836" s="60">
        <v>0</v>
      </c>
      <c r="E836" s="2">
        <v>10.3</v>
      </c>
      <c r="F836" s="2">
        <v>0.6</v>
      </c>
      <c r="G836" s="2">
        <v>20.098099999999999</v>
      </c>
      <c r="H836" s="2">
        <v>29.1251</v>
      </c>
      <c r="I836" s="2">
        <v>0</v>
      </c>
      <c r="J836" s="2">
        <v>0</v>
      </c>
    </row>
    <row r="837" spans="1:10">
      <c r="A837" s="2" t="s">
        <v>148</v>
      </c>
      <c r="B837" s="2" t="s">
        <v>60</v>
      </c>
      <c r="C837" s="2">
        <v>0.51052200000000003</v>
      </c>
      <c r="D837" s="60">
        <v>45.947000000000003</v>
      </c>
      <c r="E837" s="2">
        <v>4.3</v>
      </c>
      <c r="F837" s="2">
        <v>6</v>
      </c>
      <c r="G837" s="2">
        <v>29.1251</v>
      </c>
      <c r="H837" s="2">
        <v>36.190199999999997</v>
      </c>
      <c r="I837" s="2">
        <v>0</v>
      </c>
      <c r="J837" s="2">
        <v>0</v>
      </c>
    </row>
    <row r="838" spans="1:10">
      <c r="A838" s="2" t="s">
        <v>148</v>
      </c>
      <c r="B838" s="2" t="s">
        <v>56</v>
      </c>
      <c r="C838" s="2">
        <v>0.48626799999999998</v>
      </c>
      <c r="D838" s="60">
        <v>68.077600000000004</v>
      </c>
      <c r="E838" s="2">
        <v>0.3</v>
      </c>
      <c r="F838" s="2">
        <v>4</v>
      </c>
      <c r="G838" s="2">
        <v>36.190199999999997</v>
      </c>
      <c r="H838" s="2">
        <v>45.447099999999999</v>
      </c>
      <c r="I838" s="2">
        <v>0</v>
      </c>
      <c r="J838" s="2">
        <v>0</v>
      </c>
    </row>
    <row r="839" spans="1:10">
      <c r="A839" s="2" t="s">
        <v>140</v>
      </c>
      <c r="B839" s="2">
        <v>1</v>
      </c>
      <c r="C839" s="2">
        <v>25.966699999999999</v>
      </c>
      <c r="D839" s="60">
        <v>25.6447</v>
      </c>
      <c r="E839" s="2">
        <v>10.6</v>
      </c>
    </row>
    <row r="840" spans="1:10">
      <c r="A840" s="2" t="s">
        <v>141</v>
      </c>
      <c r="B840" s="2">
        <v>10.6</v>
      </c>
      <c r="C840" s="2">
        <v>10.9</v>
      </c>
      <c r="D840" s="60" t="s">
        <v>153</v>
      </c>
    </row>
    <row r="841" spans="1:10">
      <c r="A841" s="2" t="s">
        <v>141</v>
      </c>
      <c r="B841" s="2">
        <v>10.6</v>
      </c>
      <c r="C841" s="2">
        <v>20.442399999999999</v>
      </c>
      <c r="D841" s="60" t="s">
        <v>144</v>
      </c>
    </row>
    <row r="842" spans="1:10">
      <c r="A842" s="2" t="s">
        <v>141</v>
      </c>
      <c r="B842" s="2">
        <v>10.6</v>
      </c>
      <c r="C842" s="2">
        <v>20.442399999999999</v>
      </c>
      <c r="D842" s="60" t="s">
        <v>161</v>
      </c>
    </row>
    <row r="843" spans="1:10">
      <c r="A843" s="2" t="s">
        <v>148</v>
      </c>
      <c r="B843" s="2" t="s">
        <v>100</v>
      </c>
      <c r="C843" s="2">
        <v>2.35252E-2</v>
      </c>
      <c r="D843" s="60">
        <v>0</v>
      </c>
      <c r="E843" s="2">
        <v>17.7212</v>
      </c>
      <c r="F843" s="2">
        <v>7.9234799999999996</v>
      </c>
      <c r="G843" s="2">
        <v>0</v>
      </c>
      <c r="H843" s="2">
        <v>10</v>
      </c>
      <c r="I843" s="2">
        <v>0</v>
      </c>
      <c r="J843" s="2">
        <v>0</v>
      </c>
    </row>
    <row r="844" spans="1:10">
      <c r="A844" s="2" t="s">
        <v>148</v>
      </c>
      <c r="B844" s="2" t="s">
        <v>101</v>
      </c>
      <c r="C844" s="2">
        <v>0.109193</v>
      </c>
      <c r="D844" s="60">
        <v>0</v>
      </c>
      <c r="E844" s="2">
        <v>10.6</v>
      </c>
      <c r="F844" s="2">
        <v>7.1212400000000002</v>
      </c>
      <c r="G844" s="2">
        <v>10</v>
      </c>
      <c r="H844" s="2">
        <v>17.296299999999999</v>
      </c>
      <c r="I844" s="2">
        <v>0</v>
      </c>
      <c r="J844" s="2">
        <v>0</v>
      </c>
    </row>
    <row r="845" spans="1:10">
      <c r="A845" s="2" t="s">
        <v>138</v>
      </c>
      <c r="B845" s="2">
        <v>8</v>
      </c>
      <c r="C845" s="2">
        <v>18.544599999999999</v>
      </c>
      <c r="D845" s="60" t="s">
        <v>129</v>
      </c>
      <c r="E845" s="2" t="s">
        <v>139</v>
      </c>
    </row>
    <row r="846" spans="1:10">
      <c r="A846" s="2" t="s">
        <v>140</v>
      </c>
      <c r="B846" s="2">
        <v>0</v>
      </c>
      <c r="C846" s="2">
        <v>37.233199999999997</v>
      </c>
      <c r="D846" s="60">
        <v>23.727599999999999</v>
      </c>
    </row>
    <row r="847" spans="1:10">
      <c r="A847" s="2" t="s">
        <v>141</v>
      </c>
      <c r="B847" s="2">
        <v>0</v>
      </c>
      <c r="C847" s="2">
        <v>3.6</v>
      </c>
      <c r="D847" s="60" t="s">
        <v>142</v>
      </c>
    </row>
    <row r="848" spans="1:10">
      <c r="A848" s="2" t="s">
        <v>141</v>
      </c>
      <c r="B848" s="2">
        <v>0</v>
      </c>
      <c r="C848" s="2">
        <v>3.6</v>
      </c>
      <c r="D848" s="60" t="s">
        <v>146</v>
      </c>
    </row>
    <row r="849" spans="1:10">
      <c r="A849" s="2" t="s">
        <v>141</v>
      </c>
      <c r="B849" s="2">
        <v>0</v>
      </c>
      <c r="C849" s="2">
        <v>3.6</v>
      </c>
      <c r="D849" s="60" t="s">
        <v>158</v>
      </c>
    </row>
    <row r="850" spans="1:10">
      <c r="A850" s="2" t="s">
        <v>141</v>
      </c>
      <c r="B850" s="2">
        <v>3.6</v>
      </c>
      <c r="C850" s="2">
        <v>4.3</v>
      </c>
      <c r="D850" s="60" t="s">
        <v>151</v>
      </c>
    </row>
    <row r="851" spans="1:10">
      <c r="A851" s="2" t="s">
        <v>141</v>
      </c>
      <c r="B851" s="2">
        <v>3.6</v>
      </c>
      <c r="C851" s="2">
        <v>4.3</v>
      </c>
      <c r="D851" s="60" t="s">
        <v>159</v>
      </c>
    </row>
    <row r="852" spans="1:10">
      <c r="A852" s="2" t="s">
        <v>141</v>
      </c>
      <c r="B852" s="2">
        <v>3.6</v>
      </c>
      <c r="C852" s="2">
        <v>4.3</v>
      </c>
      <c r="D852" s="60" t="s">
        <v>178</v>
      </c>
    </row>
    <row r="853" spans="1:10">
      <c r="A853" s="2" t="s">
        <v>141</v>
      </c>
      <c r="B853" s="2">
        <v>4.3</v>
      </c>
      <c r="C853" s="2">
        <v>7</v>
      </c>
      <c r="D853" s="60" t="s">
        <v>155</v>
      </c>
    </row>
    <row r="854" spans="1:10">
      <c r="A854" s="2" t="s">
        <v>141</v>
      </c>
      <c r="B854" s="2">
        <v>4.3</v>
      </c>
      <c r="C854" s="2">
        <v>9.4</v>
      </c>
      <c r="D854" s="60" t="s">
        <v>144</v>
      </c>
    </row>
    <row r="855" spans="1:10">
      <c r="A855" s="2" t="s">
        <v>141</v>
      </c>
      <c r="B855" s="2">
        <v>7</v>
      </c>
      <c r="C855" s="2">
        <v>19</v>
      </c>
      <c r="D855" s="60" t="s">
        <v>146</v>
      </c>
    </row>
    <row r="856" spans="1:10">
      <c r="A856" s="2" t="s">
        <v>141</v>
      </c>
      <c r="B856" s="2">
        <v>9.4</v>
      </c>
      <c r="C856" s="2">
        <v>13</v>
      </c>
      <c r="D856" s="60" t="s">
        <v>145</v>
      </c>
    </row>
    <row r="857" spans="1:10">
      <c r="A857" s="2" t="s">
        <v>141</v>
      </c>
      <c r="B857" s="2">
        <v>13</v>
      </c>
      <c r="C857" s="2">
        <v>19</v>
      </c>
      <c r="D857" s="60" t="s">
        <v>144</v>
      </c>
    </row>
    <row r="858" spans="1:10">
      <c r="A858" s="2" t="s">
        <v>148</v>
      </c>
      <c r="B858" s="2" t="s">
        <v>99</v>
      </c>
      <c r="C858" s="2">
        <v>3.5238999999999999E-2</v>
      </c>
      <c r="D858" s="60">
        <v>0</v>
      </c>
      <c r="E858" s="2">
        <v>0</v>
      </c>
      <c r="F858" s="2">
        <v>0.3</v>
      </c>
      <c r="G858" s="2">
        <v>37.668199999999999</v>
      </c>
      <c r="H858" s="2">
        <v>39.765900000000002</v>
      </c>
      <c r="I858" s="2">
        <v>0</v>
      </c>
      <c r="J858" s="2">
        <v>0</v>
      </c>
    </row>
    <row r="859" spans="1:10">
      <c r="A859" s="2" t="s">
        <v>148</v>
      </c>
      <c r="B859" s="2" t="s">
        <v>100</v>
      </c>
      <c r="C859" s="2">
        <v>1.6070899999999999E-2</v>
      </c>
      <c r="D859" s="60">
        <v>0</v>
      </c>
      <c r="E859" s="2">
        <v>18.662299999999998</v>
      </c>
      <c r="F859" s="2">
        <v>5.0653499999999996</v>
      </c>
      <c r="G859" s="2">
        <v>0</v>
      </c>
      <c r="H859" s="2">
        <v>10</v>
      </c>
      <c r="I859" s="2">
        <v>0</v>
      </c>
      <c r="J859" s="2">
        <v>0</v>
      </c>
    </row>
    <row r="860" spans="1:10">
      <c r="A860" s="2" t="s">
        <v>148</v>
      </c>
      <c r="B860" s="2" t="s">
        <v>101</v>
      </c>
      <c r="C860" s="2">
        <v>4.9406099999999996E-4</v>
      </c>
      <c r="D860" s="60">
        <v>0</v>
      </c>
      <c r="E860" s="2">
        <v>18.600000000000001</v>
      </c>
      <c r="F860" s="2">
        <v>6.2261900000000002E-2</v>
      </c>
      <c r="G860" s="2">
        <v>10</v>
      </c>
      <c r="H860" s="2">
        <v>10.1031</v>
      </c>
      <c r="I860" s="2">
        <v>0</v>
      </c>
      <c r="J860" s="2">
        <v>0</v>
      </c>
    </row>
    <row r="861" spans="1:10">
      <c r="A861" s="2" t="s">
        <v>148</v>
      </c>
      <c r="B861" s="2" t="s">
        <v>64</v>
      </c>
      <c r="C861" s="2">
        <v>6.4893400000000004E-2</v>
      </c>
      <c r="D861" s="60">
        <v>1.9468000000000001</v>
      </c>
      <c r="E861" s="2">
        <v>14.3</v>
      </c>
      <c r="F861" s="2">
        <v>4.3</v>
      </c>
      <c r="G861" s="2">
        <v>10.1031</v>
      </c>
      <c r="H861" s="2">
        <v>17.278300000000002</v>
      </c>
      <c r="I861" s="2">
        <v>0</v>
      </c>
      <c r="J861" s="2">
        <v>0</v>
      </c>
    </row>
    <row r="862" spans="1:10">
      <c r="A862" s="2" t="s">
        <v>148</v>
      </c>
      <c r="B862" s="2" t="s">
        <v>61</v>
      </c>
      <c r="C862" s="2">
        <v>0.225415</v>
      </c>
      <c r="D862" s="60">
        <v>19.160299999999999</v>
      </c>
      <c r="E862" s="2">
        <v>8.3000000000000007</v>
      </c>
      <c r="F862" s="2">
        <v>6</v>
      </c>
      <c r="G862" s="2">
        <v>17.278300000000002</v>
      </c>
      <c r="H862" s="2">
        <v>25.7182</v>
      </c>
      <c r="I862" s="2">
        <v>0</v>
      </c>
      <c r="J862" s="2">
        <v>0</v>
      </c>
    </row>
    <row r="863" spans="1:10">
      <c r="A863" s="2" t="s">
        <v>148</v>
      </c>
      <c r="B863" s="2" t="s">
        <v>63</v>
      </c>
      <c r="C863" s="2">
        <v>0.243895</v>
      </c>
      <c r="D863" s="60">
        <v>17.072600000000001</v>
      </c>
      <c r="E863" s="2">
        <v>4.3</v>
      </c>
      <c r="F863" s="2">
        <v>4</v>
      </c>
      <c r="G863" s="2">
        <v>25.7182</v>
      </c>
      <c r="H863" s="2">
        <v>29.802299999999999</v>
      </c>
      <c r="I863" s="2">
        <v>0</v>
      </c>
      <c r="J863" s="2">
        <v>0</v>
      </c>
    </row>
    <row r="864" spans="1:10">
      <c r="A864" s="2" t="s">
        <v>148</v>
      </c>
      <c r="B864" s="2" t="s">
        <v>101</v>
      </c>
      <c r="C864" s="2">
        <v>0.33148</v>
      </c>
      <c r="D864" s="60">
        <v>0</v>
      </c>
      <c r="E864" s="2">
        <v>0.3</v>
      </c>
      <c r="F864" s="2">
        <v>4</v>
      </c>
      <c r="G864" s="2">
        <v>29.802299999999999</v>
      </c>
      <c r="H864" s="2">
        <v>37.668199999999999</v>
      </c>
      <c r="I864" s="2">
        <v>0</v>
      </c>
      <c r="J864" s="2">
        <v>0</v>
      </c>
    </row>
    <row r="865" spans="1:10">
      <c r="A865" s="2" t="s">
        <v>138</v>
      </c>
      <c r="B865" s="2">
        <v>9</v>
      </c>
      <c r="C865" s="2">
        <v>19.752600000000001</v>
      </c>
      <c r="D865" s="60" t="s">
        <v>129</v>
      </c>
      <c r="E865" s="2" t="s">
        <v>139</v>
      </c>
    </row>
    <row r="866" spans="1:10">
      <c r="A866" s="2" t="s">
        <v>140</v>
      </c>
      <c r="B866" s="2">
        <v>0</v>
      </c>
      <c r="C866" s="2">
        <v>63.469900000000003</v>
      </c>
      <c r="D866" s="60">
        <v>26.784600000000001</v>
      </c>
    </row>
    <row r="867" spans="1:10">
      <c r="A867" s="2" t="s">
        <v>141</v>
      </c>
      <c r="B867" s="2">
        <v>0</v>
      </c>
      <c r="C867" s="2">
        <v>7.2</v>
      </c>
      <c r="D867" s="60" t="s">
        <v>142</v>
      </c>
    </row>
    <row r="868" spans="1:10">
      <c r="A868" s="2" t="s">
        <v>141</v>
      </c>
      <c r="B868" s="2">
        <v>0</v>
      </c>
      <c r="C868" s="2">
        <v>13.5</v>
      </c>
      <c r="D868" s="60" t="s">
        <v>146</v>
      </c>
    </row>
    <row r="869" spans="1:10">
      <c r="A869" s="2" t="s">
        <v>141</v>
      </c>
      <c r="B869" s="2">
        <v>7.2</v>
      </c>
      <c r="C869" s="2">
        <v>21.3</v>
      </c>
      <c r="D869" s="60" t="s">
        <v>145</v>
      </c>
    </row>
    <row r="870" spans="1:10">
      <c r="A870" s="2" t="s">
        <v>141</v>
      </c>
      <c r="B870" s="2">
        <v>13.5</v>
      </c>
      <c r="C870" s="2">
        <v>14.2</v>
      </c>
      <c r="D870" s="60" t="s">
        <v>159</v>
      </c>
    </row>
    <row r="871" spans="1:10">
      <c r="A871" s="2" t="s">
        <v>141</v>
      </c>
      <c r="B871" s="2">
        <v>14.2</v>
      </c>
      <c r="C871" s="2">
        <v>21.3</v>
      </c>
      <c r="D871" s="60" t="s">
        <v>146</v>
      </c>
    </row>
    <row r="872" spans="1:10">
      <c r="A872" s="2" t="s">
        <v>148</v>
      </c>
      <c r="B872" s="2" t="s">
        <v>99</v>
      </c>
      <c r="C872" s="2">
        <v>9.2253100000000005E-2</v>
      </c>
      <c r="D872" s="60">
        <v>0</v>
      </c>
      <c r="E872" s="2">
        <v>0</v>
      </c>
      <c r="F872" s="2">
        <v>0.3</v>
      </c>
      <c r="G872" s="2">
        <v>61.107500000000002</v>
      </c>
      <c r="H872" s="2">
        <v>64.151600000000002</v>
      </c>
      <c r="I872" s="2">
        <v>0</v>
      </c>
      <c r="J872" s="2">
        <v>0</v>
      </c>
    </row>
    <row r="873" spans="1:10">
      <c r="A873" s="2" t="s">
        <v>148</v>
      </c>
      <c r="B873" s="2" t="s">
        <v>100</v>
      </c>
      <c r="C873" s="2">
        <v>1.08267E-2</v>
      </c>
      <c r="D873" s="60">
        <v>0</v>
      </c>
      <c r="E873" s="2">
        <v>23.745100000000001</v>
      </c>
      <c r="F873" s="2">
        <v>3.0394999999999999</v>
      </c>
      <c r="G873" s="2">
        <v>0</v>
      </c>
      <c r="H873" s="2">
        <v>10.000400000000001</v>
      </c>
      <c r="I873" s="2">
        <v>0</v>
      </c>
      <c r="J873" s="2">
        <v>0</v>
      </c>
    </row>
    <row r="874" spans="1:10">
      <c r="A874" s="2" t="s">
        <v>148</v>
      </c>
      <c r="B874" s="2" t="s">
        <v>98</v>
      </c>
      <c r="C874" s="2">
        <v>0.41629500000000003</v>
      </c>
      <c r="D874" s="60">
        <v>0</v>
      </c>
      <c r="E874" s="2">
        <v>13.615399999999999</v>
      </c>
      <c r="F874" s="2">
        <v>10.1297</v>
      </c>
      <c r="G874" s="2">
        <v>10.000400000000001</v>
      </c>
      <c r="H874" s="2">
        <v>33.479399999999998</v>
      </c>
      <c r="I874" s="2">
        <v>0</v>
      </c>
      <c r="J874" s="2">
        <v>0</v>
      </c>
    </row>
    <row r="875" spans="1:10">
      <c r="A875" s="2" t="s">
        <v>148</v>
      </c>
      <c r="B875" s="2" t="s">
        <v>101</v>
      </c>
      <c r="C875" s="2">
        <v>1.0233000000000001E-2</v>
      </c>
      <c r="D875" s="60">
        <v>0</v>
      </c>
      <c r="E875" s="2">
        <v>13.5</v>
      </c>
      <c r="F875" s="2">
        <v>0.115401</v>
      </c>
      <c r="G875" s="2">
        <v>33.479399999999998</v>
      </c>
      <c r="H875" s="2">
        <v>33.722099999999998</v>
      </c>
      <c r="I875" s="2">
        <v>0</v>
      </c>
      <c r="J875" s="2">
        <v>0</v>
      </c>
    </row>
    <row r="876" spans="1:10">
      <c r="A876" s="2" t="s">
        <v>148</v>
      </c>
      <c r="B876" s="2" t="s">
        <v>59</v>
      </c>
      <c r="C876" s="2">
        <v>0.446606</v>
      </c>
      <c r="D876" s="60">
        <v>44.660600000000002</v>
      </c>
      <c r="E876" s="2">
        <v>9.5</v>
      </c>
      <c r="F876" s="2">
        <v>4</v>
      </c>
      <c r="G876" s="2">
        <v>33.722099999999998</v>
      </c>
      <c r="H876" s="2">
        <v>41.271999999999998</v>
      </c>
      <c r="I876" s="2">
        <v>0</v>
      </c>
      <c r="J876" s="2">
        <v>0</v>
      </c>
    </row>
    <row r="877" spans="1:10">
      <c r="A877" s="2" t="s">
        <v>148</v>
      </c>
      <c r="B877" s="2" t="s">
        <v>58</v>
      </c>
      <c r="C877" s="2">
        <v>0.61890999999999996</v>
      </c>
      <c r="D877" s="60">
        <v>64.985500000000002</v>
      </c>
      <c r="E877" s="2">
        <v>5.5</v>
      </c>
      <c r="F877" s="2">
        <v>4</v>
      </c>
      <c r="G877" s="2">
        <v>41.271999999999998</v>
      </c>
      <c r="H877" s="2">
        <v>47.210900000000002</v>
      </c>
      <c r="I877" s="2">
        <v>0</v>
      </c>
      <c r="J877" s="2">
        <v>0</v>
      </c>
    </row>
    <row r="878" spans="1:10">
      <c r="A878" s="2" t="s">
        <v>148</v>
      </c>
      <c r="B878" s="2" t="s">
        <v>55</v>
      </c>
      <c r="C878" s="2">
        <v>1.1002700000000001</v>
      </c>
      <c r="D878" s="60">
        <v>159.54</v>
      </c>
      <c r="E878" s="2">
        <v>0.3</v>
      </c>
      <c r="F878" s="2">
        <v>5.2</v>
      </c>
      <c r="G878" s="2">
        <v>47.210900000000002</v>
      </c>
      <c r="H878" s="2">
        <v>61.107500000000002</v>
      </c>
      <c r="I878" s="2">
        <v>0</v>
      </c>
      <c r="J878" s="2">
        <v>0</v>
      </c>
    </row>
    <row r="879" spans="1:10">
      <c r="A879" s="2" t="s">
        <v>138</v>
      </c>
      <c r="B879" s="2">
        <v>10</v>
      </c>
      <c r="C879" s="2">
        <v>19.289100000000001</v>
      </c>
      <c r="D879" s="60" t="s">
        <v>129</v>
      </c>
      <c r="E879" s="2" t="s">
        <v>149</v>
      </c>
    </row>
    <row r="880" spans="1:10">
      <c r="A880" s="2" t="s">
        <v>140</v>
      </c>
      <c r="B880" s="2">
        <v>0</v>
      </c>
      <c r="C880" s="2">
        <v>45.858199999999997</v>
      </c>
      <c r="D880" s="60">
        <v>25.658799999999999</v>
      </c>
    </row>
    <row r="881" spans="1:10">
      <c r="A881" s="2" t="s">
        <v>141</v>
      </c>
      <c r="B881" s="2">
        <v>0</v>
      </c>
      <c r="C881" s="2">
        <v>7</v>
      </c>
      <c r="D881" s="60" t="s">
        <v>142</v>
      </c>
    </row>
    <row r="882" spans="1:10">
      <c r="A882" s="2" t="s">
        <v>141</v>
      </c>
      <c r="B882" s="2">
        <v>0</v>
      </c>
      <c r="C882" s="2">
        <v>10.6</v>
      </c>
      <c r="D882" s="60" t="s">
        <v>146</v>
      </c>
    </row>
    <row r="883" spans="1:10">
      <c r="A883" s="2" t="s">
        <v>141</v>
      </c>
      <c r="B883" s="2">
        <v>7</v>
      </c>
      <c r="C883" s="2">
        <v>9.6</v>
      </c>
      <c r="D883" s="60" t="s">
        <v>144</v>
      </c>
    </row>
    <row r="884" spans="1:10">
      <c r="A884" s="2" t="s">
        <v>141</v>
      </c>
      <c r="B884" s="2">
        <v>9.6</v>
      </c>
      <c r="C884" s="2">
        <v>10.6</v>
      </c>
      <c r="D884" s="60" t="s">
        <v>145</v>
      </c>
    </row>
    <row r="885" spans="1:10">
      <c r="A885" s="2" t="s">
        <v>141</v>
      </c>
      <c r="B885" s="2">
        <v>10.6</v>
      </c>
      <c r="C885" s="2">
        <v>10.9</v>
      </c>
      <c r="D885" s="60" t="s">
        <v>153</v>
      </c>
    </row>
    <row r="886" spans="1:10">
      <c r="A886" s="2" t="s">
        <v>141</v>
      </c>
      <c r="B886" s="2">
        <v>10.6</v>
      </c>
      <c r="C886" s="2">
        <v>10.9</v>
      </c>
      <c r="D886" s="60" t="s">
        <v>154</v>
      </c>
    </row>
    <row r="887" spans="1:10">
      <c r="A887" s="2" t="s">
        <v>141</v>
      </c>
      <c r="B887" s="2">
        <v>10.6</v>
      </c>
      <c r="C887" s="2">
        <v>20.452999999999999</v>
      </c>
      <c r="D887" s="60" t="s">
        <v>144</v>
      </c>
    </row>
    <row r="888" spans="1:10">
      <c r="A888" s="2" t="s">
        <v>141</v>
      </c>
      <c r="B888" s="2">
        <v>10.6</v>
      </c>
      <c r="C888" s="2">
        <v>20.452999999999999</v>
      </c>
      <c r="D888" s="60" t="s">
        <v>152</v>
      </c>
    </row>
    <row r="889" spans="1:10">
      <c r="A889" s="2" t="s">
        <v>156</v>
      </c>
      <c r="B889" s="2">
        <v>10.6</v>
      </c>
      <c r="C889" s="2">
        <v>29.3979</v>
      </c>
    </row>
    <row r="890" spans="1:10">
      <c r="A890" s="2" t="s">
        <v>148</v>
      </c>
      <c r="B890" s="2" t="s">
        <v>99</v>
      </c>
      <c r="C890" s="2">
        <v>5.14142E-2</v>
      </c>
      <c r="D890" s="60">
        <v>0</v>
      </c>
      <c r="E890" s="2">
        <v>0</v>
      </c>
      <c r="F890" s="2">
        <v>0.3</v>
      </c>
      <c r="G890" s="2">
        <v>45.5777</v>
      </c>
      <c r="H890" s="2">
        <v>47.94</v>
      </c>
      <c r="I890" s="2">
        <v>0</v>
      </c>
      <c r="J890" s="2">
        <v>0</v>
      </c>
    </row>
    <row r="891" spans="1:10">
      <c r="A891" s="2" t="s">
        <v>148</v>
      </c>
      <c r="B891" s="2" t="s">
        <v>100</v>
      </c>
      <c r="C891" s="2">
        <v>2.11906E-2</v>
      </c>
      <c r="D891" s="60">
        <v>0</v>
      </c>
      <c r="E891" s="2">
        <v>18.661999999999999</v>
      </c>
      <c r="F891" s="2">
        <v>6.99681</v>
      </c>
      <c r="G891" s="2">
        <v>0</v>
      </c>
      <c r="H891" s="2">
        <v>10</v>
      </c>
      <c r="I891" s="2">
        <v>0</v>
      </c>
      <c r="J891" s="2">
        <v>0</v>
      </c>
    </row>
    <row r="892" spans="1:10">
      <c r="A892" s="2" t="s">
        <v>148</v>
      </c>
      <c r="B892" s="2" t="s">
        <v>101</v>
      </c>
      <c r="C892" s="2">
        <v>4.9078200000000005E-4</v>
      </c>
      <c r="D892" s="60">
        <v>0</v>
      </c>
      <c r="E892" s="2">
        <v>18.600000000000001</v>
      </c>
      <c r="F892" s="2">
        <v>6.2001800000000003E-2</v>
      </c>
      <c r="G892" s="2">
        <v>10</v>
      </c>
      <c r="H892" s="2">
        <v>10.0783</v>
      </c>
      <c r="I892" s="2">
        <v>0</v>
      </c>
      <c r="J892" s="2">
        <v>0</v>
      </c>
    </row>
    <row r="893" spans="1:10">
      <c r="A893" s="2" t="s">
        <v>148</v>
      </c>
      <c r="B893" s="2" t="s">
        <v>64</v>
      </c>
      <c r="C893" s="2">
        <v>4.3482100000000003E-2</v>
      </c>
      <c r="D893" s="60">
        <v>1.30446</v>
      </c>
      <c r="E893" s="2">
        <v>15</v>
      </c>
      <c r="F893" s="2">
        <v>3.6</v>
      </c>
      <c r="G893" s="2">
        <v>10.0783</v>
      </c>
      <c r="H893" s="2">
        <v>14.547700000000001</v>
      </c>
      <c r="I893" s="2">
        <v>0</v>
      </c>
      <c r="J893" s="2">
        <v>0</v>
      </c>
    </row>
    <row r="894" spans="1:10">
      <c r="A894" s="2" t="s">
        <v>148</v>
      </c>
      <c r="B894" s="2" t="s">
        <v>64</v>
      </c>
      <c r="C894" s="2">
        <v>9.2170699999999994E-2</v>
      </c>
      <c r="D894" s="60">
        <v>2.76512</v>
      </c>
      <c r="E894" s="2">
        <v>10.9</v>
      </c>
      <c r="F894" s="2">
        <v>4.0999999999999996</v>
      </c>
      <c r="G894" s="2">
        <v>14.547700000000001</v>
      </c>
      <c r="H894" s="2">
        <v>19.0426</v>
      </c>
      <c r="I894" s="2">
        <v>0</v>
      </c>
      <c r="J894" s="2">
        <v>0</v>
      </c>
    </row>
    <row r="895" spans="1:10">
      <c r="A895" s="2" t="s">
        <v>148</v>
      </c>
      <c r="B895" s="2" t="s">
        <v>101</v>
      </c>
      <c r="C895" s="2">
        <v>8.4188799999999994E-2</v>
      </c>
      <c r="D895" s="60">
        <v>0</v>
      </c>
      <c r="E895" s="2">
        <v>9.5</v>
      </c>
      <c r="F895" s="2">
        <v>1.4</v>
      </c>
      <c r="G895" s="2">
        <v>19.0426</v>
      </c>
      <c r="H895" s="2">
        <v>30.315000000000001</v>
      </c>
      <c r="I895" s="2">
        <v>0</v>
      </c>
      <c r="J895" s="2">
        <v>0</v>
      </c>
    </row>
    <row r="896" spans="1:10">
      <c r="A896" s="2" t="s">
        <v>148</v>
      </c>
      <c r="B896" s="2" t="s">
        <v>59</v>
      </c>
      <c r="C896" s="2">
        <v>0.33798400000000001</v>
      </c>
      <c r="D896" s="60">
        <v>33.798400000000001</v>
      </c>
      <c r="E896" s="2">
        <v>5.5</v>
      </c>
      <c r="F896" s="2">
        <v>4</v>
      </c>
      <c r="G896" s="2">
        <v>30.315000000000001</v>
      </c>
      <c r="H896" s="2">
        <v>35.036700000000003</v>
      </c>
      <c r="I896" s="2">
        <v>0</v>
      </c>
      <c r="J896" s="2">
        <v>0</v>
      </c>
    </row>
    <row r="897" spans="1:10">
      <c r="A897" s="2" t="s">
        <v>148</v>
      </c>
      <c r="B897" s="2" t="s">
        <v>56</v>
      </c>
      <c r="C897" s="2">
        <v>0.60899999999999999</v>
      </c>
      <c r="D897" s="60">
        <v>85.26</v>
      </c>
      <c r="E897" s="2">
        <v>0.3</v>
      </c>
      <c r="F897" s="2">
        <v>5.2</v>
      </c>
      <c r="G897" s="2">
        <v>35.036700000000003</v>
      </c>
      <c r="H897" s="2">
        <v>45.5777</v>
      </c>
      <c r="I897" s="2">
        <v>0</v>
      </c>
      <c r="J897" s="2">
        <v>0</v>
      </c>
    </row>
    <row r="898" spans="1:10">
      <c r="A898" s="2" t="s">
        <v>140</v>
      </c>
      <c r="B898" s="2">
        <v>1</v>
      </c>
      <c r="C898" s="2">
        <v>27.7883</v>
      </c>
      <c r="D898" s="60">
        <v>25.658799999999999</v>
      </c>
      <c r="E898" s="2">
        <v>10.6</v>
      </c>
    </row>
    <row r="899" spans="1:10">
      <c r="A899" s="2" t="s">
        <v>141</v>
      </c>
      <c r="B899" s="2">
        <v>10.6</v>
      </c>
      <c r="C899" s="2">
        <v>10.9</v>
      </c>
      <c r="D899" s="60" t="s">
        <v>153</v>
      </c>
    </row>
    <row r="900" spans="1:10">
      <c r="A900" s="2" t="s">
        <v>141</v>
      </c>
      <c r="B900" s="2">
        <v>10.6</v>
      </c>
      <c r="C900" s="2">
        <v>13</v>
      </c>
      <c r="D900" s="60" t="s">
        <v>161</v>
      </c>
    </row>
    <row r="901" spans="1:10">
      <c r="A901" s="2" t="s">
        <v>141</v>
      </c>
      <c r="B901" s="2">
        <v>10.6</v>
      </c>
      <c r="C901" s="2">
        <v>20.452999999999999</v>
      </c>
      <c r="D901" s="60" t="s">
        <v>144</v>
      </c>
    </row>
    <row r="902" spans="1:10">
      <c r="A902" s="2" t="s">
        <v>141</v>
      </c>
      <c r="B902" s="2">
        <v>13</v>
      </c>
      <c r="C902" s="2">
        <v>20.452999999999999</v>
      </c>
      <c r="D902" s="60" t="s">
        <v>152</v>
      </c>
    </row>
    <row r="903" spans="1:10">
      <c r="A903" s="2" t="s">
        <v>148</v>
      </c>
      <c r="B903" s="2" t="s">
        <v>100</v>
      </c>
      <c r="C903" s="2">
        <v>2.22188E-2</v>
      </c>
      <c r="D903" s="60">
        <v>0</v>
      </c>
      <c r="E903" s="2">
        <v>18.252500000000001</v>
      </c>
      <c r="F903" s="2">
        <v>7.4062999999999999</v>
      </c>
      <c r="G903" s="2">
        <v>0</v>
      </c>
      <c r="H903" s="2">
        <v>10</v>
      </c>
      <c r="I903" s="2">
        <v>0</v>
      </c>
      <c r="J903" s="2">
        <v>0</v>
      </c>
    </row>
    <row r="904" spans="1:10">
      <c r="A904" s="2" t="s">
        <v>148</v>
      </c>
      <c r="B904" s="2" t="s">
        <v>98</v>
      </c>
      <c r="C904" s="2">
        <v>7.7195E-2</v>
      </c>
      <c r="D904" s="60">
        <v>0</v>
      </c>
      <c r="E904" s="2">
        <v>12.738200000000001</v>
      </c>
      <c r="F904" s="2">
        <v>5.5142699999999998</v>
      </c>
      <c r="G904" s="2">
        <v>10</v>
      </c>
      <c r="H904" s="2">
        <v>16.294599999999999</v>
      </c>
      <c r="I904" s="2">
        <v>0</v>
      </c>
      <c r="J904" s="2">
        <v>0</v>
      </c>
    </row>
    <row r="905" spans="1:10">
      <c r="A905" s="2" t="s">
        <v>148</v>
      </c>
      <c r="B905" s="2" t="s">
        <v>101</v>
      </c>
      <c r="C905" s="2">
        <v>5.06746E-2</v>
      </c>
      <c r="D905" s="60">
        <v>0</v>
      </c>
      <c r="E905" s="2">
        <v>10.6</v>
      </c>
      <c r="F905" s="2">
        <v>2.1382400000000001</v>
      </c>
      <c r="G905" s="2">
        <v>16.294599999999999</v>
      </c>
      <c r="H905" s="2">
        <v>18.3841</v>
      </c>
      <c r="I905" s="2">
        <v>0</v>
      </c>
      <c r="J905" s="2">
        <v>0</v>
      </c>
    </row>
    <row r="906" spans="1:10">
      <c r="A906" s="2" t="s">
        <v>138</v>
      </c>
      <c r="B906" s="2">
        <v>11</v>
      </c>
      <c r="C906" s="2">
        <v>19.3033</v>
      </c>
      <c r="D906" s="60" t="s">
        <v>129</v>
      </c>
      <c r="E906" s="2" t="s">
        <v>149</v>
      </c>
    </row>
    <row r="907" spans="1:10">
      <c r="A907" s="2" t="s">
        <v>140</v>
      </c>
      <c r="B907" s="2">
        <v>0</v>
      </c>
      <c r="C907" s="2">
        <v>46.148499999999999</v>
      </c>
      <c r="D907" s="60">
        <v>25.686699999999998</v>
      </c>
    </row>
    <row r="908" spans="1:10">
      <c r="A908" s="2" t="s">
        <v>141</v>
      </c>
      <c r="B908" s="2">
        <v>0</v>
      </c>
      <c r="C908" s="2">
        <v>6.7</v>
      </c>
      <c r="D908" s="60" t="s">
        <v>142</v>
      </c>
    </row>
    <row r="909" spans="1:10">
      <c r="A909" s="2" t="s">
        <v>141</v>
      </c>
      <c r="B909" s="2">
        <v>0</v>
      </c>
      <c r="C909" s="2">
        <v>6.7</v>
      </c>
      <c r="D909" s="60" t="s">
        <v>158</v>
      </c>
    </row>
    <row r="910" spans="1:10">
      <c r="A910" s="2" t="s">
        <v>141</v>
      </c>
      <c r="B910" s="2">
        <v>0</v>
      </c>
      <c r="C910" s="2">
        <v>12.7</v>
      </c>
      <c r="D910" s="60" t="s">
        <v>146</v>
      </c>
    </row>
    <row r="911" spans="1:10">
      <c r="A911" s="2" t="s">
        <v>141</v>
      </c>
      <c r="B911" s="2">
        <v>6.7</v>
      </c>
      <c r="C911" s="2">
        <v>7.4</v>
      </c>
      <c r="D911" s="60" t="s">
        <v>178</v>
      </c>
    </row>
    <row r="912" spans="1:10">
      <c r="A912" s="2" t="s">
        <v>141</v>
      </c>
      <c r="B912" s="2">
        <v>6.7</v>
      </c>
      <c r="C912" s="2">
        <v>10.9</v>
      </c>
      <c r="D912" s="60" t="s">
        <v>144</v>
      </c>
    </row>
    <row r="913" spans="1:10">
      <c r="A913" s="2" t="s">
        <v>141</v>
      </c>
      <c r="B913" s="2">
        <v>10.9</v>
      </c>
      <c r="C913" s="2">
        <v>20.474</v>
      </c>
      <c r="D913" s="60" t="s">
        <v>145</v>
      </c>
    </row>
    <row r="914" spans="1:10">
      <c r="A914" s="2" t="s">
        <v>141</v>
      </c>
      <c r="B914" s="2">
        <v>12.7</v>
      </c>
      <c r="C914" s="2">
        <v>20.474</v>
      </c>
      <c r="D914" s="60" t="s">
        <v>152</v>
      </c>
    </row>
    <row r="915" spans="1:10">
      <c r="A915" s="2" t="s">
        <v>148</v>
      </c>
      <c r="B915" s="2" t="s">
        <v>99</v>
      </c>
      <c r="C915" s="2">
        <v>5.2002E-2</v>
      </c>
      <c r="D915" s="60">
        <v>0</v>
      </c>
      <c r="E915" s="2">
        <v>0</v>
      </c>
      <c r="F915" s="2">
        <v>0.3</v>
      </c>
      <c r="G915" s="2">
        <v>45.8386</v>
      </c>
      <c r="H915" s="2">
        <v>48.212000000000003</v>
      </c>
      <c r="I915" s="2">
        <v>0</v>
      </c>
      <c r="J915" s="2">
        <v>0</v>
      </c>
    </row>
    <row r="916" spans="1:10">
      <c r="A916" s="2" t="s">
        <v>148</v>
      </c>
      <c r="B916" s="2" t="s">
        <v>100</v>
      </c>
      <c r="C916" s="2">
        <v>1.4379899999999999E-2</v>
      </c>
      <c r="D916" s="60">
        <v>0</v>
      </c>
      <c r="E916" s="2">
        <v>21.365300000000001</v>
      </c>
      <c r="F916" s="2">
        <v>4.3214100000000002</v>
      </c>
      <c r="G916" s="2">
        <v>0</v>
      </c>
      <c r="H916" s="2">
        <v>10</v>
      </c>
      <c r="I916" s="2">
        <v>0</v>
      </c>
      <c r="J916" s="2">
        <v>0</v>
      </c>
    </row>
    <row r="917" spans="1:10">
      <c r="A917" s="2" t="s">
        <v>148</v>
      </c>
      <c r="B917" s="2" t="s">
        <v>98</v>
      </c>
      <c r="C917" s="2">
        <v>0.11483</v>
      </c>
      <c r="D917" s="60">
        <v>0</v>
      </c>
      <c r="E917" s="2">
        <v>15.492699999999999</v>
      </c>
      <c r="F917" s="2">
        <v>5.8726599999999998</v>
      </c>
      <c r="G917" s="2">
        <v>10</v>
      </c>
      <c r="H917" s="2">
        <v>20.926400000000001</v>
      </c>
      <c r="I917" s="2">
        <v>0</v>
      </c>
      <c r="J917" s="2">
        <v>0</v>
      </c>
    </row>
    <row r="918" spans="1:10">
      <c r="A918" s="2" t="s">
        <v>148</v>
      </c>
      <c r="B918" s="2" t="s">
        <v>101</v>
      </c>
      <c r="C918" s="2">
        <v>3.21229E-3</v>
      </c>
      <c r="D918" s="60">
        <v>0</v>
      </c>
      <c r="E918" s="2">
        <v>15.4</v>
      </c>
      <c r="F918" s="2">
        <v>9.2651899999999995E-2</v>
      </c>
      <c r="G918" s="2">
        <v>20.926400000000001</v>
      </c>
      <c r="H918" s="2">
        <v>21.094200000000001</v>
      </c>
      <c r="I918" s="2">
        <v>0</v>
      </c>
      <c r="J918" s="2">
        <v>0</v>
      </c>
    </row>
    <row r="919" spans="1:10">
      <c r="A919" s="2" t="s">
        <v>148</v>
      </c>
      <c r="B919" s="2" t="s">
        <v>64</v>
      </c>
      <c r="C919" s="2">
        <v>0.184334</v>
      </c>
      <c r="D919" s="60">
        <v>5.5300200000000004</v>
      </c>
      <c r="E919" s="2">
        <v>11.5</v>
      </c>
      <c r="F919" s="2">
        <v>3.9</v>
      </c>
      <c r="G919" s="2">
        <v>21.094200000000001</v>
      </c>
      <c r="H919" s="2">
        <v>27.635000000000002</v>
      </c>
      <c r="I919" s="2">
        <v>0</v>
      </c>
      <c r="J919" s="2">
        <v>0</v>
      </c>
    </row>
    <row r="920" spans="1:10">
      <c r="A920" s="2" t="s">
        <v>148</v>
      </c>
      <c r="B920" s="2" t="s">
        <v>62</v>
      </c>
      <c r="C920" s="2">
        <v>0.47513499999999997</v>
      </c>
      <c r="D920" s="60">
        <v>38.010800000000003</v>
      </c>
      <c r="E920" s="2">
        <v>5.5</v>
      </c>
      <c r="F920" s="2">
        <v>6</v>
      </c>
      <c r="G920" s="2">
        <v>27.635000000000002</v>
      </c>
      <c r="H920" s="2">
        <v>35.241799999999998</v>
      </c>
      <c r="I920" s="2">
        <v>0</v>
      </c>
      <c r="J920" s="2">
        <v>0</v>
      </c>
    </row>
    <row r="921" spans="1:10">
      <c r="A921" s="2" t="s">
        <v>148</v>
      </c>
      <c r="B921" s="2" t="s">
        <v>56</v>
      </c>
      <c r="C921" s="2">
        <v>0.61607000000000001</v>
      </c>
      <c r="D921" s="60">
        <v>86.249799999999993</v>
      </c>
      <c r="E921" s="2">
        <v>0.3</v>
      </c>
      <c r="F921" s="2">
        <v>5.2</v>
      </c>
      <c r="G921" s="2">
        <v>35.241799999999998</v>
      </c>
      <c r="H921" s="2">
        <v>45.8386</v>
      </c>
      <c r="I921" s="2">
        <v>0</v>
      </c>
      <c r="J921" s="2">
        <v>0</v>
      </c>
    </row>
    <row r="922" spans="1:10">
      <c r="A922" s="2" t="s">
        <v>138</v>
      </c>
      <c r="B922" s="2">
        <v>12</v>
      </c>
      <c r="C922" s="2">
        <v>19.310300000000002</v>
      </c>
      <c r="D922" s="60" t="s">
        <v>129</v>
      </c>
      <c r="E922" s="2" t="s">
        <v>175</v>
      </c>
    </row>
    <row r="923" spans="1:10">
      <c r="A923" s="2" t="s">
        <v>140</v>
      </c>
      <c r="B923" s="2">
        <v>0</v>
      </c>
      <c r="C923" s="2">
        <v>46.293500000000002</v>
      </c>
      <c r="D923" s="60">
        <v>25.700700000000001</v>
      </c>
      <c r="E923" s="2">
        <v>0</v>
      </c>
      <c r="F923" s="2">
        <v>17</v>
      </c>
    </row>
    <row r="924" spans="1:10">
      <c r="A924" s="2" t="s">
        <v>141</v>
      </c>
      <c r="B924" s="2">
        <v>0</v>
      </c>
      <c r="C924" s="2">
        <v>7.2</v>
      </c>
      <c r="D924" s="60" t="s">
        <v>142</v>
      </c>
    </row>
    <row r="925" spans="1:10">
      <c r="A925" s="2" t="s">
        <v>141</v>
      </c>
      <c r="B925" s="2">
        <v>0</v>
      </c>
      <c r="C925" s="2">
        <v>20.484500000000001</v>
      </c>
      <c r="D925" s="60" t="s">
        <v>146</v>
      </c>
    </row>
    <row r="926" spans="1:10">
      <c r="A926" s="2" t="s">
        <v>141</v>
      </c>
      <c r="B926" s="2">
        <v>7.2</v>
      </c>
      <c r="C926" s="2">
        <v>9.1999999999999993</v>
      </c>
      <c r="D926" s="60" t="s">
        <v>145</v>
      </c>
    </row>
    <row r="927" spans="1:10">
      <c r="A927" s="2" t="s">
        <v>141</v>
      </c>
      <c r="B927" s="2">
        <v>9.1999999999999993</v>
      </c>
      <c r="C927" s="2">
        <v>14.9</v>
      </c>
      <c r="D927" s="60" t="s">
        <v>147</v>
      </c>
    </row>
    <row r="928" spans="1:10">
      <c r="A928" s="2" t="s">
        <v>141</v>
      </c>
      <c r="B928" s="2">
        <v>14.9</v>
      </c>
      <c r="C928" s="2">
        <v>16</v>
      </c>
      <c r="D928" s="60" t="s">
        <v>145</v>
      </c>
    </row>
    <row r="929" spans="1:10">
      <c r="A929" s="2" t="s">
        <v>141</v>
      </c>
      <c r="B929" s="2">
        <v>16</v>
      </c>
      <c r="C929" s="2">
        <v>20.484500000000001</v>
      </c>
      <c r="D929" s="60" t="s">
        <v>147</v>
      </c>
    </row>
    <row r="930" spans="1:10">
      <c r="A930" s="2" t="s">
        <v>148</v>
      </c>
      <c r="B930" s="2" t="s">
        <v>99</v>
      </c>
      <c r="C930" s="2">
        <v>5.2296700000000002E-2</v>
      </c>
      <c r="D930" s="60">
        <v>0</v>
      </c>
      <c r="E930" s="2">
        <v>0</v>
      </c>
      <c r="F930" s="2">
        <v>0.3</v>
      </c>
      <c r="G930" s="2">
        <v>45.968800000000002</v>
      </c>
      <c r="H930" s="2">
        <v>48.347799999999999</v>
      </c>
      <c r="I930" s="2">
        <v>0</v>
      </c>
      <c r="J930" s="2">
        <v>0</v>
      </c>
    </row>
    <row r="931" spans="1:10">
      <c r="A931" s="2" t="s">
        <v>148</v>
      </c>
      <c r="B931" s="2" t="s">
        <v>98</v>
      </c>
      <c r="C931" s="2">
        <v>2.76262E-2</v>
      </c>
      <c r="D931" s="60">
        <v>0</v>
      </c>
      <c r="E931" s="2">
        <v>16.037600000000001</v>
      </c>
      <c r="F931" s="2">
        <v>0.96240199999999998</v>
      </c>
      <c r="G931" s="2">
        <v>18.212900000000001</v>
      </c>
      <c r="H931" s="2">
        <v>20.003299999999999</v>
      </c>
      <c r="I931" s="2">
        <v>0</v>
      </c>
      <c r="J931" s="2">
        <v>0</v>
      </c>
    </row>
    <row r="932" spans="1:10">
      <c r="A932" s="2" t="s">
        <v>148</v>
      </c>
      <c r="B932" s="2" t="s">
        <v>101</v>
      </c>
      <c r="C932" s="2">
        <v>1.7741400000000001E-2</v>
      </c>
      <c r="D932" s="60">
        <v>0</v>
      </c>
      <c r="E932" s="2">
        <v>15.5</v>
      </c>
      <c r="F932" s="2">
        <v>0.53759800000000002</v>
      </c>
      <c r="G932" s="2">
        <v>20.003299999999999</v>
      </c>
      <c r="H932" s="2">
        <v>20.987300000000001</v>
      </c>
      <c r="I932" s="2">
        <v>0</v>
      </c>
      <c r="J932" s="2">
        <v>0</v>
      </c>
    </row>
    <row r="933" spans="1:10">
      <c r="A933" s="2" t="s">
        <v>148</v>
      </c>
      <c r="B933" s="2" t="s">
        <v>63</v>
      </c>
      <c r="C933" s="2">
        <v>0.32297700000000001</v>
      </c>
      <c r="D933" s="60">
        <v>22.6084</v>
      </c>
      <c r="E933" s="2">
        <v>9.5</v>
      </c>
      <c r="F933" s="2">
        <v>6</v>
      </c>
      <c r="G933" s="2">
        <v>20.987300000000001</v>
      </c>
      <c r="H933" s="2">
        <v>30.593699999999998</v>
      </c>
      <c r="I933" s="2">
        <v>0</v>
      </c>
      <c r="J933" s="2">
        <v>0</v>
      </c>
    </row>
    <row r="934" spans="1:10">
      <c r="A934" s="2" t="s">
        <v>148</v>
      </c>
      <c r="B934" s="2" t="s">
        <v>59</v>
      </c>
      <c r="C934" s="2">
        <v>0.34405999999999998</v>
      </c>
      <c r="D934" s="60">
        <v>34.405999999999999</v>
      </c>
      <c r="E934" s="2">
        <v>5.5</v>
      </c>
      <c r="F934" s="2">
        <v>4</v>
      </c>
      <c r="G934" s="2">
        <v>30.593699999999998</v>
      </c>
      <c r="H934" s="2">
        <v>35.344299999999997</v>
      </c>
      <c r="I934" s="2">
        <v>0</v>
      </c>
      <c r="J934" s="2">
        <v>0</v>
      </c>
    </row>
    <row r="935" spans="1:10">
      <c r="A935" s="2" t="s">
        <v>148</v>
      </c>
      <c r="B935" s="2" t="s">
        <v>56</v>
      </c>
      <c r="C935" s="2">
        <v>0.61961500000000003</v>
      </c>
      <c r="D935" s="60">
        <v>86.746200000000002</v>
      </c>
      <c r="E935" s="2">
        <v>0.3</v>
      </c>
      <c r="F935" s="2">
        <v>5.2</v>
      </c>
      <c r="G935" s="2">
        <v>35.344299999999997</v>
      </c>
      <c r="H935" s="2">
        <v>45.968800000000002</v>
      </c>
      <c r="I935" s="2">
        <v>0</v>
      </c>
      <c r="J935" s="2">
        <v>0</v>
      </c>
    </row>
    <row r="936" spans="1:10">
      <c r="A936" s="2" t="s">
        <v>138</v>
      </c>
      <c r="B936" s="2">
        <v>13</v>
      </c>
      <c r="C936" s="2">
        <v>19.3355</v>
      </c>
      <c r="D936" s="60" t="s">
        <v>129</v>
      </c>
      <c r="E936" s="2" t="s">
        <v>139</v>
      </c>
    </row>
    <row r="937" spans="1:10">
      <c r="A937" s="2" t="s">
        <v>140</v>
      </c>
      <c r="B937" s="2">
        <v>0</v>
      </c>
      <c r="C937" s="2">
        <v>44.984900000000003</v>
      </c>
      <c r="D937" s="60">
        <v>27.7149</v>
      </c>
    </row>
    <row r="938" spans="1:10">
      <c r="A938" s="2" t="s">
        <v>141</v>
      </c>
      <c r="B938" s="2">
        <v>0</v>
      </c>
      <c r="C938" s="2">
        <v>7.3</v>
      </c>
      <c r="D938" s="60" t="s">
        <v>142</v>
      </c>
    </row>
    <row r="939" spans="1:10">
      <c r="A939" s="2" t="s">
        <v>141</v>
      </c>
      <c r="B939" s="2">
        <v>0</v>
      </c>
      <c r="C939" s="2">
        <v>21</v>
      </c>
      <c r="D939" s="60" t="s">
        <v>146</v>
      </c>
    </row>
    <row r="940" spans="1:10">
      <c r="A940" s="2" t="s">
        <v>141</v>
      </c>
      <c r="B940" s="2">
        <v>7.3</v>
      </c>
      <c r="C940" s="2">
        <v>9</v>
      </c>
      <c r="D940" s="60" t="s">
        <v>144</v>
      </c>
    </row>
    <row r="941" spans="1:10">
      <c r="A941" s="2" t="s">
        <v>141</v>
      </c>
      <c r="B941" s="2">
        <v>9</v>
      </c>
      <c r="C941" s="2">
        <v>12.8</v>
      </c>
      <c r="D941" s="60" t="s">
        <v>145</v>
      </c>
    </row>
    <row r="942" spans="1:10">
      <c r="A942" s="2" t="s">
        <v>141</v>
      </c>
      <c r="B942" s="2">
        <v>12.8</v>
      </c>
      <c r="C942" s="2">
        <v>16.399999999999999</v>
      </c>
      <c r="D942" s="60" t="s">
        <v>147</v>
      </c>
    </row>
    <row r="943" spans="1:10">
      <c r="A943" s="2" t="s">
        <v>141</v>
      </c>
      <c r="B943" s="2">
        <v>16.399999999999999</v>
      </c>
      <c r="C943" s="2">
        <v>22</v>
      </c>
      <c r="D943" s="60" t="s">
        <v>145</v>
      </c>
    </row>
    <row r="944" spans="1:10">
      <c r="A944" s="2" t="s">
        <v>141</v>
      </c>
      <c r="B944" s="2">
        <v>21</v>
      </c>
      <c r="C944" s="2">
        <v>22</v>
      </c>
      <c r="D944" s="60" t="s">
        <v>161</v>
      </c>
    </row>
    <row r="945" spans="1:10">
      <c r="A945" s="2" t="s">
        <v>148</v>
      </c>
      <c r="B945" s="2" t="s">
        <v>99</v>
      </c>
      <c r="C945" s="2">
        <v>4.9910700000000002E-2</v>
      </c>
      <c r="D945" s="60">
        <v>0</v>
      </c>
      <c r="E945" s="2">
        <v>0</v>
      </c>
      <c r="F945" s="2">
        <v>0.3</v>
      </c>
      <c r="G945" s="2">
        <v>44.978499999999997</v>
      </c>
      <c r="H945" s="2">
        <v>47.149299999999997</v>
      </c>
      <c r="I945" s="2">
        <v>0</v>
      </c>
      <c r="J945" s="2">
        <v>0</v>
      </c>
    </row>
    <row r="946" spans="1:10">
      <c r="A946" s="2" t="s">
        <v>148</v>
      </c>
      <c r="B946" s="2" t="s">
        <v>100</v>
      </c>
      <c r="C946" s="2">
        <v>1.5875199999999999E-2</v>
      </c>
      <c r="D946" s="60">
        <v>0</v>
      </c>
      <c r="E946" s="2">
        <v>22.917400000000001</v>
      </c>
      <c r="F946" s="2">
        <v>4.7975199999999996</v>
      </c>
      <c r="G946" s="2">
        <v>0</v>
      </c>
      <c r="H946" s="2">
        <v>10</v>
      </c>
      <c r="I946" s="2">
        <v>0</v>
      </c>
      <c r="J946" s="2">
        <v>0</v>
      </c>
    </row>
    <row r="947" spans="1:10">
      <c r="A947" s="2" t="s">
        <v>148</v>
      </c>
      <c r="B947" s="2" t="s">
        <v>98</v>
      </c>
      <c r="C947" s="2">
        <v>0.20324999999999999</v>
      </c>
      <c r="D947" s="60">
        <v>0</v>
      </c>
      <c r="E947" s="2">
        <v>14.5116</v>
      </c>
      <c r="F947" s="2">
        <v>8.4058100000000007</v>
      </c>
      <c r="G947" s="2">
        <v>10</v>
      </c>
      <c r="H947" s="2">
        <v>23.9663</v>
      </c>
      <c r="I947" s="2">
        <v>0</v>
      </c>
      <c r="J947" s="2">
        <v>0</v>
      </c>
    </row>
    <row r="948" spans="1:10">
      <c r="A948" s="2" t="s">
        <v>148</v>
      </c>
      <c r="B948" s="2" t="s">
        <v>101</v>
      </c>
      <c r="C948" s="2">
        <v>9.6749999999999996E-3</v>
      </c>
      <c r="D948" s="60">
        <v>0</v>
      </c>
      <c r="E948" s="2">
        <v>14.3</v>
      </c>
      <c r="F948" s="2">
        <v>0.21161099999999999</v>
      </c>
      <c r="G948" s="2">
        <v>23.9663</v>
      </c>
      <c r="H948" s="2">
        <v>24.287700000000001</v>
      </c>
      <c r="I948" s="2">
        <v>0</v>
      </c>
      <c r="J948" s="2">
        <v>0</v>
      </c>
    </row>
    <row r="949" spans="1:10">
      <c r="A949" s="2" t="s">
        <v>148</v>
      </c>
      <c r="B949" s="2" t="s">
        <v>63</v>
      </c>
      <c r="C949" s="2">
        <v>0.382384</v>
      </c>
      <c r="D949" s="60">
        <v>26.7669</v>
      </c>
      <c r="E949" s="2">
        <v>8.3000000000000007</v>
      </c>
      <c r="F949" s="2">
        <v>6</v>
      </c>
      <c r="G949" s="2">
        <v>24.287700000000001</v>
      </c>
      <c r="H949" s="2">
        <v>32.065600000000003</v>
      </c>
      <c r="I949" s="2">
        <v>0</v>
      </c>
      <c r="J949" s="2">
        <v>0</v>
      </c>
    </row>
    <row r="950" spans="1:10">
      <c r="A950" s="2" t="s">
        <v>148</v>
      </c>
      <c r="B950" s="2" t="s">
        <v>59</v>
      </c>
      <c r="C950" s="2">
        <v>0.36546899999999999</v>
      </c>
      <c r="D950" s="60">
        <v>36.546900000000001</v>
      </c>
      <c r="E950" s="2">
        <v>4.3</v>
      </c>
      <c r="F950" s="2">
        <v>4</v>
      </c>
      <c r="G950" s="2">
        <v>32.065600000000003</v>
      </c>
      <c r="H950" s="2">
        <v>36.031100000000002</v>
      </c>
      <c r="I950" s="2">
        <v>0</v>
      </c>
      <c r="J950" s="2">
        <v>0</v>
      </c>
    </row>
    <row r="951" spans="1:10">
      <c r="A951" s="2" t="s">
        <v>148</v>
      </c>
      <c r="B951" s="2" t="s">
        <v>56</v>
      </c>
      <c r="C951" s="2">
        <v>0.48000300000000001</v>
      </c>
      <c r="D951" s="60">
        <v>67.200500000000005</v>
      </c>
      <c r="E951" s="2">
        <v>0.3</v>
      </c>
      <c r="F951" s="2">
        <v>4</v>
      </c>
      <c r="G951" s="2">
        <v>36.031100000000002</v>
      </c>
      <c r="H951" s="2">
        <v>44.978499999999997</v>
      </c>
      <c r="I951" s="2">
        <v>0</v>
      </c>
      <c r="J951" s="2">
        <v>0</v>
      </c>
    </row>
    <row r="952" spans="1:10">
      <c r="A952" s="2" t="s">
        <v>138</v>
      </c>
      <c r="B952" s="2">
        <v>14</v>
      </c>
      <c r="C952" s="2">
        <v>19.616700000000002</v>
      </c>
      <c r="D952" s="60" t="s">
        <v>129</v>
      </c>
      <c r="E952" s="2" t="s">
        <v>175</v>
      </c>
    </row>
    <row r="953" spans="1:10">
      <c r="A953" s="2" t="s">
        <v>140</v>
      </c>
      <c r="B953" s="2">
        <v>0</v>
      </c>
      <c r="C953" s="2">
        <v>55.410299999999999</v>
      </c>
      <c r="D953" s="60">
        <v>26.484500000000001</v>
      </c>
      <c r="E953" s="2">
        <v>0</v>
      </c>
      <c r="F953" s="2">
        <v>15.3</v>
      </c>
    </row>
    <row r="954" spans="1:10">
      <c r="A954" s="2" t="s">
        <v>141</v>
      </c>
      <c r="B954" s="2">
        <v>0</v>
      </c>
      <c r="C954" s="2">
        <v>6.8</v>
      </c>
      <c r="D954" s="60" t="s">
        <v>142</v>
      </c>
    </row>
    <row r="955" spans="1:10">
      <c r="A955" s="2" t="s">
        <v>141</v>
      </c>
      <c r="B955" s="2">
        <v>0</v>
      </c>
      <c r="C955" s="2">
        <v>21.074200000000001</v>
      </c>
      <c r="D955" s="60" t="s">
        <v>146</v>
      </c>
    </row>
    <row r="956" spans="1:10">
      <c r="A956" s="2" t="s">
        <v>141</v>
      </c>
      <c r="B956" s="2">
        <v>6.8</v>
      </c>
      <c r="C956" s="2">
        <v>12.7</v>
      </c>
      <c r="D956" s="60" t="s">
        <v>145</v>
      </c>
    </row>
    <row r="957" spans="1:10">
      <c r="A957" s="2" t="s">
        <v>141</v>
      </c>
      <c r="B957" s="2">
        <v>12.7</v>
      </c>
      <c r="C957" s="2">
        <v>15</v>
      </c>
      <c r="D957" s="60" t="s">
        <v>147</v>
      </c>
    </row>
    <row r="958" spans="1:10">
      <c r="A958" s="2" t="s">
        <v>141</v>
      </c>
      <c r="B958" s="2">
        <v>15</v>
      </c>
      <c r="C958" s="2">
        <v>21.074200000000001</v>
      </c>
      <c r="D958" s="60" t="s">
        <v>151</v>
      </c>
    </row>
    <row r="959" spans="1:10">
      <c r="A959" s="2" t="s">
        <v>148</v>
      </c>
      <c r="B959" s="2" t="s">
        <v>99</v>
      </c>
      <c r="C959" s="2">
        <v>7.2288699999999997E-2</v>
      </c>
      <c r="D959" s="60">
        <v>0</v>
      </c>
      <c r="E959" s="2">
        <v>0</v>
      </c>
      <c r="F959" s="2">
        <v>0.3</v>
      </c>
      <c r="G959" s="2">
        <v>54.080100000000002</v>
      </c>
      <c r="H959" s="2">
        <v>56.802300000000002</v>
      </c>
      <c r="I959" s="2">
        <v>0</v>
      </c>
      <c r="J959" s="2">
        <v>0</v>
      </c>
    </row>
    <row r="960" spans="1:10">
      <c r="A960" s="2" t="s">
        <v>148</v>
      </c>
      <c r="B960" s="2" t="s">
        <v>101</v>
      </c>
      <c r="C960" s="2">
        <v>5.1328899999999997E-2</v>
      </c>
      <c r="D960" s="60">
        <v>0</v>
      </c>
      <c r="E960" s="2">
        <v>14.4</v>
      </c>
      <c r="F960" s="2">
        <v>0.9</v>
      </c>
      <c r="G960" s="2">
        <v>26.037700000000001</v>
      </c>
      <c r="H960" s="2">
        <v>27.8371</v>
      </c>
      <c r="I960" s="2">
        <v>0</v>
      </c>
      <c r="J960" s="2">
        <v>0</v>
      </c>
    </row>
    <row r="961" spans="1:10">
      <c r="A961" s="2" t="s">
        <v>148</v>
      </c>
      <c r="B961" s="2" t="s">
        <v>62</v>
      </c>
      <c r="C961" s="2">
        <v>0.31381300000000001</v>
      </c>
      <c r="D961" s="60">
        <v>25.105</v>
      </c>
      <c r="E961" s="2">
        <v>10.4</v>
      </c>
      <c r="F961" s="2">
        <v>4</v>
      </c>
      <c r="G961" s="2">
        <v>27.8371</v>
      </c>
      <c r="H961" s="2">
        <v>34.988700000000001</v>
      </c>
      <c r="I961" s="2">
        <v>0</v>
      </c>
      <c r="J961" s="2">
        <v>0</v>
      </c>
    </row>
    <row r="962" spans="1:10">
      <c r="A962" s="2" t="s">
        <v>148</v>
      </c>
      <c r="B962" s="2" t="s">
        <v>59</v>
      </c>
      <c r="C962" s="2">
        <v>0.45265699999999998</v>
      </c>
      <c r="D962" s="60">
        <v>45.265700000000002</v>
      </c>
      <c r="E962" s="2">
        <v>6.4</v>
      </c>
      <c r="F962" s="2">
        <v>4</v>
      </c>
      <c r="G962" s="2">
        <v>34.988700000000001</v>
      </c>
      <c r="H962" s="2">
        <v>40.624299999999998</v>
      </c>
      <c r="I962" s="2">
        <v>0</v>
      </c>
      <c r="J962" s="2">
        <v>0</v>
      </c>
    </row>
    <row r="963" spans="1:10">
      <c r="A963" s="2" t="s">
        <v>148</v>
      </c>
      <c r="B963" s="2" t="s">
        <v>55</v>
      </c>
      <c r="C963" s="2">
        <v>0.98049200000000003</v>
      </c>
      <c r="D963" s="60">
        <v>142.17099999999999</v>
      </c>
      <c r="E963" s="2">
        <v>0.3</v>
      </c>
      <c r="F963" s="2">
        <v>6.1</v>
      </c>
      <c r="G963" s="2">
        <v>40.624299999999998</v>
      </c>
      <c r="H963" s="2">
        <v>54.080100000000002</v>
      </c>
      <c r="I963" s="2">
        <v>0</v>
      </c>
      <c r="J963" s="2">
        <v>0</v>
      </c>
    </row>
    <row r="964" spans="1:10">
      <c r="A964" s="2" t="s">
        <v>138</v>
      </c>
      <c r="B964" s="2">
        <v>15</v>
      </c>
      <c r="C964" s="2">
        <v>18.369299999999999</v>
      </c>
      <c r="D964" s="60" t="s">
        <v>129</v>
      </c>
      <c r="E964" s="2" t="s">
        <v>139</v>
      </c>
    </row>
    <row r="965" spans="1:10">
      <c r="A965" s="2" t="s">
        <v>140</v>
      </c>
      <c r="B965" s="2">
        <v>0</v>
      </c>
      <c r="C965" s="2">
        <v>34.917099999999998</v>
      </c>
      <c r="D965" s="60">
        <v>24.658000000000001</v>
      </c>
    </row>
    <row r="966" spans="1:10">
      <c r="A966" s="2" t="s">
        <v>141</v>
      </c>
      <c r="B966" s="2">
        <v>0</v>
      </c>
      <c r="C966" s="2">
        <v>6.8</v>
      </c>
      <c r="D966" s="60" t="s">
        <v>142</v>
      </c>
    </row>
    <row r="967" spans="1:10">
      <c r="A967" s="2" t="s">
        <v>141</v>
      </c>
      <c r="B967" s="2">
        <v>0</v>
      </c>
      <c r="C967" s="2">
        <v>11.7</v>
      </c>
      <c r="D967" s="60" t="s">
        <v>146</v>
      </c>
    </row>
    <row r="968" spans="1:10">
      <c r="A968" s="2" t="s">
        <v>141</v>
      </c>
      <c r="B968" s="2">
        <v>6.8</v>
      </c>
      <c r="C968" s="2">
        <v>11.7</v>
      </c>
      <c r="D968" s="60" t="s">
        <v>144</v>
      </c>
    </row>
    <row r="969" spans="1:10">
      <c r="A969" s="2" t="s">
        <v>141</v>
      </c>
      <c r="B969" s="2">
        <v>11.7</v>
      </c>
      <c r="C969" s="2">
        <v>15</v>
      </c>
      <c r="D969" s="60" t="s">
        <v>152</v>
      </c>
    </row>
    <row r="970" spans="1:10">
      <c r="A970" s="2" t="s">
        <v>141</v>
      </c>
      <c r="B970" s="2">
        <v>11.7</v>
      </c>
      <c r="C970" s="2">
        <v>19.7</v>
      </c>
      <c r="D970" s="60" t="s">
        <v>145</v>
      </c>
    </row>
    <row r="971" spans="1:10">
      <c r="A971" s="2" t="s">
        <v>141</v>
      </c>
      <c r="B971" s="2">
        <v>15</v>
      </c>
      <c r="C971" s="2">
        <v>19.7</v>
      </c>
      <c r="D971" s="60" t="s">
        <v>161</v>
      </c>
    </row>
    <row r="972" spans="1:10">
      <c r="A972" s="2" t="s">
        <v>148</v>
      </c>
      <c r="B972" s="2" t="s">
        <v>99</v>
      </c>
      <c r="C972" s="2">
        <v>3.1482200000000002E-2</v>
      </c>
      <c r="D972" s="60">
        <v>0</v>
      </c>
      <c r="E972" s="2">
        <v>0</v>
      </c>
      <c r="F972" s="2">
        <v>0.3</v>
      </c>
      <c r="G972" s="2">
        <v>35.634300000000003</v>
      </c>
      <c r="H972" s="2">
        <v>37.5501</v>
      </c>
      <c r="I972" s="2">
        <v>0</v>
      </c>
      <c r="J972" s="2">
        <v>0</v>
      </c>
    </row>
    <row r="973" spans="1:10">
      <c r="A973" s="2" t="s">
        <v>148</v>
      </c>
      <c r="B973" s="2" t="s">
        <v>100</v>
      </c>
      <c r="C973" s="2">
        <v>1.7633300000000001E-2</v>
      </c>
      <c r="D973" s="60">
        <v>0</v>
      </c>
      <c r="E973" s="2">
        <v>19.024699999999999</v>
      </c>
      <c r="F973" s="2">
        <v>5.6332700000000004</v>
      </c>
      <c r="G973" s="2">
        <v>0</v>
      </c>
      <c r="H973" s="2">
        <v>10</v>
      </c>
      <c r="I973" s="2">
        <v>0</v>
      </c>
      <c r="J973" s="2">
        <v>0</v>
      </c>
    </row>
    <row r="974" spans="1:10">
      <c r="A974" s="2" t="s">
        <v>148</v>
      </c>
      <c r="B974" s="2" t="s">
        <v>98</v>
      </c>
      <c r="C974" s="2">
        <v>2.8299699999999998E-3</v>
      </c>
      <c r="D974" s="60">
        <v>0</v>
      </c>
      <c r="E974" s="2">
        <v>18.682500000000001</v>
      </c>
      <c r="F974" s="2">
        <v>0.34224700000000002</v>
      </c>
      <c r="G974" s="2">
        <v>10</v>
      </c>
      <c r="H974" s="2">
        <v>10.519600000000001</v>
      </c>
      <c r="I974" s="2">
        <v>0</v>
      </c>
      <c r="J974" s="2">
        <v>0</v>
      </c>
    </row>
    <row r="975" spans="1:10">
      <c r="A975" s="2" t="s">
        <v>148</v>
      </c>
      <c r="B975" s="2" t="s">
        <v>101</v>
      </c>
      <c r="C975" s="2">
        <v>5.21422E-2</v>
      </c>
      <c r="D975" s="60">
        <v>0</v>
      </c>
      <c r="E975" s="2">
        <v>15</v>
      </c>
      <c r="F975" s="2">
        <v>3.68248</v>
      </c>
      <c r="G975" s="2">
        <v>10.519600000000001</v>
      </c>
      <c r="H975" s="2">
        <v>16.110199999999999</v>
      </c>
      <c r="I975" s="2">
        <v>0</v>
      </c>
      <c r="J975" s="2">
        <v>0</v>
      </c>
    </row>
    <row r="976" spans="1:10">
      <c r="A976" s="2" t="s">
        <v>148</v>
      </c>
      <c r="B976" s="2" t="s">
        <v>64</v>
      </c>
      <c r="C976" s="2">
        <v>0.13989199999999999</v>
      </c>
      <c r="D976" s="60">
        <v>4.1967600000000003</v>
      </c>
      <c r="E976" s="2">
        <v>10.3</v>
      </c>
      <c r="F976" s="2">
        <v>4.7</v>
      </c>
      <c r="G976" s="2">
        <v>16.110199999999999</v>
      </c>
      <c r="H976" s="2">
        <v>22.416399999999999</v>
      </c>
      <c r="I976" s="2">
        <v>0</v>
      </c>
      <c r="J976" s="2">
        <v>0</v>
      </c>
    </row>
    <row r="977" spans="1:10">
      <c r="A977" s="2" t="s">
        <v>148</v>
      </c>
      <c r="B977" s="2" t="s">
        <v>60</v>
      </c>
      <c r="C977" s="2">
        <v>0.19020300000000001</v>
      </c>
      <c r="D977" s="60">
        <v>17.118200000000002</v>
      </c>
      <c r="E977" s="2">
        <v>6.3</v>
      </c>
      <c r="F977" s="2">
        <v>4</v>
      </c>
      <c r="G977" s="2">
        <v>22.416399999999999</v>
      </c>
      <c r="H977" s="2">
        <v>26.549900000000001</v>
      </c>
      <c r="I977" s="2">
        <v>0</v>
      </c>
      <c r="J977" s="2">
        <v>0</v>
      </c>
    </row>
    <row r="978" spans="1:10">
      <c r="A978" s="2" t="s">
        <v>148</v>
      </c>
      <c r="B978" s="2" t="s">
        <v>60</v>
      </c>
      <c r="C978" s="2">
        <v>0.41598099999999999</v>
      </c>
      <c r="D978" s="60">
        <v>37.438299999999998</v>
      </c>
      <c r="E978" s="2">
        <v>0.3</v>
      </c>
      <c r="F978" s="2">
        <v>6</v>
      </c>
      <c r="G978" s="2">
        <v>26.549900000000001</v>
      </c>
      <c r="H978" s="2">
        <v>35.634300000000003</v>
      </c>
      <c r="I978" s="2">
        <v>0</v>
      </c>
      <c r="J978" s="2">
        <v>0</v>
      </c>
    </row>
    <row r="979" spans="1:10">
      <c r="A979" s="2" t="s">
        <v>138</v>
      </c>
      <c r="B979" s="2">
        <v>16</v>
      </c>
      <c r="C979" s="2">
        <v>19.501799999999999</v>
      </c>
      <c r="D979" s="60" t="s">
        <v>129</v>
      </c>
      <c r="E979" s="2" t="s">
        <v>175</v>
      </c>
    </row>
    <row r="980" spans="1:10">
      <c r="A980" s="2" t="s">
        <v>140</v>
      </c>
      <c r="B980" s="2">
        <v>0</v>
      </c>
      <c r="C980" s="2">
        <v>51.173099999999998</v>
      </c>
      <c r="D980" s="60">
        <v>26.141500000000001</v>
      </c>
      <c r="E980" s="2">
        <v>0</v>
      </c>
      <c r="F980" s="2">
        <v>13.8</v>
      </c>
    </row>
    <row r="981" spans="1:10">
      <c r="A981" s="2" t="s">
        <v>141</v>
      </c>
      <c r="B981" s="2">
        <v>0</v>
      </c>
      <c r="C981" s="2">
        <v>7.3</v>
      </c>
      <c r="D981" s="60" t="s">
        <v>142</v>
      </c>
    </row>
    <row r="982" spans="1:10">
      <c r="A982" s="2" t="s">
        <v>141</v>
      </c>
      <c r="B982" s="2">
        <v>0</v>
      </c>
      <c r="C982" s="2">
        <v>20.816199999999998</v>
      </c>
      <c r="D982" s="60" t="s">
        <v>146</v>
      </c>
    </row>
    <row r="983" spans="1:10">
      <c r="A983" s="2" t="s">
        <v>141</v>
      </c>
      <c r="B983" s="2">
        <v>7.3</v>
      </c>
      <c r="C983" s="2">
        <v>10.1</v>
      </c>
      <c r="D983" s="60" t="s">
        <v>144</v>
      </c>
    </row>
    <row r="984" spans="1:10">
      <c r="A984" s="2" t="s">
        <v>141</v>
      </c>
      <c r="B984" s="2">
        <v>10.1</v>
      </c>
      <c r="C984" s="2">
        <v>12.7</v>
      </c>
      <c r="D984" s="60" t="s">
        <v>145</v>
      </c>
    </row>
    <row r="985" spans="1:10">
      <c r="A985" s="2" t="s">
        <v>141</v>
      </c>
      <c r="B985" s="2">
        <v>12.7</v>
      </c>
      <c r="C985" s="2">
        <v>20.816199999999998</v>
      </c>
      <c r="D985" s="60" t="s">
        <v>147</v>
      </c>
    </row>
    <row r="986" spans="1:10">
      <c r="A986" s="2" t="s">
        <v>148</v>
      </c>
      <c r="B986" s="2" t="s">
        <v>99</v>
      </c>
      <c r="C986" s="2">
        <v>6.2640799999999996E-2</v>
      </c>
      <c r="D986" s="60">
        <v>0</v>
      </c>
      <c r="E986" s="2">
        <v>0</v>
      </c>
      <c r="F986" s="2">
        <v>0.3</v>
      </c>
      <c r="G986" s="2">
        <v>50.328200000000002</v>
      </c>
      <c r="H986" s="2">
        <v>52.892299999999999</v>
      </c>
      <c r="I986" s="2">
        <v>0</v>
      </c>
      <c r="J986" s="2">
        <v>0</v>
      </c>
    </row>
    <row r="987" spans="1:10">
      <c r="A987" s="2" t="s">
        <v>148</v>
      </c>
      <c r="B987" s="2" t="s">
        <v>101</v>
      </c>
      <c r="C987" s="2">
        <v>1.7118399999999999E-2</v>
      </c>
      <c r="D987" s="60">
        <v>0</v>
      </c>
      <c r="E987" s="2">
        <v>13.5</v>
      </c>
      <c r="F987" s="2">
        <v>0.3</v>
      </c>
      <c r="G987" s="2">
        <v>26.6814</v>
      </c>
      <c r="H987" s="2">
        <v>27.224799999999998</v>
      </c>
      <c r="I987" s="2">
        <v>0</v>
      </c>
      <c r="J987" s="2">
        <v>0</v>
      </c>
    </row>
    <row r="988" spans="1:10">
      <c r="A988" s="2" t="s">
        <v>148</v>
      </c>
      <c r="B988" s="2" t="s">
        <v>62</v>
      </c>
      <c r="C988" s="2">
        <v>0.29503400000000002</v>
      </c>
      <c r="D988" s="60">
        <v>23.602699999999999</v>
      </c>
      <c r="E988" s="2">
        <v>9.5</v>
      </c>
      <c r="F988" s="2">
        <v>4</v>
      </c>
      <c r="G988" s="2">
        <v>27.224799999999998</v>
      </c>
      <c r="H988" s="2">
        <v>33.704099999999997</v>
      </c>
      <c r="I988" s="2">
        <v>0</v>
      </c>
      <c r="J988" s="2">
        <v>0</v>
      </c>
    </row>
    <row r="989" spans="1:10">
      <c r="A989" s="2" t="s">
        <v>148</v>
      </c>
      <c r="B989" s="2" t="s">
        <v>59</v>
      </c>
      <c r="C989" s="2">
        <v>0.415516</v>
      </c>
      <c r="D989" s="60">
        <v>41.551600000000001</v>
      </c>
      <c r="E989" s="2">
        <v>5.5</v>
      </c>
      <c r="F989" s="2">
        <v>4</v>
      </c>
      <c r="G989" s="2">
        <v>33.704099999999997</v>
      </c>
      <c r="H989" s="2">
        <v>38.7744</v>
      </c>
      <c r="I989" s="2">
        <v>0</v>
      </c>
      <c r="J989" s="2">
        <v>0</v>
      </c>
    </row>
    <row r="990" spans="1:10">
      <c r="A990" s="2" t="s">
        <v>148</v>
      </c>
      <c r="B990" s="2" t="s">
        <v>56</v>
      </c>
      <c r="C990" s="2">
        <v>0.74420799999999998</v>
      </c>
      <c r="D990" s="60">
        <v>104.18899999999999</v>
      </c>
      <c r="E990" s="2">
        <v>0.3</v>
      </c>
      <c r="F990" s="2">
        <v>5.2</v>
      </c>
      <c r="G990" s="2">
        <v>38.7744</v>
      </c>
      <c r="H990" s="2">
        <v>50.328200000000002</v>
      </c>
      <c r="I990" s="2">
        <v>0</v>
      </c>
      <c r="J990" s="2">
        <v>0</v>
      </c>
    </row>
    <row r="991" spans="1:10">
      <c r="A991" s="2" t="s">
        <v>138</v>
      </c>
      <c r="B991" s="2">
        <v>17</v>
      </c>
      <c r="C991" s="2">
        <v>16.627199999999998</v>
      </c>
      <c r="D991" s="60" t="s">
        <v>129</v>
      </c>
      <c r="E991" s="2" t="s">
        <v>149</v>
      </c>
    </row>
    <row r="992" spans="1:10">
      <c r="A992" s="2" t="s">
        <v>140</v>
      </c>
      <c r="B992" s="2">
        <v>0</v>
      </c>
      <c r="C992" s="2">
        <v>27.885000000000002</v>
      </c>
      <c r="D992" s="60">
        <v>23.3232</v>
      </c>
    </row>
    <row r="993" spans="1:10">
      <c r="A993" s="2" t="s">
        <v>141</v>
      </c>
      <c r="B993" s="2">
        <v>0</v>
      </c>
      <c r="C993" s="2">
        <v>4.5</v>
      </c>
      <c r="D993" s="60" t="s">
        <v>142</v>
      </c>
    </row>
    <row r="994" spans="1:10">
      <c r="A994" s="2" t="s">
        <v>141</v>
      </c>
      <c r="B994" s="2">
        <v>0</v>
      </c>
      <c r="C994" s="2">
        <v>4.5</v>
      </c>
      <c r="D994" s="60" t="s">
        <v>146</v>
      </c>
    </row>
    <row r="995" spans="1:10">
      <c r="A995" s="2" t="s">
        <v>141</v>
      </c>
      <c r="B995" s="2">
        <v>0</v>
      </c>
      <c r="C995" s="2">
        <v>4.5</v>
      </c>
      <c r="D995" s="60" t="s">
        <v>158</v>
      </c>
    </row>
    <row r="996" spans="1:10">
      <c r="A996" s="2" t="s">
        <v>141</v>
      </c>
      <c r="B996" s="2">
        <v>4.5</v>
      </c>
      <c r="C996" s="2">
        <v>4.8</v>
      </c>
      <c r="D996" s="60" t="s">
        <v>159</v>
      </c>
    </row>
    <row r="997" spans="1:10">
      <c r="A997" s="2" t="s">
        <v>141</v>
      </c>
      <c r="B997" s="2">
        <v>4.5</v>
      </c>
      <c r="C997" s="2">
        <v>4.8</v>
      </c>
      <c r="D997" s="60" t="s">
        <v>178</v>
      </c>
    </row>
    <row r="998" spans="1:10">
      <c r="A998" s="2" t="s">
        <v>141</v>
      </c>
      <c r="B998" s="2">
        <v>4.5</v>
      </c>
      <c r="C998" s="2">
        <v>18.695699999999999</v>
      </c>
      <c r="D998" s="60" t="s">
        <v>144</v>
      </c>
    </row>
    <row r="999" spans="1:10">
      <c r="A999" s="2" t="s">
        <v>141</v>
      </c>
      <c r="B999" s="2">
        <v>4.8</v>
      </c>
      <c r="C999" s="2">
        <v>18.695699999999999</v>
      </c>
      <c r="D999" s="60" t="s">
        <v>152</v>
      </c>
    </row>
    <row r="1000" spans="1:10">
      <c r="A1000" s="2" t="s">
        <v>148</v>
      </c>
      <c r="B1000" s="2" t="s">
        <v>99</v>
      </c>
      <c r="C1000" s="2">
        <v>2.0977300000000001E-2</v>
      </c>
      <c r="D1000" s="60">
        <v>0</v>
      </c>
      <c r="E1000" s="2">
        <v>0</v>
      </c>
      <c r="F1000" s="2">
        <v>0.3</v>
      </c>
      <c r="G1000" s="2">
        <v>29.051500000000001</v>
      </c>
      <c r="H1000" s="2">
        <v>30.695</v>
      </c>
      <c r="I1000" s="2">
        <v>0</v>
      </c>
      <c r="J1000" s="2">
        <v>0</v>
      </c>
    </row>
    <row r="1001" spans="1:10">
      <c r="A1001" s="2" t="s">
        <v>148</v>
      </c>
      <c r="B1001" s="2" t="s">
        <v>100</v>
      </c>
      <c r="C1001" s="2">
        <v>2.0145699999999999E-2</v>
      </c>
      <c r="D1001" s="60">
        <v>0</v>
      </c>
      <c r="E1001" s="2">
        <v>16.6111</v>
      </c>
      <c r="F1001" s="2">
        <v>6.7120300000000004</v>
      </c>
      <c r="G1001" s="2">
        <v>0</v>
      </c>
      <c r="H1001" s="2">
        <v>10</v>
      </c>
      <c r="I1001" s="2">
        <v>0</v>
      </c>
      <c r="J1001" s="2">
        <v>0</v>
      </c>
    </row>
    <row r="1002" spans="1:10">
      <c r="A1002" s="2" t="s">
        <v>148</v>
      </c>
      <c r="B1002" s="2" t="s">
        <v>98</v>
      </c>
      <c r="C1002" s="2">
        <v>7.5175900000000004E-2</v>
      </c>
      <c r="D1002" s="60">
        <v>0</v>
      </c>
      <c r="E1002" s="2">
        <v>11.3683</v>
      </c>
      <c r="F1002" s="2">
        <v>5.2427999999999999</v>
      </c>
      <c r="G1002" s="2">
        <v>10</v>
      </c>
      <c r="H1002" s="2">
        <v>16.576799999999999</v>
      </c>
      <c r="I1002" s="2">
        <v>0</v>
      </c>
      <c r="J1002" s="2">
        <v>0</v>
      </c>
    </row>
    <row r="1003" spans="1:10">
      <c r="A1003" s="2" t="s">
        <v>148</v>
      </c>
      <c r="B1003" s="2" t="s">
        <v>101</v>
      </c>
      <c r="C1003" s="2">
        <v>1.2741199999999999E-2</v>
      </c>
      <c r="D1003" s="60">
        <v>0</v>
      </c>
      <c r="E1003" s="2">
        <v>10.8</v>
      </c>
      <c r="F1003" s="2">
        <v>0.56833900000000004</v>
      </c>
      <c r="G1003" s="2">
        <v>16.576799999999999</v>
      </c>
      <c r="H1003" s="2">
        <v>17.207699999999999</v>
      </c>
      <c r="I1003" s="2">
        <v>0</v>
      </c>
      <c r="J1003" s="2">
        <v>0</v>
      </c>
    </row>
    <row r="1004" spans="1:10">
      <c r="A1004" s="2" t="s">
        <v>148</v>
      </c>
      <c r="B1004" s="2" t="s">
        <v>64</v>
      </c>
      <c r="C1004" s="2">
        <v>0.191108</v>
      </c>
      <c r="D1004" s="60">
        <v>5.7332400000000003</v>
      </c>
      <c r="E1004" s="2">
        <v>4.8</v>
      </c>
      <c r="F1004" s="2">
        <v>6</v>
      </c>
      <c r="G1004" s="2">
        <v>17.207699999999999</v>
      </c>
      <c r="H1004" s="2">
        <v>22.581299999999999</v>
      </c>
      <c r="I1004" s="2">
        <v>0</v>
      </c>
      <c r="J1004" s="2">
        <v>0</v>
      </c>
    </row>
    <row r="1005" spans="1:10">
      <c r="A1005" s="2" t="s">
        <v>148</v>
      </c>
      <c r="B1005" s="2" t="s">
        <v>101</v>
      </c>
      <c r="C1005" s="2">
        <v>2.03535E-2</v>
      </c>
      <c r="D1005" s="60">
        <v>0</v>
      </c>
      <c r="E1005" s="2">
        <v>4.3</v>
      </c>
      <c r="F1005" s="2">
        <v>0.5</v>
      </c>
      <c r="G1005" s="2">
        <v>22.581299999999999</v>
      </c>
      <c r="H1005" s="2">
        <v>22.950099999999999</v>
      </c>
      <c r="I1005" s="2">
        <v>0</v>
      </c>
      <c r="J1005" s="2">
        <v>0</v>
      </c>
    </row>
    <row r="1006" spans="1:10">
      <c r="A1006" s="2" t="s">
        <v>148</v>
      </c>
      <c r="B1006" s="2" t="s">
        <v>60</v>
      </c>
      <c r="C1006" s="2">
        <v>0.19683500000000001</v>
      </c>
      <c r="D1006" s="60">
        <v>17.7151</v>
      </c>
      <c r="E1006" s="2">
        <v>0.3</v>
      </c>
      <c r="F1006" s="2">
        <v>4</v>
      </c>
      <c r="G1006" s="2">
        <v>22.950099999999999</v>
      </c>
      <c r="H1006" s="2">
        <v>29.051500000000001</v>
      </c>
      <c r="I1006" s="2">
        <v>0</v>
      </c>
      <c r="J1006" s="2">
        <v>0</v>
      </c>
    </row>
    <row r="1007" spans="1:10">
      <c r="A1007" s="2" t="s">
        <v>138</v>
      </c>
      <c r="B1007" s="2">
        <v>18</v>
      </c>
      <c r="C1007" s="2">
        <v>19.818300000000001</v>
      </c>
      <c r="D1007" s="60" t="s">
        <v>129</v>
      </c>
      <c r="E1007" s="2" t="s">
        <v>149</v>
      </c>
    </row>
    <row r="1008" spans="1:10">
      <c r="A1008" s="2" t="s">
        <v>140</v>
      </c>
      <c r="B1008" s="2">
        <v>0</v>
      </c>
      <c r="C1008" s="2">
        <v>69.2256</v>
      </c>
      <c r="D1008" s="60">
        <v>27.395</v>
      </c>
    </row>
    <row r="1009" spans="1:10">
      <c r="A1009" s="2" t="s">
        <v>141</v>
      </c>
      <c r="B1009" s="2">
        <v>0</v>
      </c>
      <c r="C1009" s="2">
        <v>7</v>
      </c>
      <c r="D1009" s="60" t="s">
        <v>142</v>
      </c>
    </row>
    <row r="1010" spans="1:10">
      <c r="A1010" s="2" t="s">
        <v>141</v>
      </c>
      <c r="B1010" s="2">
        <v>0</v>
      </c>
      <c r="C1010" s="2">
        <v>21.7593</v>
      </c>
      <c r="D1010" s="60" t="s">
        <v>146</v>
      </c>
    </row>
    <row r="1011" spans="1:10">
      <c r="A1011" s="2" t="s">
        <v>141</v>
      </c>
      <c r="B1011" s="2">
        <v>7</v>
      </c>
      <c r="C1011" s="2">
        <v>13.1</v>
      </c>
      <c r="D1011" s="60" t="s">
        <v>144</v>
      </c>
    </row>
    <row r="1012" spans="1:10">
      <c r="A1012" s="2" t="s">
        <v>141</v>
      </c>
      <c r="B1012" s="2">
        <v>13.1</v>
      </c>
      <c r="C1012" s="2">
        <v>15.1</v>
      </c>
      <c r="D1012" s="60" t="s">
        <v>147</v>
      </c>
    </row>
    <row r="1013" spans="1:10">
      <c r="A1013" s="2" t="s">
        <v>141</v>
      </c>
      <c r="B1013" s="2">
        <v>15.1</v>
      </c>
      <c r="C1013" s="2">
        <v>17</v>
      </c>
      <c r="D1013" s="60" t="s">
        <v>151</v>
      </c>
    </row>
    <row r="1014" spans="1:10">
      <c r="A1014" s="2" t="s">
        <v>141</v>
      </c>
      <c r="B1014" s="2">
        <v>17</v>
      </c>
      <c r="C1014" s="2">
        <v>17.3</v>
      </c>
      <c r="D1014" s="60" t="s">
        <v>154</v>
      </c>
    </row>
    <row r="1015" spans="1:10">
      <c r="A1015" s="2" t="s">
        <v>141</v>
      </c>
      <c r="B1015" s="2">
        <v>17</v>
      </c>
      <c r="C1015" s="2">
        <v>21.7593</v>
      </c>
      <c r="D1015" s="60" t="s">
        <v>144</v>
      </c>
    </row>
    <row r="1016" spans="1:10">
      <c r="A1016" s="2" t="s">
        <v>156</v>
      </c>
      <c r="B1016" s="2">
        <v>17</v>
      </c>
      <c r="C1016" s="2">
        <v>58.303800000000003</v>
      </c>
    </row>
    <row r="1017" spans="1:10">
      <c r="A1017" s="2" t="s">
        <v>148</v>
      </c>
      <c r="B1017" s="2" t="s">
        <v>99</v>
      </c>
      <c r="C1017" s="2">
        <v>0.107918</v>
      </c>
      <c r="D1017" s="60">
        <v>0</v>
      </c>
      <c r="E1017" s="2">
        <v>0</v>
      </c>
      <c r="F1017" s="2">
        <v>0.3</v>
      </c>
      <c r="G1017" s="2">
        <v>66.123000000000005</v>
      </c>
      <c r="H1017" s="2">
        <v>69.3489</v>
      </c>
      <c r="I1017" s="2">
        <v>0</v>
      </c>
      <c r="J1017" s="2">
        <v>0</v>
      </c>
    </row>
    <row r="1018" spans="1:10">
      <c r="A1018" s="2" t="s">
        <v>148</v>
      </c>
      <c r="B1018" s="2" t="s">
        <v>100</v>
      </c>
      <c r="C1018" s="2">
        <v>1.2153600000000001E-2</v>
      </c>
      <c r="D1018" s="60">
        <v>0</v>
      </c>
      <c r="E1018" s="2">
        <v>23.924499999999998</v>
      </c>
      <c r="F1018" s="2">
        <v>3.4704799999999998</v>
      </c>
      <c r="G1018" s="2">
        <v>0</v>
      </c>
      <c r="H1018" s="2">
        <v>10</v>
      </c>
      <c r="I1018" s="2">
        <v>0</v>
      </c>
      <c r="J1018" s="2">
        <v>0</v>
      </c>
    </row>
    <row r="1019" spans="1:10">
      <c r="A1019" s="2" t="s">
        <v>148</v>
      </c>
      <c r="B1019" s="2" t="s">
        <v>98</v>
      </c>
      <c r="C1019" s="2">
        <v>5.54218E-2</v>
      </c>
      <c r="D1019" s="60">
        <v>0</v>
      </c>
      <c r="E1019" s="2">
        <v>20.299700000000001</v>
      </c>
      <c r="F1019" s="2">
        <v>3.6248900000000002</v>
      </c>
      <c r="G1019" s="2">
        <v>10</v>
      </c>
      <c r="H1019" s="2">
        <v>17.6523</v>
      </c>
      <c r="I1019" s="2">
        <v>0</v>
      </c>
      <c r="J1019" s="2">
        <v>0</v>
      </c>
    </row>
    <row r="1020" spans="1:10">
      <c r="A1020" s="2" t="s">
        <v>148</v>
      </c>
      <c r="B1020" s="2" t="s">
        <v>101</v>
      </c>
      <c r="C1020" s="2">
        <v>0.159557</v>
      </c>
      <c r="D1020" s="60">
        <v>0</v>
      </c>
      <c r="E1020" s="2">
        <v>16.399999999999999</v>
      </c>
      <c r="F1020" s="2">
        <v>3.8996599999999999</v>
      </c>
      <c r="G1020" s="2">
        <v>17.6523</v>
      </c>
      <c r="H1020" s="2">
        <v>30.401299999999999</v>
      </c>
      <c r="I1020" s="2">
        <v>0</v>
      </c>
      <c r="J1020" s="2">
        <v>0</v>
      </c>
    </row>
    <row r="1021" spans="1:10">
      <c r="A1021" s="2" t="s">
        <v>148</v>
      </c>
      <c r="B1021" s="2" t="s">
        <v>62</v>
      </c>
      <c r="C1021" s="2">
        <v>0.38834800000000003</v>
      </c>
      <c r="D1021" s="60">
        <v>31.067799999999998</v>
      </c>
      <c r="E1021" s="2">
        <v>12.4</v>
      </c>
      <c r="F1021" s="2">
        <v>4</v>
      </c>
      <c r="G1021" s="2">
        <v>30.401299999999999</v>
      </c>
      <c r="H1021" s="2">
        <v>39.472099999999998</v>
      </c>
      <c r="I1021" s="2">
        <v>0</v>
      </c>
      <c r="J1021" s="2">
        <v>0</v>
      </c>
    </row>
    <row r="1022" spans="1:10">
      <c r="A1022" s="2" t="s">
        <v>148</v>
      </c>
      <c r="B1022" s="2" t="s">
        <v>59</v>
      </c>
      <c r="C1022" s="2">
        <v>0.958924</v>
      </c>
      <c r="D1022" s="60">
        <v>95.892399999999995</v>
      </c>
      <c r="E1022" s="2">
        <v>6.4</v>
      </c>
      <c r="F1022" s="2">
        <v>6</v>
      </c>
      <c r="G1022" s="2">
        <v>39.472099999999998</v>
      </c>
      <c r="H1022" s="2">
        <v>49.920299999999997</v>
      </c>
      <c r="I1022" s="2">
        <v>0</v>
      </c>
      <c r="J1022" s="2">
        <v>0</v>
      </c>
    </row>
    <row r="1023" spans="1:10">
      <c r="A1023" s="2" t="s">
        <v>148</v>
      </c>
      <c r="B1023" s="2" t="s">
        <v>55</v>
      </c>
      <c r="C1023" s="2">
        <v>1.4724699999999999</v>
      </c>
      <c r="D1023" s="60">
        <v>213.50800000000001</v>
      </c>
      <c r="E1023" s="2">
        <v>0.3</v>
      </c>
      <c r="F1023" s="2">
        <v>6.1</v>
      </c>
      <c r="G1023" s="2">
        <v>49.920299999999997</v>
      </c>
      <c r="H1023" s="2">
        <v>66.123000000000005</v>
      </c>
      <c r="I1023" s="2">
        <v>0</v>
      </c>
      <c r="J1023" s="2">
        <v>0</v>
      </c>
    </row>
    <row r="1024" spans="1:10">
      <c r="A1024" s="2" t="s">
        <v>138</v>
      </c>
      <c r="B1024" s="2">
        <v>19</v>
      </c>
      <c r="C1024" s="2">
        <v>19.747399999999999</v>
      </c>
      <c r="D1024" s="60" t="s">
        <v>129</v>
      </c>
      <c r="E1024" s="2" t="s">
        <v>149</v>
      </c>
    </row>
    <row r="1025" spans="1:10">
      <c r="A1025" s="2" t="s">
        <v>140</v>
      </c>
      <c r="B1025" s="2">
        <v>0</v>
      </c>
      <c r="C1025" s="2">
        <v>62.780700000000003</v>
      </c>
      <c r="D1025" s="60">
        <v>27.005299999999998</v>
      </c>
    </row>
    <row r="1026" spans="1:10">
      <c r="A1026" s="2" t="s">
        <v>141</v>
      </c>
      <c r="B1026" s="2">
        <v>0</v>
      </c>
      <c r="C1026" s="2">
        <v>7.2</v>
      </c>
      <c r="D1026" s="60" t="s">
        <v>142</v>
      </c>
    </row>
    <row r="1027" spans="1:10">
      <c r="A1027" s="2" t="s">
        <v>141</v>
      </c>
      <c r="B1027" s="2">
        <v>0</v>
      </c>
      <c r="C1027" s="2">
        <v>21.466100000000001</v>
      </c>
      <c r="D1027" s="60" t="s">
        <v>146</v>
      </c>
    </row>
    <row r="1028" spans="1:10">
      <c r="A1028" s="2" t="s">
        <v>141</v>
      </c>
      <c r="B1028" s="2">
        <v>7.2</v>
      </c>
      <c r="C1028" s="2">
        <v>11.7</v>
      </c>
      <c r="D1028" s="60" t="s">
        <v>144</v>
      </c>
    </row>
    <row r="1029" spans="1:10">
      <c r="A1029" s="2" t="s">
        <v>141</v>
      </c>
      <c r="B1029" s="2">
        <v>11.7</v>
      </c>
      <c r="C1029" s="2">
        <v>12.78</v>
      </c>
      <c r="D1029" s="60" t="s">
        <v>145</v>
      </c>
    </row>
    <row r="1030" spans="1:10">
      <c r="A1030" s="2" t="s">
        <v>141</v>
      </c>
      <c r="B1030" s="2">
        <v>12.78</v>
      </c>
      <c r="C1030" s="2">
        <v>19</v>
      </c>
      <c r="D1030" s="60" t="s">
        <v>147</v>
      </c>
    </row>
    <row r="1031" spans="1:10">
      <c r="A1031" s="2" t="s">
        <v>141</v>
      </c>
      <c r="B1031" s="2">
        <v>19</v>
      </c>
      <c r="C1031" s="2">
        <v>21.466100000000001</v>
      </c>
      <c r="D1031" s="60" t="s">
        <v>144</v>
      </c>
    </row>
    <row r="1032" spans="1:10">
      <c r="A1032" s="2" t="s">
        <v>148</v>
      </c>
      <c r="B1032" s="2" t="s">
        <v>99</v>
      </c>
      <c r="C1032" s="2">
        <v>9.0512999999999996E-2</v>
      </c>
      <c r="D1032" s="60">
        <v>0</v>
      </c>
      <c r="E1032" s="2">
        <v>0</v>
      </c>
      <c r="F1032" s="2">
        <v>0.3</v>
      </c>
      <c r="G1032" s="2">
        <v>60.538699999999999</v>
      </c>
      <c r="H1032" s="2">
        <v>63.531599999999997</v>
      </c>
      <c r="I1032" s="2">
        <v>0</v>
      </c>
      <c r="J1032" s="2">
        <v>0</v>
      </c>
    </row>
    <row r="1033" spans="1:10">
      <c r="A1033" s="2" t="s">
        <v>148</v>
      </c>
      <c r="B1033" s="2" t="s">
        <v>100</v>
      </c>
      <c r="C1033" s="2">
        <v>1.1050600000000001E-2</v>
      </c>
      <c r="D1033" s="60">
        <v>0</v>
      </c>
      <c r="E1033" s="2">
        <v>23.8965</v>
      </c>
      <c r="F1033" s="2">
        <v>3.10886</v>
      </c>
      <c r="G1033" s="2">
        <v>0</v>
      </c>
      <c r="H1033" s="2">
        <v>10.000500000000001</v>
      </c>
      <c r="I1033" s="2">
        <v>0</v>
      </c>
      <c r="J1033" s="2">
        <v>0</v>
      </c>
    </row>
    <row r="1034" spans="1:10">
      <c r="A1034" s="2" t="s">
        <v>148</v>
      </c>
      <c r="B1034" s="2" t="s">
        <v>98</v>
      </c>
      <c r="C1034" s="2">
        <v>2.6534200000000001E-2</v>
      </c>
      <c r="D1034" s="60">
        <v>0</v>
      </c>
      <c r="E1034" s="2">
        <v>21.727900000000002</v>
      </c>
      <c r="F1034" s="2">
        <v>2.1685400000000001</v>
      </c>
      <c r="G1034" s="2">
        <v>10.000500000000001</v>
      </c>
      <c r="H1034" s="2">
        <v>14.849500000000001</v>
      </c>
      <c r="I1034" s="2">
        <v>0</v>
      </c>
      <c r="J1034" s="2">
        <v>0</v>
      </c>
    </row>
    <row r="1035" spans="1:10">
      <c r="A1035" s="2" t="s">
        <v>148</v>
      </c>
      <c r="B1035" s="2" t="s">
        <v>101</v>
      </c>
      <c r="C1035" s="2">
        <v>2.8098700000000001E-2</v>
      </c>
      <c r="D1035" s="60">
        <v>0</v>
      </c>
      <c r="E1035" s="2">
        <v>20.399999999999999</v>
      </c>
      <c r="F1035" s="2">
        <v>1.3279300000000001</v>
      </c>
      <c r="G1035" s="2">
        <v>14.849500000000001</v>
      </c>
      <c r="H1035" s="2">
        <v>17.941700000000001</v>
      </c>
      <c r="I1035" s="2">
        <v>0</v>
      </c>
      <c r="J1035" s="2">
        <v>0</v>
      </c>
    </row>
    <row r="1036" spans="1:10">
      <c r="A1036" s="2" t="s">
        <v>148</v>
      </c>
      <c r="B1036" s="2" t="s">
        <v>63</v>
      </c>
      <c r="C1036" s="2">
        <v>0.30105199999999999</v>
      </c>
      <c r="D1036" s="60">
        <v>21.073599999999999</v>
      </c>
      <c r="E1036" s="2">
        <v>14.4</v>
      </c>
      <c r="F1036" s="2">
        <v>6</v>
      </c>
      <c r="G1036" s="2">
        <v>17.941700000000001</v>
      </c>
      <c r="H1036" s="2">
        <v>31.7423</v>
      </c>
      <c r="I1036" s="2">
        <v>0</v>
      </c>
      <c r="J1036" s="2">
        <v>0</v>
      </c>
    </row>
    <row r="1037" spans="1:10">
      <c r="A1037" s="2" t="s">
        <v>148</v>
      </c>
      <c r="B1037" s="2" t="s">
        <v>59</v>
      </c>
      <c r="C1037" s="2">
        <v>0.40313300000000002</v>
      </c>
      <c r="D1037" s="60">
        <v>40.313299999999998</v>
      </c>
      <c r="E1037" s="2">
        <v>10.4</v>
      </c>
      <c r="F1037" s="2">
        <v>4</v>
      </c>
      <c r="G1037" s="2">
        <v>31.7423</v>
      </c>
      <c r="H1037" s="2">
        <v>39.489400000000003</v>
      </c>
      <c r="I1037" s="2">
        <v>0</v>
      </c>
      <c r="J1037" s="2">
        <v>0</v>
      </c>
    </row>
    <row r="1038" spans="1:10">
      <c r="A1038" s="2" t="s">
        <v>148</v>
      </c>
      <c r="B1038" s="2" t="s">
        <v>59</v>
      </c>
      <c r="C1038" s="2">
        <v>0.57305899999999999</v>
      </c>
      <c r="D1038" s="60">
        <v>57.305900000000001</v>
      </c>
      <c r="E1038" s="2">
        <v>6.4</v>
      </c>
      <c r="F1038" s="2">
        <v>4</v>
      </c>
      <c r="G1038" s="2">
        <v>39.489400000000003</v>
      </c>
      <c r="H1038" s="2">
        <v>45.609000000000002</v>
      </c>
      <c r="I1038" s="2">
        <v>0</v>
      </c>
      <c r="J1038" s="2">
        <v>0</v>
      </c>
    </row>
    <row r="1039" spans="1:10">
      <c r="A1039" s="2" t="s">
        <v>148</v>
      </c>
      <c r="B1039" s="2" t="s">
        <v>55</v>
      </c>
      <c r="C1039" s="2">
        <v>1.2319</v>
      </c>
      <c r="D1039" s="60">
        <v>178.626</v>
      </c>
      <c r="E1039" s="2">
        <v>0.3</v>
      </c>
      <c r="F1039" s="2">
        <v>6.1</v>
      </c>
      <c r="G1039" s="2">
        <v>45.609000000000002</v>
      </c>
      <c r="H1039" s="2">
        <v>60.538699999999999</v>
      </c>
      <c r="I1039" s="2">
        <v>0</v>
      </c>
      <c r="J1039" s="2">
        <v>0</v>
      </c>
    </row>
    <row r="1040" spans="1:10">
      <c r="A1040" s="2" t="s">
        <v>138</v>
      </c>
      <c r="B1040" s="2">
        <v>20</v>
      </c>
      <c r="C1040" s="2">
        <v>18.748899999999999</v>
      </c>
      <c r="D1040" s="60" t="s">
        <v>129</v>
      </c>
      <c r="E1040" s="2" t="s">
        <v>175</v>
      </c>
    </row>
    <row r="1041" spans="1:10">
      <c r="A1041" s="2" t="s">
        <v>140</v>
      </c>
      <c r="B1041" s="2">
        <v>0</v>
      </c>
      <c r="C1041" s="2">
        <v>38.299599999999998</v>
      </c>
      <c r="D1041" s="60">
        <v>24.854800000000001</v>
      </c>
      <c r="E1041" s="2">
        <v>0</v>
      </c>
      <c r="F1041" s="2">
        <v>8.6</v>
      </c>
    </row>
    <row r="1042" spans="1:10">
      <c r="A1042" s="2" t="s">
        <v>141</v>
      </c>
      <c r="B1042" s="2">
        <v>0</v>
      </c>
      <c r="C1042" s="2">
        <v>6.7</v>
      </c>
      <c r="D1042" s="60" t="s">
        <v>142</v>
      </c>
    </row>
    <row r="1043" spans="1:10">
      <c r="A1043" s="2" t="s">
        <v>141</v>
      </c>
      <c r="B1043" s="2">
        <v>0</v>
      </c>
      <c r="C1043" s="2">
        <v>19.848099999999999</v>
      </c>
      <c r="D1043" s="60" t="s">
        <v>146</v>
      </c>
    </row>
    <row r="1044" spans="1:10">
      <c r="A1044" s="2" t="s">
        <v>141</v>
      </c>
      <c r="B1044" s="2">
        <v>6.7</v>
      </c>
      <c r="C1044" s="2">
        <v>8.4</v>
      </c>
      <c r="D1044" s="60" t="s">
        <v>144</v>
      </c>
    </row>
    <row r="1045" spans="1:10">
      <c r="A1045" s="2" t="s">
        <v>141</v>
      </c>
      <c r="B1045" s="2">
        <v>8.4</v>
      </c>
      <c r="C1045" s="2">
        <v>19.848099999999999</v>
      </c>
      <c r="D1045" s="60" t="s">
        <v>147</v>
      </c>
    </row>
    <row r="1046" spans="1:10">
      <c r="A1046" s="2" t="s">
        <v>148</v>
      </c>
      <c r="B1046" s="2" t="s">
        <v>99</v>
      </c>
      <c r="C1046" s="2">
        <v>3.7168800000000002E-2</v>
      </c>
      <c r="D1046" s="60">
        <v>0</v>
      </c>
      <c r="E1046" s="2">
        <v>0</v>
      </c>
      <c r="F1046" s="2">
        <v>0.3</v>
      </c>
      <c r="G1046" s="2">
        <v>38.725900000000003</v>
      </c>
      <c r="H1046" s="2">
        <v>40.792700000000004</v>
      </c>
      <c r="I1046" s="2">
        <v>0</v>
      </c>
      <c r="J1046" s="2">
        <v>0</v>
      </c>
    </row>
    <row r="1047" spans="1:10">
      <c r="A1047" s="2" t="s">
        <v>148</v>
      </c>
      <c r="B1047" s="2" t="s">
        <v>101</v>
      </c>
      <c r="C1047" s="2">
        <v>1.67431E-2</v>
      </c>
      <c r="D1047" s="60">
        <v>0</v>
      </c>
      <c r="E1047" s="2">
        <v>8.3000000000000007</v>
      </c>
      <c r="F1047" s="2">
        <v>0.3</v>
      </c>
      <c r="G1047" s="2">
        <v>26.488900000000001</v>
      </c>
      <c r="H1047" s="2">
        <v>26.823699999999999</v>
      </c>
      <c r="I1047" s="2">
        <v>0</v>
      </c>
      <c r="J1047" s="2">
        <v>0</v>
      </c>
    </row>
    <row r="1048" spans="1:10">
      <c r="A1048" s="2" t="s">
        <v>148</v>
      </c>
      <c r="B1048" s="2" t="s">
        <v>60</v>
      </c>
      <c r="C1048" s="2">
        <v>0.26201200000000002</v>
      </c>
      <c r="D1048" s="60">
        <v>23.581099999999999</v>
      </c>
      <c r="E1048" s="2">
        <v>4.3</v>
      </c>
      <c r="F1048" s="2">
        <v>4</v>
      </c>
      <c r="G1048" s="2">
        <v>26.823699999999999</v>
      </c>
      <c r="H1048" s="2">
        <v>30.759899999999998</v>
      </c>
      <c r="I1048" s="2">
        <v>0</v>
      </c>
      <c r="J1048" s="2">
        <v>0</v>
      </c>
    </row>
    <row r="1049" spans="1:10">
      <c r="A1049" s="2" t="s">
        <v>148</v>
      </c>
      <c r="B1049" s="2" t="s">
        <v>59</v>
      </c>
      <c r="C1049" s="2">
        <v>0.35197600000000001</v>
      </c>
      <c r="D1049" s="60">
        <v>35.197600000000001</v>
      </c>
      <c r="E1049" s="2">
        <v>0.3</v>
      </c>
      <c r="F1049" s="2">
        <v>4</v>
      </c>
      <c r="G1049" s="2">
        <v>30.759899999999998</v>
      </c>
      <c r="H1049" s="2">
        <v>38.725900000000003</v>
      </c>
      <c r="I1049" s="2">
        <v>0</v>
      </c>
      <c r="J1049" s="2">
        <v>0</v>
      </c>
    </row>
    <row r="1050" spans="1:10">
      <c r="A1050" s="2" t="s">
        <v>138</v>
      </c>
      <c r="B1050" s="2">
        <v>21</v>
      </c>
      <c r="C1050" s="2">
        <v>19.519500000000001</v>
      </c>
      <c r="D1050" s="60" t="s">
        <v>129</v>
      </c>
      <c r="E1050" s="2" t="s">
        <v>149</v>
      </c>
    </row>
    <row r="1051" spans="1:10">
      <c r="A1051" s="2" t="s">
        <v>140</v>
      </c>
      <c r="B1051" s="2">
        <v>0</v>
      </c>
      <c r="C1051" s="2">
        <v>51.741399999999999</v>
      </c>
      <c r="D1051" s="60">
        <v>26.189499999999999</v>
      </c>
    </row>
    <row r="1052" spans="1:10">
      <c r="A1052" s="2" t="s">
        <v>141</v>
      </c>
      <c r="B1052" s="2">
        <v>0</v>
      </c>
      <c r="C1052" s="2">
        <v>2.5</v>
      </c>
      <c r="D1052" s="60" t="s">
        <v>142</v>
      </c>
    </row>
    <row r="1053" spans="1:10">
      <c r="A1053" s="2" t="s">
        <v>141</v>
      </c>
      <c r="B1053" s="2">
        <v>0</v>
      </c>
      <c r="C1053" s="2">
        <v>2.5</v>
      </c>
      <c r="D1053" s="60" t="s">
        <v>158</v>
      </c>
    </row>
    <row r="1054" spans="1:10">
      <c r="A1054" s="2" t="s">
        <v>141</v>
      </c>
      <c r="B1054" s="2">
        <v>0</v>
      </c>
      <c r="C1054" s="2">
        <v>11.5</v>
      </c>
      <c r="D1054" s="60" t="s">
        <v>146</v>
      </c>
    </row>
    <row r="1055" spans="1:10">
      <c r="A1055" s="2" t="s">
        <v>141</v>
      </c>
      <c r="B1055" s="2">
        <v>2.5</v>
      </c>
      <c r="C1055" s="2">
        <v>3</v>
      </c>
      <c r="D1055" s="60" t="s">
        <v>177</v>
      </c>
    </row>
    <row r="1056" spans="1:10">
      <c r="A1056" s="2" t="s">
        <v>141</v>
      </c>
      <c r="B1056" s="2">
        <v>2.5</v>
      </c>
      <c r="C1056" s="2">
        <v>9.6999999999999993</v>
      </c>
      <c r="D1056" s="60" t="s">
        <v>144</v>
      </c>
    </row>
    <row r="1057" spans="1:10">
      <c r="A1057" s="2" t="s">
        <v>141</v>
      </c>
      <c r="B1057" s="2">
        <v>9.6999999999999993</v>
      </c>
      <c r="C1057" s="2">
        <v>11.5</v>
      </c>
      <c r="D1057" s="60" t="s">
        <v>151</v>
      </c>
    </row>
    <row r="1058" spans="1:10">
      <c r="A1058" s="2" t="s">
        <v>141</v>
      </c>
      <c r="B1058" s="2">
        <v>11.5</v>
      </c>
      <c r="C1058" s="2">
        <v>20.8523</v>
      </c>
      <c r="D1058" s="60" t="s">
        <v>144</v>
      </c>
    </row>
    <row r="1059" spans="1:10">
      <c r="A1059" s="2" t="s">
        <v>141</v>
      </c>
      <c r="B1059" s="2">
        <v>11.5</v>
      </c>
      <c r="C1059" s="2">
        <v>20.8523</v>
      </c>
      <c r="D1059" s="60" t="s">
        <v>152</v>
      </c>
    </row>
    <row r="1060" spans="1:10">
      <c r="A1060" s="2" t="s">
        <v>148</v>
      </c>
      <c r="B1060" s="2" t="s">
        <v>99</v>
      </c>
      <c r="C1060" s="2">
        <v>6.38991E-2</v>
      </c>
      <c r="D1060" s="60">
        <v>0</v>
      </c>
      <c r="E1060" s="2">
        <v>0</v>
      </c>
      <c r="F1060" s="2">
        <v>0.3</v>
      </c>
      <c r="G1060" s="2">
        <v>50.833199999999998</v>
      </c>
      <c r="H1060" s="2">
        <v>53.418599999999998</v>
      </c>
      <c r="I1060" s="2">
        <v>0</v>
      </c>
      <c r="J1060" s="2">
        <v>0</v>
      </c>
    </row>
    <row r="1061" spans="1:10">
      <c r="A1061" s="2" t="s">
        <v>148</v>
      </c>
      <c r="B1061" s="2" t="s">
        <v>100</v>
      </c>
      <c r="C1061" s="2">
        <v>1.3140300000000001E-2</v>
      </c>
      <c r="D1061" s="60">
        <v>0</v>
      </c>
      <c r="E1061" s="2">
        <v>22.3401</v>
      </c>
      <c r="F1061" s="2">
        <v>3.8494600000000001</v>
      </c>
      <c r="G1061" s="2">
        <v>0</v>
      </c>
      <c r="H1061" s="2">
        <v>10</v>
      </c>
      <c r="I1061" s="2">
        <v>0</v>
      </c>
      <c r="J1061" s="2">
        <v>0</v>
      </c>
    </row>
    <row r="1062" spans="1:10">
      <c r="A1062" s="2" t="s">
        <v>148</v>
      </c>
      <c r="B1062" s="2" t="s">
        <v>98</v>
      </c>
      <c r="C1062" s="2">
        <v>1.0799400000000001E-2</v>
      </c>
      <c r="D1062" s="60">
        <v>0</v>
      </c>
      <c r="E1062" s="2">
        <v>21.224599999999999</v>
      </c>
      <c r="F1062" s="2">
        <v>1.1154200000000001</v>
      </c>
      <c r="G1062" s="2">
        <v>10</v>
      </c>
      <c r="H1062" s="2">
        <v>12.1813</v>
      </c>
      <c r="I1062" s="2">
        <v>0</v>
      </c>
      <c r="J1062" s="2">
        <v>0</v>
      </c>
    </row>
    <row r="1063" spans="1:10">
      <c r="A1063" s="2" t="s">
        <v>148</v>
      </c>
      <c r="B1063" s="2" t="s">
        <v>101</v>
      </c>
      <c r="C1063" s="2">
        <v>2.8834200000000003E-4</v>
      </c>
      <c r="D1063" s="60">
        <v>0</v>
      </c>
      <c r="E1063" s="2">
        <v>21.2</v>
      </c>
      <c r="F1063" s="2">
        <v>2.4642799999999999E-2</v>
      </c>
      <c r="G1063" s="2">
        <v>12.1813</v>
      </c>
      <c r="H1063" s="2">
        <v>12.2302</v>
      </c>
      <c r="I1063" s="2">
        <v>0</v>
      </c>
      <c r="J1063" s="2">
        <v>0</v>
      </c>
    </row>
    <row r="1064" spans="1:10">
      <c r="A1064" s="2" t="s">
        <v>148</v>
      </c>
      <c r="B1064" s="2" t="s">
        <v>64</v>
      </c>
      <c r="C1064" s="2">
        <v>9.1734399999999994E-2</v>
      </c>
      <c r="D1064" s="60">
        <v>2.75203</v>
      </c>
      <c r="E1064" s="2">
        <v>17</v>
      </c>
      <c r="F1064" s="2">
        <v>4.2</v>
      </c>
      <c r="G1064" s="2">
        <v>12.2302</v>
      </c>
      <c r="H1064" s="2">
        <v>20.7791</v>
      </c>
      <c r="I1064" s="2">
        <v>0</v>
      </c>
      <c r="J1064" s="2">
        <v>0</v>
      </c>
    </row>
    <row r="1065" spans="1:10">
      <c r="A1065" s="2" t="s">
        <v>148</v>
      </c>
      <c r="B1065" s="2" t="s">
        <v>64</v>
      </c>
      <c r="C1065" s="2">
        <v>0.33599800000000002</v>
      </c>
      <c r="D1065" s="60">
        <v>10.0799</v>
      </c>
      <c r="E1065" s="2">
        <v>11</v>
      </c>
      <c r="F1065" s="2">
        <v>6</v>
      </c>
      <c r="G1065" s="2">
        <v>20.7791</v>
      </c>
      <c r="H1065" s="2">
        <v>31.7941</v>
      </c>
      <c r="I1065" s="2">
        <v>0</v>
      </c>
      <c r="J1065" s="2">
        <v>0</v>
      </c>
    </row>
    <row r="1066" spans="1:10">
      <c r="A1066" s="2" t="s">
        <v>148</v>
      </c>
      <c r="B1066" s="2" t="s">
        <v>62</v>
      </c>
      <c r="C1066" s="2">
        <v>0.37939000000000001</v>
      </c>
      <c r="D1066" s="60">
        <v>30.351199999999999</v>
      </c>
      <c r="E1066" s="2">
        <v>7</v>
      </c>
      <c r="F1066" s="2">
        <v>4</v>
      </c>
      <c r="G1066" s="2">
        <v>31.7941</v>
      </c>
      <c r="H1066" s="2">
        <v>37.3932</v>
      </c>
      <c r="I1066" s="2">
        <v>0</v>
      </c>
      <c r="J1066" s="2">
        <v>0</v>
      </c>
    </row>
    <row r="1067" spans="1:10">
      <c r="A1067" s="2" t="s">
        <v>148</v>
      </c>
      <c r="B1067" s="2" t="s">
        <v>59</v>
      </c>
      <c r="C1067" s="2">
        <v>0.49693900000000002</v>
      </c>
      <c r="D1067" s="60">
        <v>49.693899999999999</v>
      </c>
      <c r="E1067" s="2">
        <v>3</v>
      </c>
      <c r="F1067" s="2">
        <v>4</v>
      </c>
      <c r="G1067" s="2">
        <v>37.3932</v>
      </c>
      <c r="H1067" s="2">
        <v>42.159100000000002</v>
      </c>
      <c r="I1067" s="2">
        <v>0</v>
      </c>
      <c r="J1067" s="2">
        <v>0</v>
      </c>
    </row>
    <row r="1068" spans="1:10">
      <c r="A1068" s="2" t="s">
        <v>148</v>
      </c>
      <c r="B1068" s="2" t="s">
        <v>101</v>
      </c>
      <c r="C1068" s="2">
        <v>0.43521799999999999</v>
      </c>
      <c r="D1068" s="60">
        <v>0</v>
      </c>
      <c r="E1068" s="2">
        <v>0.3</v>
      </c>
      <c r="F1068" s="2">
        <v>2.7</v>
      </c>
      <c r="G1068" s="2">
        <v>42.159100000000002</v>
      </c>
      <c r="H1068" s="2">
        <v>50.833199999999998</v>
      </c>
      <c r="I1068" s="2">
        <v>0</v>
      </c>
      <c r="J1068" s="2">
        <v>0</v>
      </c>
    </row>
    <row r="1069" spans="1:10">
      <c r="A1069" s="2" t="s">
        <v>130</v>
      </c>
      <c r="B1069" s="2" t="s">
        <v>131</v>
      </c>
      <c r="C1069" s="2" t="s">
        <v>162</v>
      </c>
      <c r="D1069" s="60" t="s">
        <v>133</v>
      </c>
      <c r="E1069" s="2">
        <v>11</v>
      </c>
      <c r="F1069" s="2">
        <v>2016</v>
      </c>
    </row>
    <row r="1070" spans="1:10">
      <c r="A1070" s="2" t="s">
        <v>179</v>
      </c>
      <c r="B1070" s="2" t="s">
        <v>168</v>
      </c>
      <c r="C1070" s="2" t="s">
        <v>180</v>
      </c>
      <c r="D1070" s="60" t="s">
        <v>181</v>
      </c>
      <c r="E1070" s="2" t="s">
        <v>182</v>
      </c>
      <c r="F1070" s="2" t="s">
        <v>183</v>
      </c>
      <c r="G1070" s="2" t="s">
        <v>184</v>
      </c>
      <c r="H1070" s="2" t="s">
        <v>185</v>
      </c>
    </row>
    <row r="1071" spans="1:10">
      <c r="A1071" s="2" t="s">
        <v>134</v>
      </c>
      <c r="B1071" s="2" t="s">
        <v>68</v>
      </c>
      <c r="C1071" s="2">
        <v>28</v>
      </c>
      <c r="D1071" s="60" t="s">
        <v>186</v>
      </c>
      <c r="E1071" s="2" t="s">
        <v>187</v>
      </c>
      <c r="F1071" s="2" t="s">
        <v>188</v>
      </c>
      <c r="G1071" s="2" t="s">
        <v>128</v>
      </c>
      <c r="H1071" s="2" t="s">
        <v>172</v>
      </c>
      <c r="I1071" s="2" t="s">
        <v>189</v>
      </c>
    </row>
    <row r="1072" spans="1:10">
      <c r="A1072" s="2" t="s">
        <v>138</v>
      </c>
      <c r="B1072" s="2">
        <v>1</v>
      </c>
      <c r="C1072" s="2">
        <v>19.5124</v>
      </c>
      <c r="D1072" s="60" t="s">
        <v>129</v>
      </c>
      <c r="E1072" s="2" t="s">
        <v>149</v>
      </c>
    </row>
    <row r="1073" spans="1:10">
      <c r="A1073" s="2" t="s">
        <v>140</v>
      </c>
      <c r="B1073" s="2">
        <v>0</v>
      </c>
      <c r="C1073" s="2">
        <v>54.124899999999997</v>
      </c>
      <c r="D1073" s="60">
        <v>26.456099999999999</v>
      </c>
    </row>
    <row r="1074" spans="1:10">
      <c r="A1074" s="2" t="s">
        <v>141</v>
      </c>
      <c r="B1074" s="2">
        <v>0</v>
      </c>
      <c r="C1074" s="2">
        <v>6</v>
      </c>
      <c r="D1074" s="60" t="s">
        <v>142</v>
      </c>
    </row>
    <row r="1075" spans="1:10">
      <c r="A1075" s="2" t="s">
        <v>141</v>
      </c>
      <c r="B1075" s="2">
        <v>0</v>
      </c>
      <c r="C1075" s="2">
        <v>10.3</v>
      </c>
      <c r="D1075" s="60" t="s">
        <v>146</v>
      </c>
    </row>
    <row r="1076" spans="1:10">
      <c r="A1076" s="2" t="s">
        <v>141</v>
      </c>
      <c r="B1076" s="2">
        <v>6</v>
      </c>
      <c r="C1076" s="2">
        <v>8.3000000000000007</v>
      </c>
      <c r="D1076" s="60" t="s">
        <v>144</v>
      </c>
    </row>
    <row r="1077" spans="1:10">
      <c r="A1077" s="2" t="s">
        <v>141</v>
      </c>
      <c r="B1077" s="2">
        <v>8.3000000000000007</v>
      </c>
      <c r="C1077" s="2">
        <v>15</v>
      </c>
      <c r="D1077" s="60" t="s">
        <v>145</v>
      </c>
    </row>
    <row r="1078" spans="1:10">
      <c r="A1078" s="2" t="s">
        <v>141</v>
      </c>
      <c r="B1078" s="2">
        <v>10.3</v>
      </c>
      <c r="C1078" s="2">
        <v>10.8</v>
      </c>
      <c r="D1078" s="60" t="s">
        <v>159</v>
      </c>
    </row>
    <row r="1079" spans="1:10">
      <c r="A1079" s="2" t="s">
        <v>141</v>
      </c>
      <c r="B1079" s="2">
        <v>10.8</v>
      </c>
      <c r="C1079" s="2">
        <v>21.065999999999999</v>
      </c>
      <c r="D1079" s="60" t="s">
        <v>146</v>
      </c>
    </row>
    <row r="1080" spans="1:10">
      <c r="A1080" s="2" t="s">
        <v>141</v>
      </c>
      <c r="B1080" s="2">
        <v>15</v>
      </c>
      <c r="C1080" s="2">
        <v>21.065999999999999</v>
      </c>
      <c r="D1080" s="60" t="s">
        <v>144</v>
      </c>
    </row>
    <row r="1081" spans="1:10">
      <c r="A1081" s="2" t="s">
        <v>148</v>
      </c>
      <c r="B1081" s="2" t="s">
        <v>99</v>
      </c>
      <c r="C1081" s="2">
        <v>6.9308800000000004E-2</v>
      </c>
      <c r="D1081" s="60">
        <v>0</v>
      </c>
      <c r="E1081" s="2">
        <v>0</v>
      </c>
      <c r="F1081" s="2">
        <v>0.3</v>
      </c>
      <c r="G1081" s="2">
        <v>52.952500000000001</v>
      </c>
      <c r="H1081" s="2">
        <v>55.620600000000003</v>
      </c>
      <c r="I1081" s="2">
        <v>0</v>
      </c>
      <c r="J1081" s="2">
        <v>0</v>
      </c>
    </row>
    <row r="1082" spans="1:10">
      <c r="A1082" s="2" t="s">
        <v>148</v>
      </c>
      <c r="B1082" s="2" t="s">
        <v>100</v>
      </c>
      <c r="C1082" s="2">
        <v>1.2687E-2</v>
      </c>
      <c r="D1082" s="60">
        <v>0</v>
      </c>
      <c r="E1082" s="2">
        <v>22.775700000000001</v>
      </c>
      <c r="F1082" s="2">
        <v>3.6803900000000001</v>
      </c>
      <c r="G1082" s="2">
        <v>0</v>
      </c>
      <c r="H1082" s="2">
        <v>10</v>
      </c>
      <c r="I1082" s="2">
        <v>0</v>
      </c>
      <c r="J1082" s="2">
        <v>0</v>
      </c>
    </row>
    <row r="1083" spans="1:10">
      <c r="A1083" s="2" t="s">
        <v>148</v>
      </c>
      <c r="B1083" s="2" t="s">
        <v>98</v>
      </c>
      <c r="C1083" s="2">
        <v>4.2485200000000001E-2</v>
      </c>
      <c r="D1083" s="60">
        <v>0</v>
      </c>
      <c r="E1083" s="2">
        <v>19.694500000000001</v>
      </c>
      <c r="F1083" s="2">
        <v>3.08114</v>
      </c>
      <c r="G1083" s="2">
        <v>10</v>
      </c>
      <c r="H1083" s="2">
        <v>16.319400000000002</v>
      </c>
      <c r="I1083" s="2">
        <v>0</v>
      </c>
      <c r="J1083" s="2">
        <v>0</v>
      </c>
    </row>
    <row r="1084" spans="1:10">
      <c r="A1084" s="2" t="s">
        <v>148</v>
      </c>
      <c r="B1084" s="2" t="s">
        <v>101</v>
      </c>
      <c r="C1084" s="2">
        <v>2.0961199999999999E-2</v>
      </c>
      <c r="D1084" s="60">
        <v>0</v>
      </c>
      <c r="E1084" s="2">
        <v>18.8</v>
      </c>
      <c r="F1084" s="2">
        <v>0.89453499999999997</v>
      </c>
      <c r="G1084" s="2">
        <v>16.319400000000002</v>
      </c>
      <c r="H1084" s="2">
        <v>18.2102</v>
      </c>
      <c r="I1084" s="2">
        <v>0</v>
      </c>
      <c r="J1084" s="2">
        <v>0</v>
      </c>
    </row>
    <row r="1085" spans="1:10">
      <c r="A1085" s="2" t="s">
        <v>148</v>
      </c>
      <c r="B1085" s="2" t="s">
        <v>61</v>
      </c>
      <c r="C1085" s="2">
        <v>0.159196</v>
      </c>
      <c r="D1085" s="60">
        <v>13.531599999999999</v>
      </c>
      <c r="E1085" s="2">
        <v>14.8</v>
      </c>
      <c r="F1085" s="2">
        <v>4</v>
      </c>
      <c r="G1085" s="2">
        <v>18.2102</v>
      </c>
      <c r="H1085" s="2">
        <v>26.450900000000001</v>
      </c>
      <c r="I1085" s="2">
        <v>0</v>
      </c>
      <c r="J1085" s="2">
        <v>0</v>
      </c>
    </row>
    <row r="1086" spans="1:10">
      <c r="A1086" s="2" t="s">
        <v>148</v>
      </c>
      <c r="B1086" s="2" t="s">
        <v>60</v>
      </c>
      <c r="C1086" s="2">
        <v>0.286912</v>
      </c>
      <c r="D1086" s="60">
        <v>25.822099999999999</v>
      </c>
      <c r="E1086" s="2">
        <v>10.8</v>
      </c>
      <c r="F1086" s="2">
        <v>4</v>
      </c>
      <c r="G1086" s="2">
        <v>26.450900000000001</v>
      </c>
      <c r="H1086" s="2">
        <v>33.6098</v>
      </c>
      <c r="I1086" s="2">
        <v>0</v>
      </c>
      <c r="J1086" s="2">
        <v>0</v>
      </c>
    </row>
    <row r="1087" spans="1:10">
      <c r="A1087" s="2" t="s">
        <v>148</v>
      </c>
      <c r="B1087" s="2" t="s">
        <v>101</v>
      </c>
      <c r="C1087" s="2">
        <v>4.5415700000000003E-2</v>
      </c>
      <c r="D1087" s="60">
        <v>0</v>
      </c>
      <c r="E1087" s="2">
        <v>10.3</v>
      </c>
      <c r="F1087" s="2">
        <v>0.5</v>
      </c>
      <c r="G1087" s="2">
        <v>33.6098</v>
      </c>
      <c r="H1087" s="2">
        <v>34.3994</v>
      </c>
      <c r="I1087" s="2">
        <v>0</v>
      </c>
      <c r="J1087" s="2">
        <v>0</v>
      </c>
    </row>
    <row r="1088" spans="1:10">
      <c r="A1088" s="2" t="s">
        <v>148</v>
      </c>
      <c r="B1088" s="2" t="s">
        <v>59</v>
      </c>
      <c r="C1088" s="2">
        <v>0.70217700000000005</v>
      </c>
      <c r="D1088" s="60">
        <v>70.217699999999994</v>
      </c>
      <c r="E1088" s="2">
        <v>4.3</v>
      </c>
      <c r="F1088" s="2">
        <v>6</v>
      </c>
      <c r="G1088" s="2">
        <v>34.3994</v>
      </c>
      <c r="H1088" s="2">
        <v>42.27</v>
      </c>
      <c r="I1088" s="2">
        <v>0</v>
      </c>
      <c r="J1088" s="2">
        <v>0</v>
      </c>
    </row>
    <row r="1089" spans="1:10">
      <c r="A1089" s="2" t="s">
        <v>148</v>
      </c>
      <c r="B1089" s="2" t="s">
        <v>55</v>
      </c>
      <c r="C1089" s="2">
        <v>0.66219499999999998</v>
      </c>
      <c r="D1089" s="60">
        <v>96.018199999999993</v>
      </c>
      <c r="E1089" s="2">
        <v>0.3</v>
      </c>
      <c r="F1089" s="2">
        <v>4</v>
      </c>
      <c r="G1089" s="2">
        <v>42.27</v>
      </c>
      <c r="H1089" s="2">
        <v>52.952500000000001</v>
      </c>
      <c r="I1089" s="2">
        <v>0</v>
      </c>
      <c r="J1089" s="2">
        <v>0</v>
      </c>
    </row>
    <row r="1090" spans="1:10">
      <c r="A1090" s="2" t="s">
        <v>138</v>
      </c>
      <c r="B1090" s="2">
        <v>2</v>
      </c>
      <c r="C1090" s="2">
        <v>18.734999999999999</v>
      </c>
      <c r="D1090" s="60" t="s">
        <v>129</v>
      </c>
      <c r="E1090" s="2" t="s">
        <v>149</v>
      </c>
    </row>
    <row r="1091" spans="1:10">
      <c r="A1091" s="2" t="s">
        <v>140</v>
      </c>
      <c r="B1091" s="2">
        <v>0</v>
      </c>
      <c r="C1091" s="2">
        <v>39.889200000000002</v>
      </c>
      <c r="D1091" s="60">
        <v>25.1693</v>
      </c>
    </row>
    <row r="1092" spans="1:10">
      <c r="A1092" s="2" t="s">
        <v>141</v>
      </c>
      <c r="B1092" s="2">
        <v>0</v>
      </c>
      <c r="C1092" s="2">
        <v>1.7</v>
      </c>
      <c r="D1092" s="60" t="s">
        <v>142</v>
      </c>
    </row>
    <row r="1093" spans="1:10">
      <c r="A1093" s="2" t="s">
        <v>141</v>
      </c>
      <c r="B1093" s="2">
        <v>0</v>
      </c>
      <c r="C1093" s="2">
        <v>3.4</v>
      </c>
      <c r="D1093" s="60" t="s">
        <v>146</v>
      </c>
    </row>
    <row r="1094" spans="1:10">
      <c r="A1094" s="2" t="s">
        <v>141</v>
      </c>
      <c r="B1094" s="2">
        <v>1.7</v>
      </c>
      <c r="C1094" s="2">
        <v>3</v>
      </c>
      <c r="D1094" s="60" t="s">
        <v>144</v>
      </c>
    </row>
    <row r="1095" spans="1:10">
      <c r="A1095" s="2" t="s">
        <v>141</v>
      </c>
      <c r="B1095" s="2">
        <v>3</v>
      </c>
      <c r="C1095" s="2">
        <v>3.3</v>
      </c>
      <c r="D1095" s="60" t="s">
        <v>147</v>
      </c>
    </row>
    <row r="1096" spans="1:10">
      <c r="A1096" s="2" t="s">
        <v>141</v>
      </c>
      <c r="B1096" s="2">
        <v>3.3</v>
      </c>
      <c r="C1096" s="2">
        <v>8.1</v>
      </c>
      <c r="D1096" s="60" t="s">
        <v>144</v>
      </c>
    </row>
    <row r="1097" spans="1:10">
      <c r="A1097" s="2" t="s">
        <v>141</v>
      </c>
      <c r="B1097" s="2">
        <v>3.4</v>
      </c>
      <c r="C1097" s="2">
        <v>3.9</v>
      </c>
      <c r="D1097" s="60" t="s">
        <v>159</v>
      </c>
    </row>
    <row r="1098" spans="1:10">
      <c r="A1098" s="2" t="s">
        <v>141</v>
      </c>
      <c r="B1098" s="2">
        <v>3.9</v>
      </c>
      <c r="C1098" s="2">
        <v>9.6999999999999993</v>
      </c>
      <c r="D1098" s="60" t="s">
        <v>146</v>
      </c>
    </row>
    <row r="1099" spans="1:10">
      <c r="A1099" s="2" t="s">
        <v>141</v>
      </c>
      <c r="B1099" s="2">
        <v>8.1</v>
      </c>
      <c r="C1099" s="2">
        <v>9.6999999999999993</v>
      </c>
      <c r="D1099" s="60" t="s">
        <v>147</v>
      </c>
    </row>
    <row r="1100" spans="1:10">
      <c r="A1100" s="2" t="s">
        <v>141</v>
      </c>
      <c r="B1100" s="2">
        <v>9.6999999999999993</v>
      </c>
      <c r="C1100" s="2">
        <v>10</v>
      </c>
      <c r="D1100" s="60" t="s">
        <v>153</v>
      </c>
    </row>
    <row r="1101" spans="1:10">
      <c r="A1101" s="2" t="s">
        <v>141</v>
      </c>
      <c r="B1101" s="2">
        <v>9.6999999999999993</v>
      </c>
      <c r="C1101" s="2">
        <v>10</v>
      </c>
      <c r="D1101" s="60" t="s">
        <v>154</v>
      </c>
    </row>
    <row r="1102" spans="1:10">
      <c r="A1102" s="2" t="s">
        <v>141</v>
      </c>
      <c r="B1102" s="2">
        <v>9.6999999999999993</v>
      </c>
      <c r="C1102" s="2">
        <v>20.114000000000001</v>
      </c>
      <c r="D1102" s="60" t="s">
        <v>144</v>
      </c>
    </row>
    <row r="1103" spans="1:10">
      <c r="A1103" s="2" t="s">
        <v>141</v>
      </c>
      <c r="B1103" s="2">
        <v>9.6999999999999993</v>
      </c>
      <c r="C1103" s="2">
        <v>20.114000000000001</v>
      </c>
      <c r="D1103" s="60" t="s">
        <v>161</v>
      </c>
    </row>
    <row r="1104" spans="1:10">
      <c r="A1104" s="2" t="s">
        <v>156</v>
      </c>
      <c r="B1104" s="2">
        <v>9.6999999999999993</v>
      </c>
      <c r="C1104" s="2">
        <v>33.285699999999999</v>
      </c>
    </row>
    <row r="1105" spans="1:10">
      <c r="A1105" s="2" t="s">
        <v>148</v>
      </c>
      <c r="B1105" s="2" t="s">
        <v>99</v>
      </c>
      <c r="C1105" s="2">
        <v>4.00065E-2</v>
      </c>
      <c r="D1105" s="60">
        <v>0</v>
      </c>
      <c r="E1105" s="2">
        <v>0</v>
      </c>
      <c r="F1105" s="2">
        <v>0.3</v>
      </c>
      <c r="G1105" s="2">
        <v>40.188000000000002</v>
      </c>
      <c r="H1105" s="2">
        <v>42.308199999999999</v>
      </c>
      <c r="I1105" s="2">
        <v>0</v>
      </c>
      <c r="J1105" s="2">
        <v>0</v>
      </c>
    </row>
    <row r="1106" spans="1:10">
      <c r="A1106" s="2" t="s">
        <v>148</v>
      </c>
      <c r="B1106" s="2" t="s">
        <v>100</v>
      </c>
      <c r="C1106" s="2">
        <v>1.87358E-2</v>
      </c>
      <c r="D1106" s="60">
        <v>0</v>
      </c>
      <c r="E1106" s="2">
        <v>19.125599999999999</v>
      </c>
      <c r="F1106" s="2">
        <v>6.04373</v>
      </c>
      <c r="G1106" s="2">
        <v>0</v>
      </c>
      <c r="H1106" s="2">
        <v>10</v>
      </c>
      <c r="I1106" s="2">
        <v>0</v>
      </c>
      <c r="J1106" s="2">
        <v>0</v>
      </c>
    </row>
    <row r="1107" spans="1:10">
      <c r="A1107" s="2" t="s">
        <v>148</v>
      </c>
      <c r="B1107" s="2" t="s">
        <v>98</v>
      </c>
      <c r="C1107" s="2">
        <v>1.0951000000000001E-2</v>
      </c>
      <c r="D1107" s="60">
        <v>0</v>
      </c>
      <c r="E1107" s="2">
        <v>17.943000000000001</v>
      </c>
      <c r="F1107" s="2">
        <v>1.1825600000000001</v>
      </c>
      <c r="G1107" s="2">
        <v>10</v>
      </c>
      <c r="H1107" s="2">
        <v>11.697100000000001</v>
      </c>
      <c r="I1107" s="2">
        <v>0</v>
      </c>
      <c r="J1107" s="2">
        <v>0</v>
      </c>
    </row>
    <row r="1108" spans="1:10">
      <c r="A1108" s="2" t="s">
        <v>148</v>
      </c>
      <c r="B1108" s="2" t="s">
        <v>101</v>
      </c>
      <c r="C1108" s="2">
        <v>0.30601400000000001</v>
      </c>
      <c r="D1108" s="60">
        <v>0</v>
      </c>
      <c r="E1108" s="2">
        <v>7.9</v>
      </c>
      <c r="F1108" s="2">
        <v>10.042999999999999</v>
      </c>
      <c r="G1108" s="2">
        <v>11.697100000000001</v>
      </c>
      <c r="H1108" s="2">
        <v>28.381900000000002</v>
      </c>
      <c r="I1108" s="2">
        <v>0</v>
      </c>
      <c r="J1108" s="2">
        <v>0</v>
      </c>
    </row>
    <row r="1109" spans="1:10">
      <c r="A1109" s="2" t="s">
        <v>148</v>
      </c>
      <c r="B1109" s="2" t="s">
        <v>60</v>
      </c>
      <c r="C1109" s="2">
        <v>0.29089999999999999</v>
      </c>
      <c r="D1109" s="60">
        <v>26.181000000000001</v>
      </c>
      <c r="E1109" s="2">
        <v>3.9</v>
      </c>
      <c r="F1109" s="2">
        <v>4</v>
      </c>
      <c r="G1109" s="2">
        <v>28.381900000000002</v>
      </c>
      <c r="H1109" s="2">
        <v>32.336399999999998</v>
      </c>
      <c r="I1109" s="2">
        <v>0</v>
      </c>
      <c r="J1109" s="2">
        <v>0</v>
      </c>
    </row>
    <row r="1110" spans="1:10">
      <c r="A1110" s="2" t="s">
        <v>148</v>
      </c>
      <c r="B1110" s="2" t="s">
        <v>101</v>
      </c>
      <c r="C1110" s="2">
        <v>0.34706900000000002</v>
      </c>
      <c r="D1110" s="60">
        <v>0</v>
      </c>
      <c r="E1110" s="2">
        <v>0.3</v>
      </c>
      <c r="F1110" s="2">
        <v>3.6</v>
      </c>
      <c r="G1110" s="2">
        <v>32.336399999999998</v>
      </c>
      <c r="H1110" s="2">
        <v>40.188000000000002</v>
      </c>
      <c r="I1110" s="2">
        <v>0</v>
      </c>
      <c r="J1110" s="2">
        <v>0</v>
      </c>
    </row>
    <row r="1111" spans="1:10">
      <c r="A1111" s="2" t="s">
        <v>140</v>
      </c>
      <c r="B1111" s="2">
        <v>1</v>
      </c>
      <c r="C1111" s="2">
        <v>17.420400000000001</v>
      </c>
      <c r="D1111" s="60">
        <v>25.1693</v>
      </c>
      <c r="E1111" s="2">
        <v>9.6999999999999993</v>
      </c>
    </row>
    <row r="1112" spans="1:10">
      <c r="A1112" s="2" t="s">
        <v>141</v>
      </c>
      <c r="B1112" s="2">
        <v>9.6999999999999993</v>
      </c>
      <c r="C1112" s="2">
        <v>10</v>
      </c>
      <c r="D1112" s="60" t="s">
        <v>153</v>
      </c>
    </row>
    <row r="1113" spans="1:10">
      <c r="A1113" s="2" t="s">
        <v>141</v>
      </c>
      <c r="B1113" s="2">
        <v>9.6999999999999993</v>
      </c>
      <c r="C1113" s="2">
        <v>20.114000000000001</v>
      </c>
      <c r="D1113" s="60" t="s">
        <v>144</v>
      </c>
    </row>
    <row r="1114" spans="1:10">
      <c r="A1114" s="2" t="s">
        <v>141</v>
      </c>
      <c r="B1114" s="2">
        <v>9.6999999999999993</v>
      </c>
      <c r="C1114" s="2">
        <v>20.114000000000001</v>
      </c>
      <c r="D1114" s="60" t="s">
        <v>161</v>
      </c>
    </row>
    <row r="1115" spans="1:10">
      <c r="A1115" s="2" t="s">
        <v>148</v>
      </c>
      <c r="B1115" s="2" t="s">
        <v>100</v>
      </c>
      <c r="C1115" s="2">
        <v>3.3647999999999997E-2</v>
      </c>
      <c r="D1115" s="60">
        <v>0</v>
      </c>
      <c r="E1115" s="2">
        <v>13.514099999999999</v>
      </c>
      <c r="F1115" s="2">
        <v>11.655200000000001</v>
      </c>
      <c r="G1115" s="2">
        <v>0</v>
      </c>
      <c r="H1115" s="2">
        <v>10</v>
      </c>
      <c r="I1115" s="2">
        <v>0</v>
      </c>
      <c r="J1115" s="2">
        <v>0</v>
      </c>
    </row>
    <row r="1116" spans="1:10">
      <c r="A1116" s="2" t="s">
        <v>148</v>
      </c>
      <c r="B1116" s="2" t="s">
        <v>101</v>
      </c>
      <c r="C1116" s="2">
        <v>3.8446399999999999E-2</v>
      </c>
      <c r="D1116" s="60">
        <v>0</v>
      </c>
      <c r="E1116" s="2">
        <v>9.6999999999999993</v>
      </c>
      <c r="F1116" s="2">
        <v>3.81412</v>
      </c>
      <c r="G1116" s="2">
        <v>10</v>
      </c>
      <c r="H1116" s="2">
        <v>12.520799999999999</v>
      </c>
      <c r="I1116" s="2">
        <v>0</v>
      </c>
      <c r="J1116" s="2">
        <v>0</v>
      </c>
    </row>
    <row r="1117" spans="1:10">
      <c r="A1117" s="2" t="s">
        <v>138</v>
      </c>
      <c r="B1117" s="2">
        <v>3</v>
      </c>
      <c r="C1117" s="2">
        <v>19.5702</v>
      </c>
      <c r="D1117" s="60" t="s">
        <v>129</v>
      </c>
      <c r="E1117" s="2" t="s">
        <v>149</v>
      </c>
    </row>
    <row r="1118" spans="1:10">
      <c r="A1118" s="2" t="s">
        <v>140</v>
      </c>
      <c r="B1118" s="2">
        <v>0</v>
      </c>
      <c r="C1118" s="2">
        <v>56.270699999999998</v>
      </c>
      <c r="D1118" s="60">
        <v>26.616900000000001</v>
      </c>
    </row>
    <row r="1119" spans="1:10">
      <c r="A1119" s="2" t="s">
        <v>141</v>
      </c>
      <c r="B1119" s="2">
        <v>0</v>
      </c>
      <c r="C1119" s="2">
        <v>1.5</v>
      </c>
      <c r="D1119" s="60" t="s">
        <v>142</v>
      </c>
    </row>
    <row r="1120" spans="1:10">
      <c r="A1120" s="2" t="s">
        <v>141</v>
      </c>
      <c r="B1120" s="2">
        <v>0</v>
      </c>
      <c r="C1120" s="2">
        <v>10.4</v>
      </c>
      <c r="D1120" s="60" t="s">
        <v>146</v>
      </c>
    </row>
    <row r="1121" spans="1:10">
      <c r="A1121" s="2" t="s">
        <v>141</v>
      </c>
      <c r="B1121" s="2">
        <v>1.5</v>
      </c>
      <c r="C1121" s="2">
        <v>3.6</v>
      </c>
      <c r="D1121" s="60" t="s">
        <v>144</v>
      </c>
    </row>
    <row r="1122" spans="1:10">
      <c r="A1122" s="2" t="s">
        <v>141</v>
      </c>
      <c r="B1122" s="2">
        <v>3.6</v>
      </c>
      <c r="C1122" s="2">
        <v>4.0999999999999996</v>
      </c>
      <c r="D1122" s="60" t="s">
        <v>190</v>
      </c>
    </row>
    <row r="1123" spans="1:10">
      <c r="A1123" s="2" t="s">
        <v>141</v>
      </c>
      <c r="B1123" s="2">
        <v>4.0999999999999996</v>
      </c>
      <c r="C1123" s="2">
        <v>5.7</v>
      </c>
      <c r="D1123" s="60" t="s">
        <v>144</v>
      </c>
    </row>
    <row r="1124" spans="1:10">
      <c r="A1124" s="2" t="s">
        <v>141</v>
      </c>
      <c r="B1124" s="2">
        <v>5.7</v>
      </c>
      <c r="C1124" s="2">
        <v>10.7</v>
      </c>
      <c r="D1124" s="60" t="s">
        <v>147</v>
      </c>
    </row>
    <row r="1125" spans="1:10">
      <c r="A1125" s="2" t="s">
        <v>141</v>
      </c>
      <c r="B1125" s="2">
        <v>10.4</v>
      </c>
      <c r="C1125" s="2">
        <v>21.184999999999999</v>
      </c>
      <c r="D1125" s="60" t="s">
        <v>161</v>
      </c>
    </row>
    <row r="1126" spans="1:10">
      <c r="A1126" s="2" t="s">
        <v>141</v>
      </c>
      <c r="B1126" s="2">
        <v>10.7</v>
      </c>
      <c r="C1126" s="2">
        <v>21.184999999999999</v>
      </c>
      <c r="D1126" s="60" t="s">
        <v>144</v>
      </c>
    </row>
    <row r="1127" spans="1:10">
      <c r="A1127" s="2" t="s">
        <v>148</v>
      </c>
      <c r="B1127" s="2" t="s">
        <v>99</v>
      </c>
      <c r="C1127" s="2">
        <v>7.4333800000000005E-2</v>
      </c>
      <c r="D1127" s="60">
        <v>0</v>
      </c>
      <c r="E1127" s="2">
        <v>0</v>
      </c>
      <c r="F1127" s="2">
        <v>0.3</v>
      </c>
      <c r="G1127" s="2">
        <v>54.845399999999998</v>
      </c>
      <c r="H1127" s="2">
        <v>57.593499999999999</v>
      </c>
      <c r="I1127" s="2">
        <v>0</v>
      </c>
      <c r="J1127" s="2">
        <v>0</v>
      </c>
    </row>
    <row r="1128" spans="1:10">
      <c r="A1128" s="2" t="s">
        <v>148</v>
      </c>
      <c r="B1128" s="2" t="s">
        <v>100</v>
      </c>
      <c r="C1128" s="2">
        <v>1.2262500000000001E-2</v>
      </c>
      <c r="D1128" s="60">
        <v>0</v>
      </c>
      <c r="E1128" s="2">
        <v>23.089099999999998</v>
      </c>
      <c r="F1128" s="2">
        <v>3.5278299999999998</v>
      </c>
      <c r="G1128" s="2">
        <v>0</v>
      </c>
      <c r="H1128" s="2">
        <v>10</v>
      </c>
      <c r="I1128" s="2">
        <v>0</v>
      </c>
      <c r="J1128" s="2">
        <v>0</v>
      </c>
    </row>
    <row r="1129" spans="1:10">
      <c r="A1129" s="2" t="s">
        <v>148</v>
      </c>
      <c r="B1129" s="2" t="s">
        <v>98</v>
      </c>
      <c r="C1129" s="2">
        <v>0.17155599999999999</v>
      </c>
      <c r="D1129" s="60">
        <v>0</v>
      </c>
      <c r="E1129" s="2">
        <v>16.203199999999999</v>
      </c>
      <c r="F1129" s="2">
        <v>6.8858699999999997</v>
      </c>
      <c r="G1129" s="2">
        <v>10</v>
      </c>
      <c r="H1129" s="2">
        <v>24.685300000000002</v>
      </c>
      <c r="I1129" s="2">
        <v>0</v>
      </c>
      <c r="J1129" s="2">
        <v>0</v>
      </c>
    </row>
    <row r="1130" spans="1:10">
      <c r="A1130" s="2" t="s">
        <v>148</v>
      </c>
      <c r="B1130" s="2" t="s">
        <v>101</v>
      </c>
      <c r="C1130" s="2">
        <v>0.45499899999999999</v>
      </c>
      <c r="D1130" s="60">
        <v>0</v>
      </c>
      <c r="E1130" s="2">
        <v>10.1</v>
      </c>
      <c r="F1130" s="2">
        <v>6.1032000000000002</v>
      </c>
      <c r="G1130" s="2">
        <v>24.685300000000002</v>
      </c>
      <c r="H1130" s="2">
        <v>36.036299999999997</v>
      </c>
      <c r="I1130" s="2">
        <v>0</v>
      </c>
      <c r="J1130" s="2">
        <v>0</v>
      </c>
    </row>
    <row r="1131" spans="1:10">
      <c r="A1131" s="2" t="s">
        <v>148</v>
      </c>
      <c r="B1131" s="2" t="s">
        <v>59</v>
      </c>
      <c r="C1131" s="2">
        <v>0.76521499999999998</v>
      </c>
      <c r="D1131" s="60">
        <v>76.521500000000003</v>
      </c>
      <c r="E1131" s="2">
        <v>4.0999999999999996</v>
      </c>
      <c r="F1131" s="2">
        <v>6</v>
      </c>
      <c r="G1131" s="2">
        <v>36.036299999999997</v>
      </c>
      <c r="H1131" s="2">
        <v>44.049300000000002</v>
      </c>
      <c r="I1131" s="2">
        <v>0</v>
      </c>
      <c r="J1131" s="2">
        <v>0</v>
      </c>
    </row>
    <row r="1132" spans="1:10">
      <c r="A1132" s="2" t="s">
        <v>148</v>
      </c>
      <c r="B1132" s="2" t="s">
        <v>64</v>
      </c>
      <c r="C1132" s="2">
        <v>0.68050699999999997</v>
      </c>
      <c r="D1132" s="60">
        <v>20.415199999999999</v>
      </c>
      <c r="E1132" s="2">
        <v>0.3</v>
      </c>
      <c r="F1132" s="2">
        <v>3.8</v>
      </c>
      <c r="G1132" s="2">
        <v>44.049300000000002</v>
      </c>
      <c r="H1132" s="2">
        <v>54.845399999999998</v>
      </c>
      <c r="I1132" s="2">
        <v>0</v>
      </c>
      <c r="J1132" s="2">
        <v>0</v>
      </c>
    </row>
    <row r="1133" spans="1:10">
      <c r="A1133" s="2" t="s">
        <v>138</v>
      </c>
      <c r="B1133" s="2">
        <v>4</v>
      </c>
      <c r="C1133" s="2">
        <v>19.471</v>
      </c>
      <c r="D1133" s="60" t="s">
        <v>129</v>
      </c>
      <c r="E1133" s="2" t="s">
        <v>139</v>
      </c>
    </row>
    <row r="1134" spans="1:10">
      <c r="A1134" s="2" t="s">
        <v>140</v>
      </c>
      <c r="B1134" s="2">
        <v>0</v>
      </c>
      <c r="C1134" s="2">
        <v>54.2684</v>
      </c>
      <c r="D1134" s="60">
        <v>25.0152</v>
      </c>
    </row>
    <row r="1135" spans="1:10">
      <c r="A1135" s="2" t="s">
        <v>141</v>
      </c>
      <c r="B1135" s="2">
        <v>0</v>
      </c>
      <c r="C1135" s="2">
        <v>1.5</v>
      </c>
      <c r="D1135" s="60" t="s">
        <v>157</v>
      </c>
    </row>
    <row r="1136" spans="1:10">
      <c r="A1136" s="2" t="s">
        <v>141</v>
      </c>
      <c r="B1136" s="2">
        <v>0</v>
      </c>
      <c r="C1136" s="2">
        <v>3.1</v>
      </c>
      <c r="D1136" s="60" t="s">
        <v>142</v>
      </c>
    </row>
    <row r="1137" spans="1:10">
      <c r="A1137" s="2" t="s">
        <v>141</v>
      </c>
      <c r="B1137" s="2">
        <v>0</v>
      </c>
      <c r="C1137" s="2">
        <v>9.1</v>
      </c>
      <c r="D1137" s="60" t="s">
        <v>146</v>
      </c>
    </row>
    <row r="1138" spans="1:10">
      <c r="A1138" s="2" t="s">
        <v>141</v>
      </c>
      <c r="B1138" s="2">
        <v>1.5</v>
      </c>
      <c r="C1138" s="2">
        <v>10.3</v>
      </c>
      <c r="D1138" s="60" t="s">
        <v>158</v>
      </c>
    </row>
    <row r="1139" spans="1:10">
      <c r="A1139" s="2" t="s">
        <v>141</v>
      </c>
      <c r="B1139" s="2">
        <v>3.1</v>
      </c>
      <c r="C1139" s="2">
        <v>7.2</v>
      </c>
      <c r="D1139" s="60" t="s">
        <v>144</v>
      </c>
    </row>
    <row r="1140" spans="1:10">
      <c r="A1140" s="2" t="s">
        <v>141</v>
      </c>
      <c r="B1140" s="2">
        <v>7.2</v>
      </c>
      <c r="C1140" s="2">
        <v>9.1</v>
      </c>
      <c r="D1140" s="60" t="s">
        <v>147</v>
      </c>
    </row>
    <row r="1141" spans="1:10">
      <c r="A1141" s="2" t="s">
        <v>141</v>
      </c>
      <c r="B1141" s="2">
        <v>9.1</v>
      </c>
      <c r="C1141" s="2">
        <v>10.6</v>
      </c>
      <c r="D1141" s="60" t="s">
        <v>152</v>
      </c>
    </row>
    <row r="1142" spans="1:10">
      <c r="A1142" s="2" t="s">
        <v>141</v>
      </c>
      <c r="B1142" s="2">
        <v>9.1</v>
      </c>
      <c r="C1142" s="2">
        <v>13</v>
      </c>
      <c r="D1142" s="60" t="s">
        <v>145</v>
      </c>
    </row>
    <row r="1143" spans="1:10">
      <c r="A1143" s="2" t="s">
        <v>141</v>
      </c>
      <c r="B1143" s="2">
        <v>10.3</v>
      </c>
      <c r="C1143" s="2">
        <v>10.6</v>
      </c>
      <c r="D1143" s="60" t="s">
        <v>160</v>
      </c>
    </row>
    <row r="1144" spans="1:10">
      <c r="A1144" s="2" t="s">
        <v>141</v>
      </c>
      <c r="B1144" s="2">
        <v>10.6</v>
      </c>
      <c r="C1144" s="2">
        <v>20</v>
      </c>
      <c r="D1144" s="60" t="s">
        <v>146</v>
      </c>
    </row>
    <row r="1145" spans="1:10">
      <c r="A1145" s="2" t="s">
        <v>141</v>
      </c>
      <c r="B1145" s="2">
        <v>13</v>
      </c>
      <c r="C1145" s="2">
        <v>20</v>
      </c>
      <c r="D1145" s="60" t="s">
        <v>144</v>
      </c>
    </row>
    <row r="1146" spans="1:10">
      <c r="A1146" s="2" t="s">
        <v>148</v>
      </c>
      <c r="B1146" s="2" t="s">
        <v>99</v>
      </c>
      <c r="C1146" s="2">
        <v>6.9401699999999997E-2</v>
      </c>
      <c r="D1146" s="60">
        <v>0</v>
      </c>
      <c r="E1146" s="2">
        <v>0</v>
      </c>
      <c r="F1146" s="2">
        <v>0.3</v>
      </c>
      <c r="G1146" s="2">
        <v>52.924599999999998</v>
      </c>
      <c r="H1146" s="2">
        <v>55.732599999999998</v>
      </c>
      <c r="I1146" s="2">
        <v>0</v>
      </c>
      <c r="J1146" s="2">
        <v>0</v>
      </c>
    </row>
    <row r="1147" spans="1:10">
      <c r="A1147" s="2" t="s">
        <v>148</v>
      </c>
      <c r="B1147" s="2" t="s">
        <v>100</v>
      </c>
      <c r="C1147" s="2">
        <v>1.1968700000000001E-2</v>
      </c>
      <c r="D1147" s="60">
        <v>0</v>
      </c>
      <c r="E1147" s="2">
        <v>21.544899999999998</v>
      </c>
      <c r="F1147" s="2">
        <v>3.4703200000000001</v>
      </c>
      <c r="G1147" s="2">
        <v>0</v>
      </c>
      <c r="H1147" s="2">
        <v>10</v>
      </c>
      <c r="I1147" s="2">
        <v>0</v>
      </c>
      <c r="J1147" s="2">
        <v>0</v>
      </c>
    </row>
    <row r="1148" spans="1:10">
      <c r="A1148" s="2" t="s">
        <v>148</v>
      </c>
      <c r="B1148" s="2" t="s">
        <v>98</v>
      </c>
      <c r="C1148" s="2">
        <v>0.173816</v>
      </c>
      <c r="D1148" s="60">
        <v>0</v>
      </c>
      <c r="E1148" s="2">
        <v>14.7164</v>
      </c>
      <c r="F1148" s="2">
        <v>6.8285600000000004</v>
      </c>
      <c r="G1148" s="2">
        <v>10</v>
      </c>
      <c r="H1148" s="2">
        <v>24.985600000000002</v>
      </c>
      <c r="I1148" s="2">
        <v>0</v>
      </c>
      <c r="J1148" s="2">
        <v>0</v>
      </c>
    </row>
    <row r="1149" spans="1:10">
      <c r="A1149" s="2" t="s">
        <v>148</v>
      </c>
      <c r="B1149" s="2" t="s">
        <v>101</v>
      </c>
      <c r="C1149" s="2">
        <v>5.7614700000000003E-3</v>
      </c>
      <c r="D1149" s="60">
        <v>0</v>
      </c>
      <c r="E1149" s="2">
        <v>14.6</v>
      </c>
      <c r="F1149" s="2">
        <v>0.116352</v>
      </c>
      <c r="G1149" s="2">
        <v>24.985600000000002</v>
      </c>
      <c r="H1149" s="2">
        <v>25.232700000000001</v>
      </c>
      <c r="I1149" s="2">
        <v>0</v>
      </c>
      <c r="J1149" s="2">
        <v>0</v>
      </c>
    </row>
    <row r="1150" spans="1:10">
      <c r="A1150" s="2" t="s">
        <v>148</v>
      </c>
      <c r="B1150" s="2" t="s">
        <v>60</v>
      </c>
      <c r="C1150" s="2">
        <v>0.270343</v>
      </c>
      <c r="D1150" s="60">
        <v>24.3309</v>
      </c>
      <c r="E1150" s="2">
        <v>10.6</v>
      </c>
      <c r="F1150" s="2">
        <v>4</v>
      </c>
      <c r="G1150" s="2">
        <v>25.232700000000001</v>
      </c>
      <c r="H1150" s="2">
        <v>33.009500000000003</v>
      </c>
      <c r="I1150" s="2">
        <v>0</v>
      </c>
      <c r="J1150" s="2">
        <v>0</v>
      </c>
    </row>
    <row r="1151" spans="1:10">
      <c r="A1151" s="2" t="s">
        <v>148</v>
      </c>
      <c r="B1151" s="2" t="s">
        <v>101</v>
      </c>
      <c r="C1151" s="2">
        <v>0.220438</v>
      </c>
      <c r="D1151" s="60">
        <v>0</v>
      </c>
      <c r="E1151" s="2">
        <v>8.3000000000000007</v>
      </c>
      <c r="F1151" s="2">
        <v>2.2999999999999998</v>
      </c>
      <c r="G1151" s="2">
        <v>33.009500000000003</v>
      </c>
      <c r="H1151" s="2">
        <v>36.727800000000002</v>
      </c>
      <c r="I1151" s="2">
        <v>0</v>
      </c>
      <c r="J1151" s="2">
        <v>0</v>
      </c>
    </row>
    <row r="1152" spans="1:10">
      <c r="A1152" s="2" t="s">
        <v>148</v>
      </c>
      <c r="B1152" s="2" t="s">
        <v>59</v>
      </c>
      <c r="C1152" s="2">
        <v>0.49042200000000002</v>
      </c>
      <c r="D1152" s="60">
        <v>49.042200000000001</v>
      </c>
      <c r="E1152" s="2">
        <v>4.3</v>
      </c>
      <c r="F1152" s="2">
        <v>4</v>
      </c>
      <c r="G1152" s="2">
        <v>36.727800000000002</v>
      </c>
      <c r="H1152" s="2">
        <v>42.060200000000002</v>
      </c>
      <c r="I1152" s="2">
        <v>0</v>
      </c>
      <c r="J1152" s="2">
        <v>0</v>
      </c>
    </row>
    <row r="1153" spans="1:10">
      <c r="A1153" s="2" t="s">
        <v>148</v>
      </c>
      <c r="B1153" s="2" t="s">
        <v>57</v>
      </c>
      <c r="C1153" s="2">
        <v>0.65781699999999999</v>
      </c>
      <c r="D1153" s="60">
        <v>78.938000000000002</v>
      </c>
      <c r="E1153" s="2">
        <v>0.3</v>
      </c>
      <c r="F1153" s="2">
        <v>4</v>
      </c>
      <c r="G1153" s="2">
        <v>42.060200000000002</v>
      </c>
      <c r="H1153" s="2">
        <v>52.924599999999998</v>
      </c>
      <c r="I1153" s="2">
        <v>0</v>
      </c>
      <c r="J1153" s="2">
        <v>0</v>
      </c>
    </row>
    <row r="1154" spans="1:10">
      <c r="A1154" s="2" t="s">
        <v>138</v>
      </c>
      <c r="B1154" s="2">
        <v>5</v>
      </c>
      <c r="C1154" s="2">
        <v>19.051500000000001</v>
      </c>
      <c r="D1154" s="60" t="s">
        <v>129</v>
      </c>
      <c r="E1154" s="2" t="s">
        <v>149</v>
      </c>
    </row>
    <row r="1155" spans="1:10">
      <c r="A1155" s="2" t="s">
        <v>140</v>
      </c>
      <c r="B1155" s="2">
        <v>0</v>
      </c>
      <c r="C1155" s="2">
        <v>43.8551</v>
      </c>
      <c r="D1155" s="60">
        <v>25.569800000000001</v>
      </c>
    </row>
    <row r="1156" spans="1:10">
      <c r="A1156" s="2" t="s">
        <v>141</v>
      </c>
      <c r="B1156" s="2">
        <v>0</v>
      </c>
      <c r="C1156" s="2">
        <v>3.2</v>
      </c>
      <c r="D1156" s="60" t="s">
        <v>158</v>
      </c>
    </row>
    <row r="1157" spans="1:10">
      <c r="A1157" s="2" t="s">
        <v>141</v>
      </c>
      <c r="B1157" s="2">
        <v>0</v>
      </c>
      <c r="C1157" s="2">
        <v>3.8</v>
      </c>
      <c r="D1157" s="60" t="s">
        <v>146</v>
      </c>
    </row>
    <row r="1158" spans="1:10">
      <c r="A1158" s="2" t="s">
        <v>141</v>
      </c>
      <c r="B1158" s="2">
        <v>0</v>
      </c>
      <c r="C1158" s="2">
        <v>4.9000000000000004</v>
      </c>
      <c r="D1158" s="60" t="s">
        <v>145</v>
      </c>
    </row>
    <row r="1159" spans="1:10">
      <c r="A1159" s="2" t="s">
        <v>141</v>
      </c>
      <c r="B1159" s="2">
        <v>3.2</v>
      </c>
      <c r="C1159" s="2">
        <v>3.8</v>
      </c>
      <c r="D1159" s="60" t="s">
        <v>177</v>
      </c>
    </row>
    <row r="1160" spans="1:10">
      <c r="A1160" s="2" t="s">
        <v>141</v>
      </c>
      <c r="B1160" s="2">
        <v>3.8</v>
      </c>
      <c r="C1160" s="2">
        <v>4.4000000000000004</v>
      </c>
      <c r="D1160" s="60" t="s">
        <v>159</v>
      </c>
    </row>
    <row r="1161" spans="1:10">
      <c r="A1161" s="2" t="s">
        <v>141</v>
      </c>
      <c r="B1161" s="2">
        <v>4.4000000000000004</v>
      </c>
      <c r="C1161" s="2">
        <v>6.3</v>
      </c>
      <c r="D1161" s="60" t="s">
        <v>155</v>
      </c>
    </row>
    <row r="1162" spans="1:10">
      <c r="A1162" s="2" t="s">
        <v>141</v>
      </c>
      <c r="B1162" s="2">
        <v>4.9000000000000004</v>
      </c>
      <c r="C1162" s="2">
        <v>5.4</v>
      </c>
      <c r="D1162" s="60" t="s">
        <v>151</v>
      </c>
    </row>
    <row r="1163" spans="1:10">
      <c r="A1163" s="2" t="s">
        <v>141</v>
      </c>
      <c r="B1163" s="2">
        <v>5.4</v>
      </c>
      <c r="C1163" s="2">
        <v>20.410299999999999</v>
      </c>
      <c r="D1163" s="60" t="s">
        <v>144</v>
      </c>
    </row>
    <row r="1164" spans="1:10">
      <c r="A1164" s="2" t="s">
        <v>141</v>
      </c>
      <c r="B1164" s="2">
        <v>6.3</v>
      </c>
      <c r="C1164" s="2">
        <v>6.8</v>
      </c>
      <c r="D1164" s="60" t="s">
        <v>159</v>
      </c>
    </row>
    <row r="1165" spans="1:10">
      <c r="A1165" s="2" t="s">
        <v>141</v>
      </c>
      <c r="B1165" s="2">
        <v>6.8</v>
      </c>
      <c r="C1165" s="2">
        <v>10.6</v>
      </c>
      <c r="D1165" s="60" t="s">
        <v>152</v>
      </c>
    </row>
    <row r="1166" spans="1:10">
      <c r="A1166" s="2" t="s">
        <v>141</v>
      </c>
      <c r="B1166" s="2">
        <v>10.6</v>
      </c>
      <c r="C1166" s="2">
        <v>11.1</v>
      </c>
      <c r="D1166" s="60" t="s">
        <v>159</v>
      </c>
    </row>
    <row r="1167" spans="1:10">
      <c r="A1167" s="2" t="s">
        <v>141</v>
      </c>
      <c r="B1167" s="2">
        <v>11.1</v>
      </c>
      <c r="C1167" s="2">
        <v>20.410299999999999</v>
      </c>
      <c r="D1167" s="60" t="s">
        <v>152</v>
      </c>
    </row>
    <row r="1168" spans="1:10">
      <c r="A1168" s="2" t="s">
        <v>148</v>
      </c>
      <c r="B1168" s="2" t="s">
        <v>99</v>
      </c>
      <c r="C1168" s="2">
        <v>4.7452399999999999E-2</v>
      </c>
      <c r="D1168" s="60">
        <v>0</v>
      </c>
      <c r="E1168" s="2">
        <v>0</v>
      </c>
      <c r="F1168" s="2">
        <v>0.3</v>
      </c>
      <c r="G1168" s="2">
        <v>43.783200000000001</v>
      </c>
      <c r="H1168" s="2">
        <v>46.059800000000003</v>
      </c>
      <c r="I1168" s="2">
        <v>0</v>
      </c>
      <c r="J1168" s="2">
        <v>0</v>
      </c>
    </row>
    <row r="1169" spans="1:10">
      <c r="A1169" s="2" t="s">
        <v>148</v>
      </c>
      <c r="B1169" s="2" t="s">
        <v>100</v>
      </c>
      <c r="C1169" s="2">
        <v>1.4998600000000001E-2</v>
      </c>
      <c r="D1169" s="60">
        <v>0</v>
      </c>
      <c r="E1169" s="2">
        <v>21.0105</v>
      </c>
      <c r="F1169" s="2">
        <v>4.5592699999999997</v>
      </c>
      <c r="G1169" s="2">
        <v>0</v>
      </c>
      <c r="H1169" s="2">
        <v>10</v>
      </c>
      <c r="I1169" s="2">
        <v>0</v>
      </c>
      <c r="J1169" s="2">
        <v>0</v>
      </c>
    </row>
    <row r="1170" spans="1:10">
      <c r="A1170" s="2" t="s">
        <v>148</v>
      </c>
      <c r="B1170" s="2" t="s">
        <v>98</v>
      </c>
      <c r="C1170" s="2">
        <v>2.8821900000000001E-2</v>
      </c>
      <c r="D1170" s="60">
        <v>0</v>
      </c>
      <c r="E1170" s="2">
        <v>18.559999999999999</v>
      </c>
      <c r="F1170" s="2">
        <v>2.45058</v>
      </c>
      <c r="G1170" s="2">
        <v>10</v>
      </c>
      <c r="H1170" s="2">
        <v>14.3735</v>
      </c>
      <c r="I1170" s="2">
        <v>0</v>
      </c>
      <c r="J1170" s="2">
        <v>0</v>
      </c>
    </row>
    <row r="1171" spans="1:10">
      <c r="A1171" s="2" t="s">
        <v>148</v>
      </c>
      <c r="B1171" s="2" t="s">
        <v>101</v>
      </c>
      <c r="C1171" s="2">
        <v>9.8018200000000002E-4</v>
      </c>
      <c r="D1171" s="60">
        <v>0</v>
      </c>
      <c r="E1171" s="2">
        <v>18.5</v>
      </c>
      <c r="F1171" s="2">
        <v>5.9953300000000001E-2</v>
      </c>
      <c r="G1171" s="2">
        <v>14.3735</v>
      </c>
      <c r="H1171" s="2">
        <v>14.482100000000001</v>
      </c>
      <c r="I1171" s="2">
        <v>0</v>
      </c>
      <c r="J1171" s="2">
        <v>0</v>
      </c>
    </row>
    <row r="1172" spans="1:10">
      <c r="A1172" s="2" t="s">
        <v>148</v>
      </c>
      <c r="B1172" s="2" t="s">
        <v>64</v>
      </c>
      <c r="C1172" s="2">
        <v>8.9737399999999995E-2</v>
      </c>
      <c r="D1172" s="60">
        <v>2.6921200000000001</v>
      </c>
      <c r="E1172" s="2">
        <v>14.9</v>
      </c>
      <c r="F1172" s="2">
        <v>3.6</v>
      </c>
      <c r="G1172" s="2">
        <v>14.482100000000001</v>
      </c>
      <c r="H1172" s="2">
        <v>20.893999999999998</v>
      </c>
      <c r="I1172" s="2">
        <v>0</v>
      </c>
      <c r="J1172" s="2">
        <v>0</v>
      </c>
    </row>
    <row r="1173" spans="1:10">
      <c r="A1173" s="2" t="s">
        <v>148</v>
      </c>
      <c r="B1173" s="2" t="s">
        <v>64</v>
      </c>
      <c r="C1173" s="2">
        <v>0.172652</v>
      </c>
      <c r="D1173" s="60">
        <v>5.1795600000000004</v>
      </c>
      <c r="E1173" s="2">
        <v>11.1</v>
      </c>
      <c r="F1173" s="2">
        <v>3.8</v>
      </c>
      <c r="G1173" s="2">
        <v>20.893999999999998</v>
      </c>
      <c r="H1173" s="2">
        <v>26.9041</v>
      </c>
      <c r="I1173" s="2">
        <v>0</v>
      </c>
      <c r="J1173" s="2">
        <v>0</v>
      </c>
    </row>
    <row r="1174" spans="1:10">
      <c r="A1174" s="2" t="s">
        <v>148</v>
      </c>
      <c r="B1174" s="2" t="s">
        <v>101</v>
      </c>
      <c r="C1174" s="2">
        <v>2.9179900000000002E-2</v>
      </c>
      <c r="D1174" s="60">
        <v>0</v>
      </c>
      <c r="E1174" s="2">
        <v>10.6</v>
      </c>
      <c r="F1174" s="2">
        <v>0.5</v>
      </c>
      <c r="G1174" s="2">
        <v>26.9041</v>
      </c>
      <c r="H1174" s="2">
        <v>27.609000000000002</v>
      </c>
      <c r="I1174" s="2">
        <v>0</v>
      </c>
      <c r="J1174" s="2">
        <v>0</v>
      </c>
    </row>
    <row r="1175" spans="1:10">
      <c r="A1175" s="2" t="s">
        <v>148</v>
      </c>
      <c r="B1175" s="2" t="s">
        <v>64</v>
      </c>
      <c r="C1175" s="2">
        <v>0.26989200000000002</v>
      </c>
      <c r="D1175" s="60">
        <v>8.0967500000000001</v>
      </c>
      <c r="E1175" s="2">
        <v>6.8</v>
      </c>
      <c r="F1175" s="2">
        <v>3.8</v>
      </c>
      <c r="G1175" s="2">
        <v>27.609000000000002</v>
      </c>
      <c r="H1175" s="2">
        <v>32.279299999999999</v>
      </c>
      <c r="I1175" s="2">
        <v>0</v>
      </c>
      <c r="J1175" s="2">
        <v>0</v>
      </c>
    </row>
    <row r="1176" spans="1:10">
      <c r="A1176" s="2" t="s">
        <v>148</v>
      </c>
      <c r="B1176" s="2" t="s">
        <v>101</v>
      </c>
      <c r="C1176" s="2">
        <v>0.67274699999999998</v>
      </c>
      <c r="D1176" s="60">
        <v>0</v>
      </c>
      <c r="E1176" s="2">
        <v>0.3</v>
      </c>
      <c r="F1176" s="2">
        <v>6.5</v>
      </c>
      <c r="G1176" s="2">
        <v>32.279299999999999</v>
      </c>
      <c r="H1176" s="2">
        <v>43.783200000000001</v>
      </c>
      <c r="I1176" s="2">
        <v>0</v>
      </c>
      <c r="J1176" s="2">
        <v>0</v>
      </c>
    </row>
    <row r="1177" spans="1:10">
      <c r="A1177" s="2" t="s">
        <v>138</v>
      </c>
      <c r="B1177" s="2">
        <v>6</v>
      </c>
      <c r="C1177" s="2">
        <v>19.458600000000001</v>
      </c>
      <c r="D1177" s="60" t="s">
        <v>129</v>
      </c>
      <c r="E1177" s="2" t="s">
        <v>149</v>
      </c>
    </row>
    <row r="1178" spans="1:10">
      <c r="A1178" s="2" t="s">
        <v>140</v>
      </c>
      <c r="B1178" s="2">
        <v>0</v>
      </c>
      <c r="C1178" s="2">
        <v>52.396599999999999</v>
      </c>
      <c r="D1178" s="60">
        <v>26.320900000000002</v>
      </c>
    </row>
    <row r="1179" spans="1:10">
      <c r="A1179" s="2" t="s">
        <v>141</v>
      </c>
      <c r="B1179" s="2">
        <v>0</v>
      </c>
      <c r="C1179" s="2">
        <v>1.4</v>
      </c>
      <c r="D1179" s="60" t="s">
        <v>155</v>
      </c>
    </row>
    <row r="1180" spans="1:10">
      <c r="A1180" s="2" t="s">
        <v>141</v>
      </c>
      <c r="B1180" s="2">
        <v>0</v>
      </c>
      <c r="C1180" s="2">
        <v>5.3</v>
      </c>
      <c r="D1180" s="60" t="s">
        <v>147</v>
      </c>
    </row>
    <row r="1181" spans="1:10">
      <c r="A1181" s="2" t="s">
        <v>141</v>
      </c>
      <c r="B1181" s="2">
        <v>1.4</v>
      </c>
      <c r="C1181" s="2">
        <v>5.8</v>
      </c>
      <c r="D1181" s="60" t="s">
        <v>146</v>
      </c>
    </row>
    <row r="1182" spans="1:10">
      <c r="A1182" s="2" t="s">
        <v>141</v>
      </c>
      <c r="B1182" s="2">
        <v>5.3</v>
      </c>
      <c r="C1182" s="2">
        <v>5.8</v>
      </c>
      <c r="D1182" s="60" t="s">
        <v>190</v>
      </c>
    </row>
    <row r="1183" spans="1:10">
      <c r="A1183" s="2" t="s">
        <v>141</v>
      </c>
      <c r="B1183" s="2">
        <v>5.8</v>
      </c>
      <c r="C1183" s="2">
        <v>6.8</v>
      </c>
      <c r="D1183" s="60" t="s">
        <v>145</v>
      </c>
    </row>
    <row r="1184" spans="1:10">
      <c r="A1184" s="2" t="s">
        <v>141</v>
      </c>
      <c r="B1184" s="2">
        <v>5.8</v>
      </c>
      <c r="C1184" s="2">
        <v>12</v>
      </c>
      <c r="D1184" s="60" t="s">
        <v>152</v>
      </c>
    </row>
    <row r="1185" spans="1:10">
      <c r="A1185" s="2" t="s">
        <v>141</v>
      </c>
      <c r="B1185" s="2">
        <v>6.8</v>
      </c>
      <c r="C1185" s="2">
        <v>7.1</v>
      </c>
      <c r="D1185" s="60" t="s">
        <v>153</v>
      </c>
    </row>
    <row r="1186" spans="1:10">
      <c r="A1186" s="2" t="s">
        <v>141</v>
      </c>
      <c r="B1186" s="2">
        <v>6.8</v>
      </c>
      <c r="C1186" s="2">
        <v>7.1</v>
      </c>
      <c r="D1186" s="60" t="s">
        <v>154</v>
      </c>
    </row>
    <row r="1187" spans="1:10">
      <c r="A1187" s="2" t="s">
        <v>141</v>
      </c>
      <c r="B1187" s="2">
        <v>6.8</v>
      </c>
      <c r="C1187" s="2">
        <v>20.966000000000001</v>
      </c>
      <c r="D1187" s="60" t="s">
        <v>144</v>
      </c>
    </row>
    <row r="1188" spans="1:10">
      <c r="A1188" s="2" t="s">
        <v>141</v>
      </c>
      <c r="B1188" s="2">
        <v>12</v>
      </c>
      <c r="C1188" s="2">
        <v>20.966000000000001</v>
      </c>
      <c r="D1188" s="60" t="s">
        <v>161</v>
      </c>
    </row>
    <row r="1189" spans="1:10">
      <c r="A1189" s="2" t="s">
        <v>156</v>
      </c>
      <c r="B1189" s="2">
        <v>6.8</v>
      </c>
      <c r="C1189" s="2">
        <v>32.5809</v>
      </c>
    </row>
    <row r="1190" spans="1:10">
      <c r="A1190" s="2" t="s">
        <v>148</v>
      </c>
      <c r="B1190" s="2" t="s">
        <v>99</v>
      </c>
      <c r="C1190" s="2">
        <v>6.5375299999999997E-2</v>
      </c>
      <c r="D1190" s="60">
        <v>0</v>
      </c>
      <c r="E1190" s="2">
        <v>0</v>
      </c>
      <c r="F1190" s="2">
        <v>0.3</v>
      </c>
      <c r="G1190" s="2">
        <v>51.422400000000003</v>
      </c>
      <c r="H1190" s="2">
        <v>54.025700000000001</v>
      </c>
      <c r="I1190" s="2">
        <v>0</v>
      </c>
      <c r="J1190" s="2">
        <v>0</v>
      </c>
    </row>
    <row r="1191" spans="1:10">
      <c r="A1191" s="2" t="s">
        <v>148</v>
      </c>
      <c r="B1191" s="2" t="s">
        <v>100</v>
      </c>
      <c r="C1191" s="2">
        <v>1.9942100000000001E-2</v>
      </c>
      <c r="D1191" s="60">
        <v>0</v>
      </c>
      <c r="E1191" s="2">
        <v>19.8612</v>
      </c>
      <c r="F1191" s="2">
        <v>6.4597100000000003</v>
      </c>
      <c r="G1191" s="2">
        <v>0</v>
      </c>
      <c r="H1191" s="2">
        <v>10</v>
      </c>
      <c r="I1191" s="2">
        <v>0</v>
      </c>
      <c r="J1191" s="2">
        <v>0</v>
      </c>
    </row>
    <row r="1192" spans="1:10">
      <c r="A1192" s="2" t="s">
        <v>148</v>
      </c>
      <c r="B1192" s="2" t="s">
        <v>101</v>
      </c>
      <c r="C1192" s="2">
        <v>0.147257</v>
      </c>
      <c r="D1192" s="60">
        <v>0</v>
      </c>
      <c r="E1192" s="2">
        <v>12</v>
      </c>
      <c r="F1192" s="2">
        <v>7.8611899999999997</v>
      </c>
      <c r="G1192" s="2">
        <v>10</v>
      </c>
      <c r="H1192" s="2">
        <v>20.001200000000001</v>
      </c>
      <c r="I1192" s="2">
        <v>0</v>
      </c>
      <c r="J1192" s="2">
        <v>0</v>
      </c>
    </row>
    <row r="1193" spans="1:10">
      <c r="A1193" s="2" t="s">
        <v>148</v>
      </c>
      <c r="B1193" s="2" t="s">
        <v>64</v>
      </c>
      <c r="C1193" s="2">
        <v>0.194689</v>
      </c>
      <c r="D1193" s="60">
        <v>5.8406700000000003</v>
      </c>
      <c r="E1193" s="2">
        <v>7.1</v>
      </c>
      <c r="F1193" s="2">
        <v>4.9000000000000004</v>
      </c>
      <c r="G1193" s="2">
        <v>20.001200000000001</v>
      </c>
      <c r="H1193" s="2">
        <v>24.662099999999999</v>
      </c>
      <c r="I1193" s="2">
        <v>0</v>
      </c>
      <c r="J1193" s="2">
        <v>0</v>
      </c>
    </row>
    <row r="1194" spans="1:10">
      <c r="A1194" s="2" t="s">
        <v>148</v>
      </c>
      <c r="B1194" s="2" t="s">
        <v>101</v>
      </c>
      <c r="C1194" s="2">
        <v>0.32226300000000002</v>
      </c>
      <c r="D1194" s="60">
        <v>0</v>
      </c>
      <c r="E1194" s="2">
        <v>4.3</v>
      </c>
      <c r="F1194" s="2">
        <v>2.8</v>
      </c>
      <c r="G1194" s="2">
        <v>24.662099999999999</v>
      </c>
      <c r="H1194" s="2">
        <v>41.032299999999999</v>
      </c>
      <c r="I1194" s="2">
        <v>0</v>
      </c>
      <c r="J1194" s="2">
        <v>0</v>
      </c>
    </row>
    <row r="1195" spans="1:10">
      <c r="A1195" s="2" t="s">
        <v>148</v>
      </c>
      <c r="B1195" s="2" t="s">
        <v>62</v>
      </c>
      <c r="C1195" s="2">
        <v>0.62415900000000002</v>
      </c>
      <c r="D1195" s="60">
        <v>49.932699999999997</v>
      </c>
      <c r="E1195" s="2">
        <v>0.3</v>
      </c>
      <c r="F1195" s="2">
        <v>4</v>
      </c>
      <c r="G1195" s="2">
        <v>41.032299999999999</v>
      </c>
      <c r="H1195" s="2">
        <v>51.422400000000003</v>
      </c>
      <c r="I1195" s="2">
        <v>0</v>
      </c>
      <c r="J1195" s="2">
        <v>0</v>
      </c>
    </row>
    <row r="1196" spans="1:10">
      <c r="A1196" s="2" t="s">
        <v>140</v>
      </c>
      <c r="B1196" s="2">
        <v>1</v>
      </c>
      <c r="C1196" s="2">
        <v>32.5809</v>
      </c>
      <c r="D1196" s="60">
        <v>26.320900000000002</v>
      </c>
      <c r="E1196" s="2">
        <v>6.8</v>
      </c>
    </row>
    <row r="1197" spans="1:10">
      <c r="A1197" s="2" t="s">
        <v>141</v>
      </c>
      <c r="B1197" s="2">
        <v>6.8</v>
      </c>
      <c r="C1197" s="2">
        <v>7.1</v>
      </c>
      <c r="D1197" s="60" t="s">
        <v>153</v>
      </c>
    </row>
    <row r="1198" spans="1:10">
      <c r="A1198" s="2" t="s">
        <v>141</v>
      </c>
      <c r="B1198" s="2">
        <v>6.8</v>
      </c>
      <c r="C1198" s="2">
        <v>8.1999999999999993</v>
      </c>
      <c r="D1198" s="60" t="s">
        <v>161</v>
      </c>
    </row>
    <row r="1199" spans="1:10">
      <c r="A1199" s="2" t="s">
        <v>141</v>
      </c>
      <c r="B1199" s="2">
        <v>6.8</v>
      </c>
      <c r="C1199" s="2">
        <v>20.966000000000001</v>
      </c>
      <c r="D1199" s="60" t="s">
        <v>144</v>
      </c>
    </row>
    <row r="1200" spans="1:10">
      <c r="A1200" s="2" t="s">
        <v>141</v>
      </c>
      <c r="B1200" s="2">
        <v>8.1999999999999993</v>
      </c>
      <c r="C1200" s="2">
        <v>20.966000000000001</v>
      </c>
      <c r="D1200" s="60" t="s">
        <v>152</v>
      </c>
    </row>
    <row r="1201" spans="1:10">
      <c r="A1201" s="2" t="s">
        <v>148</v>
      </c>
      <c r="B1201" s="2" t="s">
        <v>100</v>
      </c>
      <c r="C1201" s="2">
        <v>1.9942100000000001E-2</v>
      </c>
      <c r="D1201" s="60">
        <v>0</v>
      </c>
      <c r="E1201" s="2">
        <v>19.8612</v>
      </c>
      <c r="F1201" s="2">
        <v>6.4597100000000003</v>
      </c>
      <c r="G1201" s="2">
        <v>0</v>
      </c>
      <c r="H1201" s="2">
        <v>10</v>
      </c>
      <c r="I1201" s="2">
        <v>0</v>
      </c>
      <c r="J1201" s="2">
        <v>0</v>
      </c>
    </row>
    <row r="1202" spans="1:10">
      <c r="A1202" s="2" t="s">
        <v>148</v>
      </c>
      <c r="B1202" s="2" t="s">
        <v>98</v>
      </c>
      <c r="C1202" s="2">
        <v>6.6625100000000007E-2</v>
      </c>
      <c r="D1202" s="60">
        <v>0</v>
      </c>
      <c r="E1202" s="2">
        <v>15.085000000000001</v>
      </c>
      <c r="F1202" s="2">
        <v>4.7761699999999996</v>
      </c>
      <c r="G1202" s="2">
        <v>10</v>
      </c>
      <c r="H1202" s="2">
        <v>16.337</v>
      </c>
      <c r="I1202" s="2">
        <v>0</v>
      </c>
      <c r="J1202" s="2">
        <v>0</v>
      </c>
    </row>
    <row r="1203" spans="1:10">
      <c r="A1203" s="2" t="s">
        <v>148</v>
      </c>
      <c r="B1203" s="2" t="s">
        <v>101</v>
      </c>
      <c r="C1203" s="2">
        <v>1.9838499999999998E-2</v>
      </c>
      <c r="D1203" s="60">
        <v>0</v>
      </c>
      <c r="E1203" s="2">
        <v>14.2</v>
      </c>
      <c r="F1203" s="2">
        <v>0.88502099999999995</v>
      </c>
      <c r="G1203" s="2">
        <v>16.337</v>
      </c>
      <c r="H1203" s="2">
        <v>17.439</v>
      </c>
      <c r="I1203" s="2">
        <v>0</v>
      </c>
      <c r="J1203" s="2">
        <v>0</v>
      </c>
    </row>
    <row r="1204" spans="1:10">
      <c r="A1204" s="2" t="s">
        <v>148</v>
      </c>
      <c r="B1204" s="2" t="s">
        <v>64</v>
      </c>
      <c r="C1204" s="2">
        <v>0.20485700000000001</v>
      </c>
      <c r="D1204" s="60">
        <v>6.1457100000000002</v>
      </c>
      <c r="E1204" s="2">
        <v>8.1999999999999993</v>
      </c>
      <c r="F1204" s="2">
        <v>6</v>
      </c>
      <c r="G1204" s="2">
        <v>17.439</v>
      </c>
      <c r="H1204" s="2">
        <v>23.738499999999998</v>
      </c>
      <c r="I1204" s="2">
        <v>0</v>
      </c>
      <c r="J1204" s="2">
        <v>0</v>
      </c>
    </row>
    <row r="1205" spans="1:10">
      <c r="A1205" s="2" t="s">
        <v>148</v>
      </c>
      <c r="B1205" s="2" t="s">
        <v>101</v>
      </c>
      <c r="C1205" s="2">
        <v>6.5096899999999999E-2</v>
      </c>
      <c r="D1205" s="60">
        <v>0</v>
      </c>
      <c r="E1205" s="2">
        <v>6.8</v>
      </c>
      <c r="F1205" s="2">
        <v>1.4</v>
      </c>
      <c r="G1205" s="2">
        <v>23.738499999999998</v>
      </c>
      <c r="H1205" s="2">
        <v>24.9038</v>
      </c>
      <c r="I1205" s="2">
        <v>0</v>
      </c>
      <c r="J1205" s="2">
        <v>0</v>
      </c>
    </row>
    <row r="1206" spans="1:10">
      <c r="A1206" s="2" t="s">
        <v>138</v>
      </c>
      <c r="B1206" s="2">
        <v>7</v>
      </c>
      <c r="C1206" s="2">
        <v>18.8672</v>
      </c>
      <c r="D1206" s="60" t="s">
        <v>129</v>
      </c>
      <c r="E1206" s="2" t="s">
        <v>139</v>
      </c>
    </row>
    <row r="1207" spans="1:10">
      <c r="A1207" s="2" t="s">
        <v>140</v>
      </c>
      <c r="B1207" s="2">
        <v>0</v>
      </c>
      <c r="C1207" s="2">
        <v>47.875100000000003</v>
      </c>
      <c r="D1207" s="60">
        <v>19.473600000000001</v>
      </c>
    </row>
    <row r="1208" spans="1:10">
      <c r="A1208" s="2" t="s">
        <v>141</v>
      </c>
      <c r="B1208" s="2">
        <v>0</v>
      </c>
      <c r="C1208" s="2">
        <v>5.2</v>
      </c>
      <c r="D1208" s="60" t="s">
        <v>142</v>
      </c>
    </row>
    <row r="1209" spans="1:10">
      <c r="A1209" s="2" t="s">
        <v>141</v>
      </c>
      <c r="B1209" s="2">
        <v>0</v>
      </c>
      <c r="C1209" s="2">
        <v>5.6</v>
      </c>
      <c r="D1209" s="60" t="s">
        <v>158</v>
      </c>
    </row>
    <row r="1210" spans="1:10">
      <c r="A1210" s="2" t="s">
        <v>141</v>
      </c>
      <c r="B1210" s="2">
        <v>0</v>
      </c>
      <c r="C1210" s="2">
        <v>11.7</v>
      </c>
      <c r="D1210" s="60" t="s">
        <v>146</v>
      </c>
    </row>
    <row r="1211" spans="1:10">
      <c r="A1211" s="2" t="s">
        <v>141</v>
      </c>
      <c r="B1211" s="2">
        <v>5.2</v>
      </c>
      <c r="C1211" s="2">
        <v>8.3000000000000007</v>
      </c>
      <c r="D1211" s="60" t="s">
        <v>144</v>
      </c>
    </row>
    <row r="1212" spans="1:10">
      <c r="A1212" s="2" t="s">
        <v>141</v>
      </c>
      <c r="B1212" s="2">
        <v>5.6</v>
      </c>
      <c r="C1212" s="2">
        <v>6.9</v>
      </c>
      <c r="D1212" s="60" t="s">
        <v>160</v>
      </c>
    </row>
    <row r="1213" spans="1:10">
      <c r="A1213" s="2" t="s">
        <v>141</v>
      </c>
      <c r="B1213" s="2">
        <v>6.9</v>
      </c>
      <c r="C1213" s="2">
        <v>10.199999999999999</v>
      </c>
      <c r="D1213" s="60" t="s">
        <v>158</v>
      </c>
    </row>
    <row r="1214" spans="1:10">
      <c r="A1214" s="2" t="s">
        <v>141</v>
      </c>
      <c r="B1214" s="2">
        <v>8.3000000000000007</v>
      </c>
      <c r="C1214" s="2">
        <v>9.3000000000000007</v>
      </c>
      <c r="D1214" s="60" t="s">
        <v>147</v>
      </c>
    </row>
    <row r="1215" spans="1:10">
      <c r="A1215" s="2" t="s">
        <v>141</v>
      </c>
      <c r="B1215" s="2">
        <v>9.3000000000000007</v>
      </c>
      <c r="C1215" s="2">
        <v>10.8</v>
      </c>
      <c r="D1215" s="60" t="s">
        <v>151</v>
      </c>
    </row>
    <row r="1216" spans="1:10">
      <c r="A1216" s="2" t="s">
        <v>141</v>
      </c>
      <c r="B1216" s="2">
        <v>10.199999999999999</v>
      </c>
      <c r="C1216" s="2">
        <v>11.7</v>
      </c>
      <c r="D1216" s="60" t="s">
        <v>160</v>
      </c>
    </row>
    <row r="1217" spans="1:10">
      <c r="A1217" s="2" t="s">
        <v>141</v>
      </c>
      <c r="B1217" s="2">
        <v>10.8</v>
      </c>
      <c r="C1217" s="2">
        <v>15.9</v>
      </c>
      <c r="D1217" s="60" t="s">
        <v>144</v>
      </c>
    </row>
    <row r="1218" spans="1:10">
      <c r="A1218" s="2" t="s">
        <v>141</v>
      </c>
      <c r="B1218" s="2">
        <v>11.7</v>
      </c>
      <c r="C1218" s="2">
        <v>15.9</v>
      </c>
      <c r="D1218" s="60" t="s">
        <v>152</v>
      </c>
    </row>
    <row r="1219" spans="1:10">
      <c r="A1219" s="2" t="s">
        <v>148</v>
      </c>
      <c r="B1219" s="2" t="s">
        <v>99</v>
      </c>
      <c r="C1219" s="2">
        <v>5.4673100000000002E-2</v>
      </c>
      <c r="D1219" s="60">
        <v>0</v>
      </c>
      <c r="E1219" s="2">
        <v>0</v>
      </c>
      <c r="F1219" s="2">
        <v>0.3</v>
      </c>
      <c r="G1219" s="2">
        <v>46.695799999999998</v>
      </c>
      <c r="H1219" s="2">
        <v>49.805399999999999</v>
      </c>
      <c r="I1219" s="2">
        <v>0</v>
      </c>
      <c r="J1219" s="2">
        <v>0</v>
      </c>
    </row>
    <row r="1220" spans="1:10">
      <c r="A1220" s="2" t="s">
        <v>148</v>
      </c>
      <c r="B1220" s="2" t="s">
        <v>100</v>
      </c>
      <c r="C1220" s="2">
        <v>1.05375E-2</v>
      </c>
      <c r="D1220" s="60">
        <v>0</v>
      </c>
      <c r="E1220" s="2">
        <v>16.332599999999999</v>
      </c>
      <c r="F1220" s="2">
        <v>3.1410200000000001</v>
      </c>
      <c r="G1220" s="2">
        <v>0</v>
      </c>
      <c r="H1220" s="2">
        <v>10</v>
      </c>
      <c r="I1220" s="2">
        <v>0</v>
      </c>
      <c r="J1220" s="2">
        <v>0</v>
      </c>
    </row>
    <row r="1221" spans="1:10">
      <c r="A1221" s="2" t="s">
        <v>148</v>
      </c>
      <c r="B1221" s="2" t="s">
        <v>98</v>
      </c>
      <c r="C1221" s="2">
        <v>1.45147E-2</v>
      </c>
      <c r="D1221" s="60">
        <v>0</v>
      </c>
      <c r="E1221" s="2">
        <v>14.984999999999999</v>
      </c>
      <c r="F1221" s="2">
        <v>1.34755</v>
      </c>
      <c r="G1221" s="2">
        <v>10</v>
      </c>
      <c r="H1221" s="2">
        <v>13.364800000000001</v>
      </c>
      <c r="I1221" s="2">
        <v>0</v>
      </c>
      <c r="J1221" s="2">
        <v>0</v>
      </c>
    </row>
    <row r="1222" spans="1:10">
      <c r="A1222" s="2" t="s">
        <v>148</v>
      </c>
      <c r="B1222" s="2" t="s">
        <v>101</v>
      </c>
      <c r="C1222" s="2">
        <v>1.2122999999999999E-3</v>
      </c>
      <c r="D1222" s="60">
        <v>0</v>
      </c>
      <c r="E1222" s="2">
        <v>14.9</v>
      </c>
      <c r="F1222" s="2">
        <v>8.5031899999999994E-2</v>
      </c>
      <c r="G1222" s="2">
        <v>13.364800000000001</v>
      </c>
      <c r="H1222" s="2">
        <v>13.581300000000001</v>
      </c>
      <c r="I1222" s="2">
        <v>0</v>
      </c>
      <c r="J1222" s="2">
        <v>0</v>
      </c>
    </row>
    <row r="1223" spans="1:10">
      <c r="A1223" s="2" t="s">
        <v>148</v>
      </c>
      <c r="B1223" s="2" t="s">
        <v>64</v>
      </c>
      <c r="C1223" s="2">
        <v>0.140372</v>
      </c>
      <c r="D1223" s="60">
        <v>4.2111599999999996</v>
      </c>
      <c r="E1223" s="2">
        <v>10.3</v>
      </c>
      <c r="F1223" s="2">
        <v>4.5999999999999996</v>
      </c>
      <c r="G1223" s="2">
        <v>13.581300000000001</v>
      </c>
      <c r="H1223" s="2">
        <v>25.078199999999999</v>
      </c>
      <c r="I1223" s="2">
        <v>0</v>
      </c>
      <c r="J1223" s="2">
        <v>0</v>
      </c>
    </row>
    <row r="1224" spans="1:10">
      <c r="A1224" s="2" t="s">
        <v>148</v>
      </c>
      <c r="B1224" s="2" t="s">
        <v>63</v>
      </c>
      <c r="C1224" s="2">
        <v>0.46055200000000002</v>
      </c>
      <c r="D1224" s="60">
        <v>32.238700000000001</v>
      </c>
      <c r="E1224" s="2">
        <v>4.3</v>
      </c>
      <c r="F1224" s="2">
        <v>6</v>
      </c>
      <c r="G1224" s="2">
        <v>25.078199999999999</v>
      </c>
      <c r="H1224" s="2">
        <v>36.217399999999998</v>
      </c>
      <c r="I1224" s="2">
        <v>0</v>
      </c>
      <c r="J1224" s="2">
        <v>0</v>
      </c>
    </row>
    <row r="1225" spans="1:10">
      <c r="A1225" s="2" t="s">
        <v>148</v>
      </c>
      <c r="B1225" s="2" t="s">
        <v>56</v>
      </c>
      <c r="C1225" s="2">
        <v>0.49933499999999997</v>
      </c>
      <c r="D1225" s="60">
        <v>69.906899999999993</v>
      </c>
      <c r="E1225" s="2">
        <v>0.3</v>
      </c>
      <c r="F1225" s="2">
        <v>4</v>
      </c>
      <c r="G1225" s="2">
        <v>36.217399999999998</v>
      </c>
      <c r="H1225" s="2">
        <v>46.695799999999998</v>
      </c>
      <c r="I1225" s="2">
        <v>0</v>
      </c>
      <c r="J1225" s="2">
        <v>0</v>
      </c>
    </row>
    <row r="1226" spans="1:10">
      <c r="A1226" s="2" t="s">
        <v>138</v>
      </c>
      <c r="B1226" s="2">
        <v>8</v>
      </c>
      <c r="C1226" s="2">
        <v>19.453800000000001</v>
      </c>
      <c r="D1226" s="60" t="s">
        <v>129</v>
      </c>
      <c r="E1226" s="2" t="s">
        <v>149</v>
      </c>
    </row>
    <row r="1227" spans="1:10">
      <c r="A1227" s="2" t="s">
        <v>140</v>
      </c>
      <c r="B1227" s="2">
        <v>0</v>
      </c>
      <c r="C1227" s="2">
        <v>52.252000000000002</v>
      </c>
      <c r="D1227" s="60">
        <v>26.3093</v>
      </c>
    </row>
    <row r="1228" spans="1:10">
      <c r="A1228" s="2" t="s">
        <v>141</v>
      </c>
      <c r="B1228" s="2">
        <v>0</v>
      </c>
      <c r="C1228" s="2">
        <v>1.2</v>
      </c>
      <c r="D1228" s="60" t="s">
        <v>157</v>
      </c>
    </row>
    <row r="1229" spans="1:10">
      <c r="A1229" s="2" t="s">
        <v>141</v>
      </c>
      <c r="B1229" s="2">
        <v>0</v>
      </c>
      <c r="C1229" s="2">
        <v>6.3</v>
      </c>
      <c r="D1229" s="60" t="s">
        <v>142</v>
      </c>
    </row>
    <row r="1230" spans="1:10">
      <c r="A1230" s="2" t="s">
        <v>141</v>
      </c>
      <c r="B1230" s="2">
        <v>0</v>
      </c>
      <c r="C1230" s="2">
        <v>10.7</v>
      </c>
      <c r="D1230" s="60" t="s">
        <v>146</v>
      </c>
    </row>
    <row r="1231" spans="1:10">
      <c r="A1231" s="2" t="s">
        <v>141</v>
      </c>
      <c r="B1231" s="2">
        <v>6.3</v>
      </c>
      <c r="C1231" s="2">
        <v>8.1999999999999993</v>
      </c>
      <c r="D1231" s="60" t="s">
        <v>145</v>
      </c>
    </row>
    <row r="1232" spans="1:10">
      <c r="A1232" s="2" t="s">
        <v>141</v>
      </c>
      <c r="B1232" s="2">
        <v>8.1999999999999993</v>
      </c>
      <c r="C1232" s="2">
        <v>8.6</v>
      </c>
      <c r="D1232" s="60" t="s">
        <v>147</v>
      </c>
    </row>
    <row r="1233" spans="1:10">
      <c r="A1233" s="2" t="s">
        <v>141</v>
      </c>
      <c r="B1233" s="2">
        <v>8.6</v>
      </c>
      <c r="C1233" s="2">
        <v>10.7</v>
      </c>
      <c r="D1233" s="60" t="s">
        <v>145</v>
      </c>
    </row>
    <row r="1234" spans="1:10">
      <c r="A1234" s="2" t="s">
        <v>141</v>
      </c>
      <c r="B1234" s="2">
        <v>10.7</v>
      </c>
      <c r="C1234" s="2">
        <v>11.1</v>
      </c>
      <c r="D1234" s="60" t="s">
        <v>159</v>
      </c>
    </row>
    <row r="1235" spans="1:10">
      <c r="A1235" s="2" t="s">
        <v>141</v>
      </c>
      <c r="B1235" s="2">
        <v>10.7</v>
      </c>
      <c r="C1235" s="2">
        <v>12</v>
      </c>
      <c r="D1235" s="60" t="s">
        <v>147</v>
      </c>
    </row>
    <row r="1236" spans="1:10">
      <c r="A1236" s="2" t="s">
        <v>141</v>
      </c>
      <c r="B1236" s="2">
        <v>11.1</v>
      </c>
      <c r="C1236" s="2">
        <v>20.9574</v>
      </c>
      <c r="D1236" s="60" t="s">
        <v>146</v>
      </c>
    </row>
    <row r="1237" spans="1:10">
      <c r="A1237" s="2" t="s">
        <v>141</v>
      </c>
      <c r="B1237" s="2">
        <v>12</v>
      </c>
      <c r="C1237" s="2">
        <v>20.9574</v>
      </c>
      <c r="D1237" s="60" t="s">
        <v>144</v>
      </c>
    </row>
    <row r="1238" spans="1:10">
      <c r="A1238" s="2" t="s">
        <v>148</v>
      </c>
      <c r="B1238" s="2" t="s">
        <v>99</v>
      </c>
      <c r="C1238" s="2">
        <v>6.5050999999999998E-2</v>
      </c>
      <c r="D1238" s="60">
        <v>0</v>
      </c>
      <c r="E1238" s="2">
        <v>0</v>
      </c>
      <c r="F1238" s="2">
        <v>0.3</v>
      </c>
      <c r="G1238" s="2">
        <v>51.294199999999996</v>
      </c>
      <c r="H1238" s="2">
        <v>53.892099999999999</v>
      </c>
      <c r="I1238" s="2">
        <v>0</v>
      </c>
      <c r="J1238" s="2">
        <v>0</v>
      </c>
    </row>
    <row r="1239" spans="1:10">
      <c r="A1239" s="2" t="s">
        <v>148</v>
      </c>
      <c r="B1239" s="2" t="s">
        <v>100</v>
      </c>
      <c r="C1239" s="2">
        <v>1.3072E-2</v>
      </c>
      <c r="D1239" s="60">
        <v>0</v>
      </c>
      <c r="E1239" s="2">
        <v>22.488099999999999</v>
      </c>
      <c r="F1239" s="2">
        <v>3.8212000000000002</v>
      </c>
      <c r="G1239" s="2">
        <v>0</v>
      </c>
      <c r="H1239" s="2">
        <v>10</v>
      </c>
      <c r="I1239" s="2">
        <v>0</v>
      </c>
      <c r="J1239" s="2">
        <v>0</v>
      </c>
    </row>
    <row r="1240" spans="1:10">
      <c r="A1240" s="2" t="s">
        <v>148</v>
      </c>
      <c r="B1240" s="2" t="s">
        <v>98</v>
      </c>
      <c r="C1240" s="2">
        <v>0.342501</v>
      </c>
      <c r="D1240" s="60">
        <v>0</v>
      </c>
      <c r="E1240" s="2">
        <v>12.468999999999999</v>
      </c>
      <c r="F1240" s="2">
        <v>10.0191</v>
      </c>
      <c r="G1240" s="2">
        <v>10</v>
      </c>
      <c r="H1240" s="2">
        <v>29.722100000000001</v>
      </c>
      <c r="I1240" s="2">
        <v>0</v>
      </c>
      <c r="J1240" s="2">
        <v>0</v>
      </c>
    </row>
    <row r="1241" spans="1:10">
      <c r="A1241" s="2" t="s">
        <v>148</v>
      </c>
      <c r="B1241" s="2" t="s">
        <v>101</v>
      </c>
      <c r="C1241" s="2">
        <v>0.17813999999999999</v>
      </c>
      <c r="D1241" s="60">
        <v>0</v>
      </c>
      <c r="E1241" s="2">
        <v>10.199999999999999</v>
      </c>
      <c r="F1241" s="2">
        <v>2.2689699999999999</v>
      </c>
      <c r="G1241" s="2">
        <v>29.722100000000001</v>
      </c>
      <c r="H1241" s="2">
        <v>33.395200000000003</v>
      </c>
      <c r="I1241" s="2">
        <v>0</v>
      </c>
      <c r="J1241" s="2">
        <v>0</v>
      </c>
    </row>
    <row r="1242" spans="1:10">
      <c r="A1242" s="2" t="s">
        <v>148</v>
      </c>
      <c r="B1242" s="2" t="s">
        <v>59</v>
      </c>
      <c r="C1242" s="2">
        <v>0.41182800000000003</v>
      </c>
      <c r="D1242" s="60">
        <v>41.1828</v>
      </c>
      <c r="E1242" s="2">
        <v>6.2</v>
      </c>
      <c r="F1242" s="2">
        <v>4</v>
      </c>
      <c r="G1242" s="2">
        <v>33.395200000000003</v>
      </c>
      <c r="H1242" s="2">
        <v>38.7303</v>
      </c>
      <c r="I1242" s="2">
        <v>0</v>
      </c>
      <c r="J1242" s="2">
        <v>0</v>
      </c>
    </row>
    <row r="1243" spans="1:10">
      <c r="A1243" s="2" t="s">
        <v>148</v>
      </c>
      <c r="B1243" s="2" t="s">
        <v>56</v>
      </c>
      <c r="C1243" s="2">
        <v>0.85786300000000004</v>
      </c>
      <c r="D1243" s="60">
        <v>120.101</v>
      </c>
      <c r="E1243" s="2">
        <v>0.3</v>
      </c>
      <c r="F1243" s="2">
        <v>5.9</v>
      </c>
      <c r="G1243" s="2">
        <v>38.7303</v>
      </c>
      <c r="H1243" s="2">
        <v>51.294199999999996</v>
      </c>
      <c r="I1243" s="2">
        <v>0</v>
      </c>
      <c r="J1243" s="2">
        <v>0</v>
      </c>
    </row>
    <row r="1244" spans="1:10">
      <c r="A1244" s="2" t="s">
        <v>138</v>
      </c>
      <c r="B1244" s="2">
        <v>9</v>
      </c>
      <c r="C1244" s="2">
        <v>19.653400000000001</v>
      </c>
      <c r="D1244" s="60" t="s">
        <v>129</v>
      </c>
      <c r="E1244" s="2" t="s">
        <v>175</v>
      </c>
    </row>
    <row r="1245" spans="1:10">
      <c r="A1245" s="2" t="s">
        <v>140</v>
      </c>
      <c r="B1245" s="2">
        <v>0</v>
      </c>
      <c r="C1245" s="2">
        <v>60.097299999999997</v>
      </c>
      <c r="D1245" s="60">
        <v>26.885300000000001</v>
      </c>
      <c r="E1245" s="2">
        <v>0</v>
      </c>
      <c r="F1245" s="2">
        <v>11.8</v>
      </c>
    </row>
    <row r="1246" spans="1:10">
      <c r="A1246" s="2" t="s">
        <v>141</v>
      </c>
      <c r="B1246" s="2">
        <v>0</v>
      </c>
      <c r="C1246" s="2">
        <v>2.7</v>
      </c>
      <c r="D1246" s="60" t="s">
        <v>142</v>
      </c>
    </row>
    <row r="1247" spans="1:10">
      <c r="A1247" s="2" t="s">
        <v>141</v>
      </c>
      <c r="B1247" s="2">
        <v>0</v>
      </c>
      <c r="C1247" s="2">
        <v>2.7</v>
      </c>
      <c r="D1247" s="60" t="s">
        <v>158</v>
      </c>
    </row>
    <row r="1248" spans="1:10">
      <c r="A1248" s="2" t="s">
        <v>141</v>
      </c>
      <c r="B1248" s="2">
        <v>0</v>
      </c>
      <c r="C1248" s="2">
        <v>9.3000000000000007</v>
      </c>
      <c r="D1248" s="60" t="s">
        <v>146</v>
      </c>
    </row>
    <row r="1249" spans="1:10">
      <c r="A1249" s="2" t="s">
        <v>141</v>
      </c>
      <c r="B1249" s="2">
        <v>2.7</v>
      </c>
      <c r="C1249" s="2">
        <v>3.5</v>
      </c>
      <c r="D1249" s="60" t="s">
        <v>178</v>
      </c>
    </row>
    <row r="1250" spans="1:10">
      <c r="A1250" s="2" t="s">
        <v>141</v>
      </c>
      <c r="B1250" s="2">
        <v>2.7</v>
      </c>
      <c r="C1250" s="2">
        <v>3.8</v>
      </c>
      <c r="D1250" s="60" t="s">
        <v>144</v>
      </c>
    </row>
    <row r="1251" spans="1:10">
      <c r="A1251" s="2" t="s">
        <v>141</v>
      </c>
      <c r="B1251" s="2">
        <v>3.8</v>
      </c>
      <c r="C1251" s="2">
        <v>4.0999999999999996</v>
      </c>
      <c r="D1251" s="60" t="s">
        <v>153</v>
      </c>
    </row>
    <row r="1252" spans="1:10">
      <c r="A1252" s="2" t="s">
        <v>141</v>
      </c>
      <c r="B1252" s="2">
        <v>3.8</v>
      </c>
      <c r="C1252" s="2">
        <v>4.0999999999999996</v>
      </c>
      <c r="D1252" s="60" t="s">
        <v>154</v>
      </c>
    </row>
    <row r="1253" spans="1:10">
      <c r="A1253" s="2" t="s">
        <v>141</v>
      </c>
      <c r="B1253" s="2">
        <v>3.8</v>
      </c>
      <c r="C1253" s="2">
        <v>9.3000000000000007</v>
      </c>
      <c r="D1253" s="60" t="s">
        <v>145</v>
      </c>
    </row>
    <row r="1254" spans="1:10">
      <c r="A1254" s="2" t="s">
        <v>141</v>
      </c>
      <c r="B1254" s="2">
        <v>9.3000000000000007</v>
      </c>
      <c r="C1254" s="2">
        <v>9.8000000000000007</v>
      </c>
      <c r="D1254" s="60" t="s">
        <v>151</v>
      </c>
    </row>
    <row r="1255" spans="1:10">
      <c r="A1255" s="2" t="s">
        <v>141</v>
      </c>
      <c r="B1255" s="2">
        <v>9.3000000000000007</v>
      </c>
      <c r="C1255" s="2">
        <v>21.383600000000001</v>
      </c>
      <c r="D1255" s="60" t="s">
        <v>152</v>
      </c>
    </row>
    <row r="1256" spans="1:10">
      <c r="A1256" s="2" t="s">
        <v>141</v>
      </c>
      <c r="B1256" s="2">
        <v>9.8000000000000007</v>
      </c>
      <c r="C1256" s="2">
        <v>21.383600000000001</v>
      </c>
      <c r="D1256" s="60" t="s">
        <v>147</v>
      </c>
    </row>
    <row r="1257" spans="1:10">
      <c r="A1257" s="2" t="s">
        <v>156</v>
      </c>
      <c r="B1257" s="2">
        <v>3.8</v>
      </c>
      <c r="C1257" s="2">
        <v>43.642800000000001</v>
      </c>
    </row>
    <row r="1258" spans="1:10">
      <c r="A1258" s="2" t="s">
        <v>148</v>
      </c>
      <c r="B1258" s="2" t="s">
        <v>99</v>
      </c>
      <c r="C1258" s="2">
        <v>8.3679799999999999E-2</v>
      </c>
      <c r="D1258" s="60">
        <v>0</v>
      </c>
      <c r="E1258" s="2">
        <v>0</v>
      </c>
      <c r="F1258" s="2">
        <v>0.3</v>
      </c>
      <c r="G1258" s="2">
        <v>58.203299999999999</v>
      </c>
      <c r="H1258" s="2">
        <v>61.092700000000001</v>
      </c>
      <c r="I1258" s="2">
        <v>0</v>
      </c>
      <c r="J1258" s="2">
        <v>0</v>
      </c>
    </row>
    <row r="1259" spans="1:10">
      <c r="A1259" s="2" t="s">
        <v>148</v>
      </c>
      <c r="B1259" s="2" t="s">
        <v>64</v>
      </c>
      <c r="C1259" s="2">
        <v>0.24440500000000001</v>
      </c>
      <c r="D1259" s="60">
        <v>7.3321399999999999</v>
      </c>
      <c r="E1259" s="2">
        <v>8.1</v>
      </c>
      <c r="F1259" s="2">
        <v>3.7</v>
      </c>
      <c r="G1259" s="2">
        <v>26.621500000000001</v>
      </c>
      <c r="H1259" s="2">
        <v>31.147300000000001</v>
      </c>
      <c r="I1259" s="2">
        <v>0</v>
      </c>
      <c r="J1259" s="2">
        <v>0</v>
      </c>
    </row>
    <row r="1260" spans="1:10">
      <c r="A1260" s="2" t="s">
        <v>148</v>
      </c>
      <c r="B1260" s="2" t="s">
        <v>59</v>
      </c>
      <c r="C1260" s="2">
        <v>0.34623599999999999</v>
      </c>
      <c r="D1260" s="60">
        <v>34.623600000000003</v>
      </c>
      <c r="E1260" s="2">
        <v>4.0999999999999996</v>
      </c>
      <c r="F1260" s="2">
        <v>4</v>
      </c>
      <c r="G1260" s="2">
        <v>31.147300000000001</v>
      </c>
      <c r="H1260" s="2">
        <v>35.128399999999999</v>
      </c>
      <c r="I1260" s="2">
        <v>0</v>
      </c>
      <c r="J1260" s="2">
        <v>0</v>
      </c>
    </row>
    <row r="1261" spans="1:10">
      <c r="A1261" s="2" t="s">
        <v>148</v>
      </c>
      <c r="B1261" s="2" t="s">
        <v>101</v>
      </c>
      <c r="C1261" s="2">
        <v>0.74446100000000004</v>
      </c>
      <c r="D1261" s="60">
        <v>0</v>
      </c>
      <c r="E1261" s="2">
        <v>0.3</v>
      </c>
      <c r="F1261" s="2">
        <v>3.8</v>
      </c>
      <c r="G1261" s="2">
        <v>35.128399999999999</v>
      </c>
      <c r="H1261" s="2">
        <v>58.203299999999999</v>
      </c>
      <c r="I1261" s="2">
        <v>0</v>
      </c>
      <c r="J1261" s="2">
        <v>0</v>
      </c>
    </row>
    <row r="1262" spans="1:10">
      <c r="A1262" s="2" t="s">
        <v>140</v>
      </c>
      <c r="B1262" s="2">
        <v>1</v>
      </c>
      <c r="C1262" s="2">
        <v>32.4422</v>
      </c>
      <c r="D1262" s="60">
        <v>26.885300000000001</v>
      </c>
      <c r="E1262" s="2">
        <v>3.8</v>
      </c>
    </row>
    <row r="1263" spans="1:10">
      <c r="A1263" s="2" t="s">
        <v>141</v>
      </c>
      <c r="B1263" s="2">
        <v>3.8</v>
      </c>
      <c r="C1263" s="2">
        <v>4.0999999999999996</v>
      </c>
      <c r="D1263" s="60" t="s">
        <v>153</v>
      </c>
    </row>
    <row r="1264" spans="1:10">
      <c r="A1264" s="2" t="s">
        <v>141</v>
      </c>
      <c r="B1264" s="2">
        <v>3.8</v>
      </c>
      <c r="C1264" s="2">
        <v>8</v>
      </c>
      <c r="D1264" s="60" t="s">
        <v>152</v>
      </c>
    </row>
    <row r="1265" spans="1:10">
      <c r="A1265" s="2" t="s">
        <v>141</v>
      </c>
      <c r="B1265" s="2">
        <v>3.8</v>
      </c>
      <c r="C1265" s="2">
        <v>9</v>
      </c>
      <c r="D1265" s="60" t="s">
        <v>144</v>
      </c>
    </row>
    <row r="1266" spans="1:10">
      <c r="A1266" s="2" t="s">
        <v>141</v>
      </c>
      <c r="B1266" s="2">
        <v>8</v>
      </c>
      <c r="C1266" s="2">
        <v>21.383600000000001</v>
      </c>
      <c r="D1266" s="60" t="s">
        <v>146</v>
      </c>
    </row>
    <row r="1267" spans="1:10">
      <c r="A1267" s="2" t="s">
        <v>141</v>
      </c>
      <c r="B1267" s="2">
        <v>9</v>
      </c>
      <c r="C1267" s="2">
        <v>10.8</v>
      </c>
      <c r="D1267" s="60" t="s">
        <v>145</v>
      </c>
    </row>
    <row r="1268" spans="1:10">
      <c r="A1268" s="2" t="s">
        <v>141</v>
      </c>
      <c r="B1268" s="2">
        <v>10.8</v>
      </c>
      <c r="C1268" s="2">
        <v>11.1</v>
      </c>
      <c r="D1268" s="60" t="s">
        <v>147</v>
      </c>
    </row>
    <row r="1269" spans="1:10">
      <c r="A1269" s="2" t="s">
        <v>141</v>
      </c>
      <c r="B1269" s="2">
        <v>11.1</v>
      </c>
      <c r="C1269" s="2">
        <v>13</v>
      </c>
      <c r="D1269" s="60" t="s">
        <v>145</v>
      </c>
    </row>
    <row r="1270" spans="1:10">
      <c r="A1270" s="2" t="s">
        <v>141</v>
      </c>
      <c r="B1270" s="2">
        <v>13</v>
      </c>
      <c r="C1270" s="2">
        <v>21.383600000000001</v>
      </c>
      <c r="D1270" s="60" t="s">
        <v>144</v>
      </c>
    </row>
    <row r="1271" spans="1:10">
      <c r="A1271" s="2" t="s">
        <v>148</v>
      </c>
      <c r="B1271" s="2" t="s">
        <v>100</v>
      </c>
      <c r="C1271" s="2">
        <v>2.0439599999999999E-2</v>
      </c>
      <c r="D1271" s="60">
        <v>0</v>
      </c>
      <c r="E1271" s="2">
        <v>20.2592</v>
      </c>
      <c r="F1271" s="2">
        <v>6.6261400000000004</v>
      </c>
      <c r="G1271" s="2">
        <v>0</v>
      </c>
      <c r="H1271" s="2">
        <v>10</v>
      </c>
      <c r="I1271" s="2">
        <v>0</v>
      </c>
      <c r="J1271" s="2">
        <v>0</v>
      </c>
    </row>
    <row r="1272" spans="1:10">
      <c r="A1272" s="2" t="s">
        <v>148</v>
      </c>
      <c r="B1272" s="2" t="s">
        <v>101</v>
      </c>
      <c r="C1272" s="2">
        <v>4.6852100000000001E-4</v>
      </c>
      <c r="D1272" s="60">
        <v>0</v>
      </c>
      <c r="E1272" s="2">
        <v>20.2</v>
      </c>
      <c r="F1272" s="2">
        <v>5.9193799999999998E-2</v>
      </c>
      <c r="G1272" s="2">
        <v>10</v>
      </c>
      <c r="H1272" s="2">
        <v>10.077500000000001</v>
      </c>
      <c r="I1272" s="2">
        <v>0</v>
      </c>
      <c r="J1272" s="2">
        <v>0</v>
      </c>
    </row>
    <row r="1273" spans="1:10">
      <c r="A1273" s="2" t="s">
        <v>148</v>
      </c>
      <c r="B1273" s="2" t="s">
        <v>64</v>
      </c>
      <c r="C1273" s="2">
        <v>5.51093E-2</v>
      </c>
      <c r="D1273" s="60">
        <v>1.6532800000000001</v>
      </c>
      <c r="E1273" s="2">
        <v>16</v>
      </c>
      <c r="F1273" s="2">
        <v>4.2</v>
      </c>
      <c r="G1273" s="2">
        <v>10.077500000000001</v>
      </c>
      <c r="H1273" s="2">
        <v>15.5406</v>
      </c>
      <c r="I1273" s="2">
        <v>0</v>
      </c>
      <c r="J1273" s="2">
        <v>0</v>
      </c>
    </row>
    <row r="1274" spans="1:10">
      <c r="A1274" s="2" t="s">
        <v>148</v>
      </c>
      <c r="B1274" s="2" t="s">
        <v>63</v>
      </c>
      <c r="C1274" s="2">
        <v>0.101659</v>
      </c>
      <c r="D1274" s="60">
        <v>7.1161300000000001</v>
      </c>
      <c r="E1274" s="2">
        <v>12</v>
      </c>
      <c r="F1274" s="2">
        <v>4</v>
      </c>
      <c r="G1274" s="2">
        <v>15.5406</v>
      </c>
      <c r="H1274" s="2">
        <v>20.2026</v>
      </c>
      <c r="I1274" s="2">
        <v>0</v>
      </c>
      <c r="J1274" s="2">
        <v>0</v>
      </c>
    </row>
    <row r="1275" spans="1:10">
      <c r="A1275" s="2" t="s">
        <v>148</v>
      </c>
      <c r="B1275" s="2" t="s">
        <v>63</v>
      </c>
      <c r="C1275" s="2">
        <v>0.15467700000000001</v>
      </c>
      <c r="D1275" s="60">
        <v>10.827400000000001</v>
      </c>
      <c r="E1275" s="2">
        <v>8</v>
      </c>
      <c r="F1275" s="2">
        <v>4</v>
      </c>
      <c r="G1275" s="2">
        <v>20.2026</v>
      </c>
      <c r="H1275" s="2">
        <v>23.9666</v>
      </c>
      <c r="I1275" s="2">
        <v>0</v>
      </c>
      <c r="J1275" s="2">
        <v>0</v>
      </c>
    </row>
    <row r="1276" spans="1:10">
      <c r="A1276" s="2" t="s">
        <v>148</v>
      </c>
      <c r="B1276" s="2" t="s">
        <v>64</v>
      </c>
      <c r="C1276" s="2">
        <v>0.19908100000000001</v>
      </c>
      <c r="D1276" s="60">
        <v>5.9724399999999997</v>
      </c>
      <c r="E1276" s="2">
        <v>4.0999999999999996</v>
      </c>
      <c r="F1276" s="2">
        <v>3.9</v>
      </c>
      <c r="G1276" s="2">
        <v>23.9666</v>
      </c>
      <c r="H1276" s="2">
        <v>26.936199999999999</v>
      </c>
      <c r="I1276" s="2">
        <v>0</v>
      </c>
      <c r="J1276" s="2">
        <v>0</v>
      </c>
    </row>
    <row r="1277" spans="1:10">
      <c r="A1277" s="2" t="s">
        <v>148</v>
      </c>
      <c r="B1277" s="2" t="s">
        <v>101</v>
      </c>
      <c r="C1277" s="2">
        <v>1.72414E-2</v>
      </c>
      <c r="D1277" s="60">
        <v>0</v>
      </c>
      <c r="E1277" s="2">
        <v>3.8</v>
      </c>
      <c r="F1277" s="2">
        <v>0.3</v>
      </c>
      <c r="G1277" s="2">
        <v>26.936199999999999</v>
      </c>
      <c r="H1277" s="2">
        <v>27.166499999999999</v>
      </c>
      <c r="I1277" s="2">
        <v>0</v>
      </c>
      <c r="J1277" s="2">
        <v>0</v>
      </c>
    </row>
    <row r="1278" spans="1:10">
      <c r="A1278" s="2" t="s">
        <v>138</v>
      </c>
      <c r="B1278" s="2">
        <v>10</v>
      </c>
      <c r="C1278" s="2">
        <v>18.931999999999999</v>
      </c>
      <c r="D1278" s="60" t="s">
        <v>129</v>
      </c>
      <c r="E1278" s="2" t="s">
        <v>149</v>
      </c>
    </row>
    <row r="1279" spans="1:10">
      <c r="A1279" s="2" t="s">
        <v>140</v>
      </c>
      <c r="B1279" s="2">
        <v>0</v>
      </c>
      <c r="C1279" s="2">
        <v>42.190100000000001</v>
      </c>
      <c r="D1279" s="60">
        <v>25.405899999999999</v>
      </c>
    </row>
    <row r="1280" spans="1:10">
      <c r="A1280" s="2" t="s">
        <v>141</v>
      </c>
      <c r="B1280" s="2">
        <v>0</v>
      </c>
      <c r="C1280" s="2">
        <v>5.7</v>
      </c>
      <c r="D1280" s="60" t="s">
        <v>142</v>
      </c>
    </row>
    <row r="1281" spans="1:10">
      <c r="A1281" s="2" t="s">
        <v>141</v>
      </c>
      <c r="B1281" s="2">
        <v>0</v>
      </c>
      <c r="C1281" s="2">
        <v>10.6</v>
      </c>
      <c r="D1281" s="60" t="s">
        <v>146</v>
      </c>
    </row>
    <row r="1282" spans="1:10">
      <c r="A1282" s="2" t="s">
        <v>141</v>
      </c>
      <c r="B1282" s="2">
        <v>0</v>
      </c>
      <c r="C1282" s="2">
        <v>10.6</v>
      </c>
      <c r="D1282" s="60" t="s">
        <v>158</v>
      </c>
    </row>
    <row r="1283" spans="1:10">
      <c r="A1283" s="2" t="s">
        <v>141</v>
      </c>
      <c r="B1283" s="2">
        <v>5.7</v>
      </c>
      <c r="C1283" s="2">
        <v>8.3000000000000007</v>
      </c>
      <c r="D1283" s="60" t="s">
        <v>144</v>
      </c>
    </row>
    <row r="1284" spans="1:10">
      <c r="A1284" s="2" t="s">
        <v>141</v>
      </c>
      <c r="B1284" s="2">
        <v>8.3000000000000007</v>
      </c>
      <c r="C1284" s="2">
        <v>10.6</v>
      </c>
      <c r="D1284" s="60" t="s">
        <v>145</v>
      </c>
    </row>
    <row r="1285" spans="1:10">
      <c r="A1285" s="2" t="s">
        <v>141</v>
      </c>
      <c r="B1285" s="2">
        <v>10.6</v>
      </c>
      <c r="C1285" s="2">
        <v>11</v>
      </c>
      <c r="D1285" s="60" t="s">
        <v>159</v>
      </c>
    </row>
    <row r="1286" spans="1:10">
      <c r="A1286" s="2" t="s">
        <v>141</v>
      </c>
      <c r="B1286" s="2">
        <v>10.6</v>
      </c>
      <c r="C1286" s="2">
        <v>20.289000000000001</v>
      </c>
      <c r="D1286" s="60" t="s">
        <v>144</v>
      </c>
    </row>
    <row r="1287" spans="1:10">
      <c r="A1287" s="2" t="s">
        <v>141</v>
      </c>
      <c r="B1287" s="2">
        <v>11</v>
      </c>
      <c r="C1287" s="2">
        <v>12.5</v>
      </c>
      <c r="D1287" s="60" t="s">
        <v>152</v>
      </c>
    </row>
    <row r="1288" spans="1:10">
      <c r="A1288" s="2" t="s">
        <v>141</v>
      </c>
      <c r="B1288" s="2">
        <v>12.5</v>
      </c>
      <c r="C1288" s="2">
        <v>20.289000000000001</v>
      </c>
      <c r="D1288" s="60" t="s">
        <v>146</v>
      </c>
    </row>
    <row r="1289" spans="1:10">
      <c r="A1289" s="2" t="s">
        <v>148</v>
      </c>
      <c r="B1289" s="2" t="s">
        <v>99</v>
      </c>
      <c r="C1289" s="2">
        <v>4.4257699999999997E-2</v>
      </c>
      <c r="D1289" s="60">
        <v>0</v>
      </c>
      <c r="E1289" s="2">
        <v>0</v>
      </c>
      <c r="F1289" s="2">
        <v>0.3</v>
      </c>
      <c r="G1289" s="2">
        <v>42.277900000000002</v>
      </c>
      <c r="H1289" s="2">
        <v>44.489199999999997</v>
      </c>
      <c r="I1289" s="2">
        <v>0</v>
      </c>
      <c r="J1289" s="2">
        <v>0</v>
      </c>
    </row>
    <row r="1290" spans="1:10">
      <c r="A1290" s="2" t="s">
        <v>148</v>
      </c>
      <c r="B1290" s="2" t="s">
        <v>100</v>
      </c>
      <c r="C1290" s="2">
        <v>1.54293E-2</v>
      </c>
      <c r="D1290" s="60">
        <v>0</v>
      </c>
      <c r="E1290" s="2">
        <v>20.674700000000001</v>
      </c>
      <c r="F1290" s="2">
        <v>4.7311100000000001</v>
      </c>
      <c r="G1290" s="2">
        <v>0</v>
      </c>
      <c r="H1290" s="2">
        <v>10</v>
      </c>
      <c r="I1290" s="2">
        <v>0</v>
      </c>
      <c r="J1290" s="2">
        <v>0</v>
      </c>
    </row>
    <row r="1291" spans="1:10">
      <c r="A1291" s="2" t="s">
        <v>148</v>
      </c>
      <c r="B1291" s="2" t="s">
        <v>98</v>
      </c>
      <c r="C1291" s="2">
        <v>6.2420400000000001E-2</v>
      </c>
      <c r="D1291" s="60">
        <v>0</v>
      </c>
      <c r="E1291" s="2">
        <v>16.498899999999999</v>
      </c>
      <c r="F1291" s="2">
        <v>4.1758699999999997</v>
      </c>
      <c r="G1291" s="2">
        <v>10</v>
      </c>
      <c r="H1291" s="2">
        <v>17.2926</v>
      </c>
      <c r="I1291" s="2">
        <v>0</v>
      </c>
      <c r="J1291" s="2">
        <v>0</v>
      </c>
    </row>
    <row r="1292" spans="1:10">
      <c r="A1292" s="2" t="s">
        <v>148</v>
      </c>
      <c r="B1292" s="2" t="s">
        <v>101</v>
      </c>
      <c r="C1292" s="2">
        <v>2.3452899999999999E-3</v>
      </c>
      <c r="D1292" s="60">
        <v>0</v>
      </c>
      <c r="E1292" s="2">
        <v>16.399999999999999</v>
      </c>
      <c r="F1292" s="2">
        <v>9.8874000000000004E-2</v>
      </c>
      <c r="G1292" s="2">
        <v>17.2926</v>
      </c>
      <c r="H1292" s="2">
        <v>17.464200000000002</v>
      </c>
      <c r="I1292" s="2">
        <v>0</v>
      </c>
      <c r="J1292" s="2">
        <v>0</v>
      </c>
    </row>
    <row r="1293" spans="1:10">
      <c r="A1293" s="2" t="s">
        <v>148</v>
      </c>
      <c r="B1293" s="2" t="s">
        <v>64</v>
      </c>
      <c r="C1293" s="2">
        <v>0.206096</v>
      </c>
      <c r="D1293" s="60">
        <v>6.1828900000000004</v>
      </c>
      <c r="E1293" s="2">
        <v>11</v>
      </c>
      <c r="F1293" s="2">
        <v>5.4</v>
      </c>
      <c r="G1293" s="2">
        <v>17.464200000000002</v>
      </c>
      <c r="H1293" s="2">
        <v>26.026800000000001</v>
      </c>
      <c r="I1293" s="2">
        <v>0</v>
      </c>
      <c r="J1293" s="2">
        <v>0</v>
      </c>
    </row>
    <row r="1294" spans="1:10">
      <c r="A1294" s="2" t="s">
        <v>148</v>
      </c>
      <c r="B1294" s="2" t="s">
        <v>101</v>
      </c>
      <c r="C1294" s="2">
        <v>3.8629999999999998E-2</v>
      </c>
      <c r="D1294" s="60">
        <v>0</v>
      </c>
      <c r="E1294" s="2">
        <v>10.3</v>
      </c>
      <c r="F1294" s="2">
        <v>0.7</v>
      </c>
      <c r="G1294" s="2">
        <v>26.026800000000001</v>
      </c>
      <c r="H1294" s="2">
        <v>26.978400000000001</v>
      </c>
      <c r="I1294" s="2">
        <v>0</v>
      </c>
      <c r="J1294" s="2">
        <v>0</v>
      </c>
    </row>
    <row r="1295" spans="1:10">
      <c r="A1295" s="2" t="s">
        <v>148</v>
      </c>
      <c r="B1295" s="2" t="s">
        <v>60</v>
      </c>
      <c r="C1295" s="2">
        <v>0.27245399999999997</v>
      </c>
      <c r="D1295" s="60">
        <v>24.520900000000001</v>
      </c>
      <c r="E1295" s="2">
        <v>6.3</v>
      </c>
      <c r="F1295" s="2">
        <v>4</v>
      </c>
      <c r="G1295" s="2">
        <v>26.978400000000001</v>
      </c>
      <c r="H1295" s="2">
        <v>31.653600000000001</v>
      </c>
      <c r="I1295" s="2">
        <v>0</v>
      </c>
      <c r="J1295" s="2">
        <v>0</v>
      </c>
    </row>
    <row r="1296" spans="1:10">
      <c r="A1296" s="2" t="s">
        <v>148</v>
      </c>
      <c r="B1296" s="2" t="s">
        <v>59</v>
      </c>
      <c r="C1296" s="2">
        <v>0.58797299999999997</v>
      </c>
      <c r="D1296" s="60">
        <v>58.7973</v>
      </c>
      <c r="E1296" s="2">
        <v>0.3</v>
      </c>
      <c r="F1296" s="2">
        <v>6</v>
      </c>
      <c r="G1296" s="2">
        <v>31.653600000000001</v>
      </c>
      <c r="H1296" s="2">
        <v>42.277900000000002</v>
      </c>
      <c r="I1296" s="2">
        <v>0</v>
      </c>
      <c r="J1296" s="2">
        <v>0</v>
      </c>
    </row>
    <row r="1297" spans="1:10">
      <c r="A1297" s="2" t="s">
        <v>138</v>
      </c>
      <c r="B1297" s="2">
        <v>11</v>
      </c>
      <c r="C1297" s="2">
        <v>19.6311</v>
      </c>
      <c r="D1297" s="60" t="s">
        <v>129</v>
      </c>
      <c r="E1297" s="2" t="s">
        <v>149</v>
      </c>
    </row>
    <row r="1298" spans="1:10">
      <c r="A1298" s="2" t="s">
        <v>140</v>
      </c>
      <c r="B1298" s="2">
        <v>0</v>
      </c>
      <c r="C1298" s="2">
        <v>58.9679</v>
      </c>
      <c r="D1298" s="60">
        <v>26.808399999999999</v>
      </c>
    </row>
    <row r="1299" spans="1:10">
      <c r="A1299" s="2" t="s">
        <v>141</v>
      </c>
      <c r="B1299" s="2">
        <v>0</v>
      </c>
      <c r="C1299" s="2">
        <v>2.2999999999999998</v>
      </c>
      <c r="D1299" s="60" t="s">
        <v>142</v>
      </c>
    </row>
    <row r="1300" spans="1:10">
      <c r="A1300" s="2" t="s">
        <v>141</v>
      </c>
      <c r="B1300" s="2">
        <v>0</v>
      </c>
      <c r="C1300" s="2">
        <v>2.2999999999999998</v>
      </c>
      <c r="D1300" s="60" t="s">
        <v>146</v>
      </c>
    </row>
    <row r="1301" spans="1:10">
      <c r="A1301" s="2" t="s">
        <v>141</v>
      </c>
      <c r="B1301" s="2">
        <v>2.2999999999999998</v>
      </c>
      <c r="C1301" s="2">
        <v>2.6</v>
      </c>
      <c r="D1301" s="60" t="s">
        <v>153</v>
      </c>
    </row>
    <row r="1302" spans="1:10">
      <c r="A1302" s="2" t="s">
        <v>141</v>
      </c>
      <c r="B1302" s="2">
        <v>2.2999999999999998</v>
      </c>
      <c r="C1302" s="2">
        <v>2.6</v>
      </c>
      <c r="D1302" s="60" t="s">
        <v>154</v>
      </c>
    </row>
    <row r="1303" spans="1:10">
      <c r="A1303" s="2" t="s">
        <v>141</v>
      </c>
      <c r="B1303" s="2">
        <v>2.2999999999999998</v>
      </c>
      <c r="C1303" s="2">
        <v>10.199999999999999</v>
      </c>
      <c r="D1303" s="60" t="s">
        <v>152</v>
      </c>
    </row>
    <row r="1304" spans="1:10">
      <c r="A1304" s="2" t="s">
        <v>141</v>
      </c>
      <c r="B1304" s="2">
        <v>2.2999999999999998</v>
      </c>
      <c r="C1304" s="2">
        <v>21.326699999999999</v>
      </c>
      <c r="D1304" s="60" t="s">
        <v>147</v>
      </c>
    </row>
    <row r="1305" spans="1:10">
      <c r="A1305" s="2" t="s">
        <v>141</v>
      </c>
      <c r="B1305" s="2">
        <v>4.5999999999999996</v>
      </c>
      <c r="C1305" s="2">
        <v>4.9000000000000004</v>
      </c>
      <c r="D1305" s="60" t="s">
        <v>153</v>
      </c>
    </row>
    <row r="1306" spans="1:10">
      <c r="A1306" s="2" t="s">
        <v>141</v>
      </c>
      <c r="B1306" s="2">
        <v>4.5999999999999996</v>
      </c>
      <c r="C1306" s="2">
        <v>4.9000000000000004</v>
      </c>
      <c r="D1306" s="60" t="s">
        <v>154</v>
      </c>
    </row>
    <row r="1307" spans="1:10">
      <c r="A1307" s="2" t="s">
        <v>141</v>
      </c>
      <c r="B1307" s="2">
        <v>10.199999999999999</v>
      </c>
      <c r="C1307" s="2">
        <v>21.326699999999999</v>
      </c>
      <c r="D1307" s="60" t="s">
        <v>161</v>
      </c>
    </row>
    <row r="1308" spans="1:10">
      <c r="A1308" s="2" t="s">
        <v>156</v>
      </c>
      <c r="B1308" s="2">
        <v>2.2999999999999998</v>
      </c>
      <c r="C1308" s="2">
        <v>44.456299999999999</v>
      </c>
    </row>
    <row r="1309" spans="1:10">
      <c r="A1309" s="2" t="s">
        <v>156</v>
      </c>
      <c r="B1309" s="2">
        <v>4.5999999999999996</v>
      </c>
      <c r="C1309" s="2">
        <v>36.326799999999999</v>
      </c>
    </row>
    <row r="1310" spans="1:10">
      <c r="A1310" s="2" t="s">
        <v>148</v>
      </c>
      <c r="B1310" s="2" t="s">
        <v>99</v>
      </c>
      <c r="C1310" s="2">
        <v>8.0870300000000006E-2</v>
      </c>
      <c r="D1310" s="60">
        <v>0</v>
      </c>
      <c r="E1310" s="2">
        <v>0</v>
      </c>
      <c r="F1310" s="2">
        <v>0.3</v>
      </c>
      <c r="G1310" s="2">
        <v>57.214599999999997</v>
      </c>
      <c r="H1310" s="2">
        <v>60.062399999999997</v>
      </c>
      <c r="I1310" s="2">
        <v>0</v>
      </c>
      <c r="J1310" s="2">
        <v>0</v>
      </c>
    </row>
    <row r="1311" spans="1:10">
      <c r="A1311" s="2" t="s">
        <v>148</v>
      </c>
      <c r="B1311" s="2" t="s">
        <v>100</v>
      </c>
      <c r="C1311" s="2">
        <v>1.85303E-2</v>
      </c>
      <c r="D1311" s="60">
        <v>0</v>
      </c>
      <c r="E1311" s="2">
        <v>20.938099999999999</v>
      </c>
      <c r="F1311" s="2">
        <v>5.8702899999999998</v>
      </c>
      <c r="G1311" s="2">
        <v>0</v>
      </c>
      <c r="H1311" s="2">
        <v>10</v>
      </c>
      <c r="I1311" s="2">
        <v>0</v>
      </c>
      <c r="J1311" s="2">
        <v>0</v>
      </c>
    </row>
    <row r="1312" spans="1:10">
      <c r="A1312" s="2" t="s">
        <v>148</v>
      </c>
      <c r="B1312" s="2" t="s">
        <v>98</v>
      </c>
      <c r="C1312" s="2">
        <v>1.7652399999999999E-2</v>
      </c>
      <c r="D1312" s="60">
        <v>0</v>
      </c>
      <c r="E1312" s="2">
        <v>19.177800000000001</v>
      </c>
      <c r="F1312" s="2">
        <v>1.7603</v>
      </c>
      <c r="G1312" s="2">
        <v>10</v>
      </c>
      <c r="H1312" s="2">
        <v>12.558</v>
      </c>
      <c r="I1312" s="2">
        <v>0</v>
      </c>
      <c r="J1312" s="2">
        <v>0</v>
      </c>
    </row>
    <row r="1313" spans="1:10">
      <c r="A1313" s="2" t="s">
        <v>148</v>
      </c>
      <c r="B1313" s="2" t="s">
        <v>101</v>
      </c>
      <c r="C1313" s="2">
        <v>0.25645400000000002</v>
      </c>
      <c r="D1313" s="60">
        <v>0</v>
      </c>
      <c r="E1313" s="2">
        <v>10.199999999999999</v>
      </c>
      <c r="F1313" s="2">
        <v>8.9778400000000005</v>
      </c>
      <c r="G1313" s="2">
        <v>12.558</v>
      </c>
      <c r="H1313" s="2">
        <v>24.326799999999999</v>
      </c>
      <c r="I1313" s="2">
        <v>0</v>
      </c>
      <c r="J1313" s="2">
        <v>0</v>
      </c>
    </row>
    <row r="1314" spans="1:10">
      <c r="A1314" s="2" t="s">
        <v>148</v>
      </c>
      <c r="B1314" s="2" t="s">
        <v>64</v>
      </c>
      <c r="C1314" s="2">
        <v>0.30083399999999999</v>
      </c>
      <c r="D1314" s="60">
        <v>9.0250199999999996</v>
      </c>
      <c r="E1314" s="2">
        <v>4.9000000000000004</v>
      </c>
      <c r="F1314" s="2">
        <v>5.3</v>
      </c>
      <c r="G1314" s="2">
        <v>24.326799999999999</v>
      </c>
      <c r="H1314" s="2">
        <v>29.138500000000001</v>
      </c>
      <c r="I1314" s="2">
        <v>0</v>
      </c>
      <c r="J1314" s="2">
        <v>0</v>
      </c>
    </row>
    <row r="1315" spans="1:10">
      <c r="A1315" s="2" t="s">
        <v>148</v>
      </c>
      <c r="B1315" s="2" t="s">
        <v>101</v>
      </c>
      <c r="C1315" s="2">
        <v>0.68524300000000005</v>
      </c>
      <c r="D1315" s="60">
        <v>0</v>
      </c>
      <c r="E1315" s="2">
        <v>0.3</v>
      </c>
      <c r="F1315" s="2">
        <v>4.5999999999999996</v>
      </c>
      <c r="G1315" s="2">
        <v>29.138500000000001</v>
      </c>
      <c r="H1315" s="2">
        <v>57.214599999999997</v>
      </c>
      <c r="I1315" s="2">
        <v>0</v>
      </c>
      <c r="J1315" s="2">
        <v>0</v>
      </c>
    </row>
    <row r="1316" spans="1:10">
      <c r="A1316" s="2" t="s">
        <v>140</v>
      </c>
      <c r="B1316" s="2">
        <v>1</v>
      </c>
      <c r="C1316" s="2">
        <v>30.075700000000001</v>
      </c>
      <c r="D1316" s="60">
        <v>26.808399999999999</v>
      </c>
      <c r="E1316" s="2">
        <v>2.2999999999999998</v>
      </c>
    </row>
    <row r="1317" spans="1:10">
      <c r="A1317" s="2" t="s">
        <v>141</v>
      </c>
      <c r="B1317" s="2">
        <v>2.2999999999999998</v>
      </c>
      <c r="C1317" s="2">
        <v>2.6</v>
      </c>
      <c r="D1317" s="60" t="s">
        <v>153</v>
      </c>
    </row>
    <row r="1318" spans="1:10">
      <c r="A1318" s="2" t="s">
        <v>141</v>
      </c>
      <c r="B1318" s="2">
        <v>2.2999999999999998</v>
      </c>
      <c r="C1318" s="2">
        <v>6.8</v>
      </c>
      <c r="D1318" s="60" t="s">
        <v>147</v>
      </c>
    </row>
    <row r="1319" spans="1:10">
      <c r="A1319" s="2" t="s">
        <v>141</v>
      </c>
      <c r="B1319" s="2">
        <v>2.2999999999999998</v>
      </c>
      <c r="C1319" s="2">
        <v>6.8</v>
      </c>
      <c r="D1319" s="60" t="s">
        <v>146</v>
      </c>
    </row>
    <row r="1320" spans="1:10">
      <c r="A1320" s="2" t="s">
        <v>141</v>
      </c>
      <c r="B1320" s="2">
        <v>6.8</v>
      </c>
      <c r="C1320" s="2">
        <v>7.2</v>
      </c>
      <c r="D1320" s="60" t="s">
        <v>159</v>
      </c>
    </row>
    <row r="1321" spans="1:10">
      <c r="A1321" s="2" t="s">
        <v>141</v>
      </c>
      <c r="B1321" s="2">
        <v>6.8</v>
      </c>
      <c r="C1321" s="2">
        <v>21.326699999999999</v>
      </c>
      <c r="D1321" s="60" t="s">
        <v>145</v>
      </c>
    </row>
    <row r="1322" spans="1:10">
      <c r="A1322" s="2" t="s">
        <v>141</v>
      </c>
      <c r="B1322" s="2">
        <v>7.2</v>
      </c>
      <c r="C1322" s="2">
        <v>13</v>
      </c>
      <c r="D1322" s="60" t="s">
        <v>152</v>
      </c>
    </row>
    <row r="1323" spans="1:10">
      <c r="A1323" s="2" t="s">
        <v>141</v>
      </c>
      <c r="B1323" s="2">
        <v>13</v>
      </c>
      <c r="C1323" s="2">
        <v>21.326699999999999</v>
      </c>
      <c r="D1323" s="60" t="s">
        <v>161</v>
      </c>
    </row>
    <row r="1324" spans="1:10">
      <c r="A1324" s="2" t="s">
        <v>148</v>
      </c>
      <c r="B1324" s="2" t="s">
        <v>100</v>
      </c>
      <c r="C1324" s="2">
        <v>2.1714799999999999E-2</v>
      </c>
      <c r="D1324" s="60">
        <v>0</v>
      </c>
      <c r="E1324" s="2">
        <v>19.667999999999999</v>
      </c>
      <c r="F1324" s="2">
        <v>7.1404800000000002</v>
      </c>
      <c r="G1324" s="2">
        <v>0</v>
      </c>
      <c r="H1324" s="2">
        <v>10</v>
      </c>
      <c r="I1324" s="2">
        <v>0</v>
      </c>
      <c r="J1324" s="2">
        <v>0</v>
      </c>
    </row>
    <row r="1325" spans="1:10">
      <c r="A1325" s="2" t="s">
        <v>148</v>
      </c>
      <c r="B1325" s="2" t="s">
        <v>101</v>
      </c>
      <c r="C1325" s="2">
        <v>0.1056</v>
      </c>
      <c r="D1325" s="60">
        <v>0</v>
      </c>
      <c r="E1325" s="2">
        <v>13</v>
      </c>
      <c r="F1325" s="2">
        <v>6.6679500000000003</v>
      </c>
      <c r="G1325" s="2">
        <v>10</v>
      </c>
      <c r="H1325" s="2">
        <v>17.822099999999999</v>
      </c>
      <c r="I1325" s="2">
        <v>0</v>
      </c>
      <c r="J1325" s="2">
        <v>0</v>
      </c>
    </row>
    <row r="1326" spans="1:10">
      <c r="A1326" s="2" t="s">
        <v>148</v>
      </c>
      <c r="B1326" s="2" t="s">
        <v>64</v>
      </c>
      <c r="C1326" s="2">
        <v>0.19347</v>
      </c>
      <c r="D1326" s="60">
        <v>5.8041</v>
      </c>
      <c r="E1326" s="2">
        <v>7.2</v>
      </c>
      <c r="F1326" s="2">
        <v>5.8</v>
      </c>
      <c r="G1326" s="2">
        <v>17.822099999999999</v>
      </c>
      <c r="H1326" s="2">
        <v>22.983799999999999</v>
      </c>
      <c r="I1326" s="2">
        <v>0</v>
      </c>
      <c r="J1326" s="2">
        <v>0</v>
      </c>
    </row>
    <row r="1327" spans="1:10">
      <c r="A1327" s="2" t="s">
        <v>148</v>
      </c>
      <c r="B1327" s="2" t="s">
        <v>101</v>
      </c>
      <c r="C1327" s="2">
        <v>2.53729E-2</v>
      </c>
      <c r="D1327" s="60">
        <v>0</v>
      </c>
      <c r="E1327" s="2">
        <v>6.6</v>
      </c>
      <c r="F1327" s="2">
        <v>0.6</v>
      </c>
      <c r="G1327" s="2">
        <v>22.983799999999999</v>
      </c>
      <c r="H1327" s="2">
        <v>23.421399999999998</v>
      </c>
      <c r="I1327" s="2">
        <v>0</v>
      </c>
      <c r="J1327" s="2">
        <v>0</v>
      </c>
    </row>
    <row r="1328" spans="1:10">
      <c r="A1328" s="2" t="s">
        <v>148</v>
      </c>
      <c r="B1328" s="2" t="s">
        <v>63</v>
      </c>
      <c r="C1328" s="2">
        <v>0.19395899999999999</v>
      </c>
      <c r="D1328" s="60">
        <v>13.5771</v>
      </c>
      <c r="E1328" s="2">
        <v>2.6</v>
      </c>
      <c r="F1328" s="2">
        <v>4</v>
      </c>
      <c r="G1328" s="2">
        <v>23.421399999999998</v>
      </c>
      <c r="H1328" s="2">
        <v>26.3659</v>
      </c>
      <c r="I1328" s="2">
        <v>0</v>
      </c>
      <c r="J1328" s="2">
        <v>0</v>
      </c>
    </row>
    <row r="1329" spans="1:10">
      <c r="A1329" s="2" t="s">
        <v>148</v>
      </c>
      <c r="B1329" s="2" t="s">
        <v>101</v>
      </c>
      <c r="C1329" s="2">
        <v>1.65697E-2</v>
      </c>
      <c r="D1329" s="60">
        <v>0</v>
      </c>
      <c r="E1329" s="2">
        <v>2.2999999999999998</v>
      </c>
      <c r="F1329" s="2">
        <v>0.3</v>
      </c>
      <c r="G1329" s="2">
        <v>26.3659</v>
      </c>
      <c r="H1329" s="2">
        <v>26.677900000000001</v>
      </c>
      <c r="I1329" s="2">
        <v>0</v>
      </c>
      <c r="J1329" s="2">
        <v>0</v>
      </c>
    </row>
    <row r="1330" spans="1:10">
      <c r="A1330" s="2" t="s">
        <v>140</v>
      </c>
      <c r="B1330" s="2">
        <v>1</v>
      </c>
      <c r="C1330" s="2">
        <v>19.8447</v>
      </c>
      <c r="D1330" s="60">
        <v>26.808399999999999</v>
      </c>
      <c r="E1330" s="2">
        <v>4.5999999999999996</v>
      </c>
    </row>
    <row r="1331" spans="1:10">
      <c r="A1331" s="2" t="s">
        <v>141</v>
      </c>
      <c r="B1331" s="2">
        <v>4.5999999999999996</v>
      </c>
      <c r="C1331" s="2">
        <v>4.9000000000000004</v>
      </c>
      <c r="D1331" s="60" t="s">
        <v>153</v>
      </c>
    </row>
    <row r="1332" spans="1:10">
      <c r="A1332" s="2" t="s">
        <v>141</v>
      </c>
      <c r="B1332" s="2">
        <v>4.5999999999999996</v>
      </c>
      <c r="C1332" s="2">
        <v>9</v>
      </c>
      <c r="D1332" s="60" t="s">
        <v>152</v>
      </c>
    </row>
    <row r="1333" spans="1:10">
      <c r="A1333" s="2" t="s">
        <v>141</v>
      </c>
      <c r="B1333" s="2">
        <v>4.5999999999999996</v>
      </c>
      <c r="C1333" s="2">
        <v>21.326699999999999</v>
      </c>
      <c r="D1333" s="60" t="s">
        <v>145</v>
      </c>
    </row>
    <row r="1334" spans="1:10">
      <c r="A1334" s="2" t="s">
        <v>141</v>
      </c>
      <c r="B1334" s="2">
        <v>9</v>
      </c>
      <c r="C1334" s="2">
        <v>21.326699999999999</v>
      </c>
      <c r="D1334" s="60" t="s">
        <v>161</v>
      </c>
    </row>
    <row r="1335" spans="1:10">
      <c r="A1335" s="2" t="s">
        <v>148</v>
      </c>
      <c r="B1335" s="2" t="s">
        <v>100</v>
      </c>
      <c r="C1335" s="2">
        <v>3.1361199999999999E-2</v>
      </c>
      <c r="D1335" s="60">
        <v>0</v>
      </c>
      <c r="E1335" s="2">
        <v>15.9635</v>
      </c>
      <c r="F1335" s="2">
        <v>10.844900000000001</v>
      </c>
      <c r="G1335" s="2">
        <v>0</v>
      </c>
      <c r="H1335" s="2">
        <v>10.0002</v>
      </c>
      <c r="I1335" s="2">
        <v>0</v>
      </c>
      <c r="J1335" s="2">
        <v>0</v>
      </c>
    </row>
    <row r="1336" spans="1:10">
      <c r="A1336" s="2" t="s">
        <v>148</v>
      </c>
      <c r="B1336" s="2" t="s">
        <v>101</v>
      </c>
      <c r="C1336" s="2">
        <v>8.76189E-2</v>
      </c>
      <c r="D1336" s="60">
        <v>0</v>
      </c>
      <c r="E1336" s="2">
        <v>9</v>
      </c>
      <c r="F1336" s="2">
        <v>6.9634999999999998</v>
      </c>
      <c r="G1336" s="2">
        <v>10.0002</v>
      </c>
      <c r="H1336" s="2">
        <v>14.8689</v>
      </c>
      <c r="I1336" s="2">
        <v>0</v>
      </c>
      <c r="J1336" s="2">
        <v>0</v>
      </c>
    </row>
    <row r="1337" spans="1:10">
      <c r="A1337" s="2" t="s">
        <v>148</v>
      </c>
      <c r="B1337" s="2" t="s">
        <v>64</v>
      </c>
      <c r="C1337" s="2">
        <v>8.2020499999999996E-2</v>
      </c>
      <c r="D1337" s="60">
        <v>2.46061</v>
      </c>
      <c r="E1337" s="2">
        <v>4.9000000000000004</v>
      </c>
      <c r="F1337" s="2">
        <v>4.0999999999999996</v>
      </c>
      <c r="G1337" s="2">
        <v>14.8689</v>
      </c>
      <c r="H1337" s="2">
        <v>16.957699999999999</v>
      </c>
      <c r="I1337" s="2">
        <v>0</v>
      </c>
      <c r="J1337" s="2">
        <v>0</v>
      </c>
    </row>
    <row r="1338" spans="1:10">
      <c r="A1338" s="2" t="s">
        <v>148</v>
      </c>
      <c r="B1338" s="2" t="s">
        <v>101</v>
      </c>
      <c r="C1338" s="2">
        <v>6.8324800000000002E-3</v>
      </c>
      <c r="D1338" s="60">
        <v>0</v>
      </c>
      <c r="E1338" s="2">
        <v>4.5999999999999996</v>
      </c>
      <c r="F1338" s="2">
        <v>0.3</v>
      </c>
      <c r="G1338" s="2">
        <v>16.957699999999999</v>
      </c>
      <c r="H1338" s="2">
        <v>17.099900000000002</v>
      </c>
      <c r="I1338" s="2">
        <v>0</v>
      </c>
      <c r="J1338" s="2">
        <v>0</v>
      </c>
    </row>
    <row r="1339" spans="1:10">
      <c r="A1339" s="2" t="s">
        <v>138</v>
      </c>
      <c r="B1339" s="2">
        <v>12</v>
      </c>
      <c r="C1339" s="2">
        <v>19.4909</v>
      </c>
      <c r="D1339" s="60" t="s">
        <v>129</v>
      </c>
      <c r="E1339" s="2" t="s">
        <v>149</v>
      </c>
    </row>
    <row r="1340" spans="1:10">
      <c r="A1340" s="2" t="s">
        <v>140</v>
      </c>
      <c r="B1340" s="2">
        <v>0</v>
      </c>
      <c r="C1340" s="2">
        <v>53.406100000000002</v>
      </c>
      <c r="D1340" s="60">
        <v>26.400500000000001</v>
      </c>
    </row>
    <row r="1341" spans="1:10">
      <c r="A1341" s="2" t="s">
        <v>141</v>
      </c>
      <c r="B1341" s="2">
        <v>0</v>
      </c>
      <c r="C1341" s="2">
        <v>2.2999999999999998</v>
      </c>
      <c r="D1341" s="60" t="s">
        <v>142</v>
      </c>
    </row>
    <row r="1342" spans="1:10">
      <c r="A1342" s="2" t="s">
        <v>141</v>
      </c>
      <c r="B1342" s="2">
        <v>0</v>
      </c>
      <c r="C1342" s="2">
        <v>3.2</v>
      </c>
      <c r="D1342" s="60" t="s">
        <v>158</v>
      </c>
    </row>
    <row r="1343" spans="1:10">
      <c r="A1343" s="2" t="s">
        <v>141</v>
      </c>
      <c r="B1343" s="2">
        <v>0</v>
      </c>
      <c r="C1343" s="2">
        <v>8.6999999999999993</v>
      </c>
      <c r="D1343" s="60" t="s">
        <v>146</v>
      </c>
    </row>
    <row r="1344" spans="1:10">
      <c r="A1344" s="2" t="s">
        <v>141</v>
      </c>
      <c r="B1344" s="2">
        <v>2.2999999999999998</v>
      </c>
      <c r="C1344" s="2">
        <v>2.6</v>
      </c>
      <c r="D1344" s="60" t="s">
        <v>145</v>
      </c>
    </row>
    <row r="1345" spans="1:10">
      <c r="A1345" s="2" t="s">
        <v>141</v>
      </c>
      <c r="B1345" s="2">
        <v>2.6</v>
      </c>
      <c r="C1345" s="2">
        <v>8.6999999999999993</v>
      </c>
      <c r="D1345" s="60" t="s">
        <v>147</v>
      </c>
    </row>
    <row r="1346" spans="1:10">
      <c r="A1346" s="2" t="s">
        <v>141</v>
      </c>
      <c r="B1346" s="2">
        <v>3.2</v>
      </c>
      <c r="C1346" s="2">
        <v>3.7</v>
      </c>
      <c r="D1346" s="60" t="s">
        <v>160</v>
      </c>
    </row>
    <row r="1347" spans="1:10">
      <c r="A1347" s="2" t="s">
        <v>141</v>
      </c>
      <c r="B1347" s="2">
        <v>8.6999999999999993</v>
      </c>
      <c r="C1347" s="2">
        <v>9.1999999999999993</v>
      </c>
      <c r="D1347" s="60" t="s">
        <v>190</v>
      </c>
    </row>
    <row r="1348" spans="1:10">
      <c r="A1348" s="2" t="s">
        <v>141</v>
      </c>
      <c r="B1348" s="2">
        <v>8.6999999999999993</v>
      </c>
      <c r="C1348" s="2">
        <v>9.1999999999999993</v>
      </c>
      <c r="D1348" s="60" t="s">
        <v>159</v>
      </c>
    </row>
    <row r="1349" spans="1:10">
      <c r="A1349" s="2" t="s">
        <v>141</v>
      </c>
      <c r="B1349" s="2">
        <v>9.1999999999999993</v>
      </c>
      <c r="C1349" s="2">
        <v>11</v>
      </c>
      <c r="D1349" s="60" t="s">
        <v>147</v>
      </c>
    </row>
    <row r="1350" spans="1:10">
      <c r="A1350" s="2" t="s">
        <v>141</v>
      </c>
      <c r="B1350" s="2">
        <v>9.1999999999999993</v>
      </c>
      <c r="C1350" s="2">
        <v>21.024899999999999</v>
      </c>
      <c r="D1350" s="60" t="s">
        <v>152</v>
      </c>
    </row>
    <row r="1351" spans="1:10">
      <c r="A1351" s="2" t="s">
        <v>141</v>
      </c>
      <c r="B1351" s="2">
        <v>11</v>
      </c>
      <c r="C1351" s="2">
        <v>21.024899999999999</v>
      </c>
      <c r="D1351" s="60" t="s">
        <v>144</v>
      </c>
    </row>
    <row r="1352" spans="1:10">
      <c r="A1352" s="2" t="s">
        <v>148</v>
      </c>
      <c r="B1352" s="2" t="s">
        <v>99</v>
      </c>
      <c r="C1352" s="2">
        <v>6.7660499999999998E-2</v>
      </c>
      <c r="D1352" s="60">
        <v>0</v>
      </c>
      <c r="E1352" s="2">
        <v>0</v>
      </c>
      <c r="F1352" s="2">
        <v>0.3</v>
      </c>
      <c r="G1352" s="2">
        <v>52.316699999999997</v>
      </c>
      <c r="H1352" s="2">
        <v>54.957999999999998</v>
      </c>
      <c r="I1352" s="2">
        <v>0</v>
      </c>
      <c r="J1352" s="2">
        <v>0</v>
      </c>
    </row>
    <row r="1353" spans="1:10">
      <c r="A1353" s="2" t="s">
        <v>148</v>
      </c>
      <c r="B1353" s="2" t="s">
        <v>100</v>
      </c>
      <c r="C1353" s="2">
        <v>1.2833199999999999E-2</v>
      </c>
      <c r="D1353" s="60">
        <v>0</v>
      </c>
      <c r="E1353" s="2">
        <v>22.667000000000002</v>
      </c>
      <c r="F1353" s="2">
        <v>3.7335600000000002</v>
      </c>
      <c r="G1353" s="2">
        <v>0</v>
      </c>
      <c r="H1353" s="2">
        <v>10</v>
      </c>
      <c r="I1353" s="2">
        <v>0</v>
      </c>
      <c r="J1353" s="2">
        <v>0</v>
      </c>
    </row>
    <row r="1354" spans="1:10">
      <c r="A1354" s="2" t="s">
        <v>148</v>
      </c>
      <c r="B1354" s="2" t="s">
        <v>98</v>
      </c>
      <c r="C1354" s="2">
        <v>0.34229700000000002</v>
      </c>
      <c r="D1354" s="60">
        <v>0</v>
      </c>
      <c r="E1354" s="2">
        <v>12.735900000000001</v>
      </c>
      <c r="F1354" s="2">
        <v>9.9310899999999993</v>
      </c>
      <c r="G1354" s="2">
        <v>10</v>
      </c>
      <c r="H1354" s="2">
        <v>29.915600000000001</v>
      </c>
      <c r="I1354" s="2">
        <v>0</v>
      </c>
      <c r="J1354" s="2">
        <v>0</v>
      </c>
    </row>
    <row r="1355" spans="1:10">
      <c r="A1355" s="2" t="s">
        <v>148</v>
      </c>
      <c r="B1355" s="2" t="s">
        <v>101</v>
      </c>
      <c r="C1355" s="2">
        <v>0.39328999999999997</v>
      </c>
      <c r="D1355" s="60">
        <v>0</v>
      </c>
      <c r="E1355" s="2">
        <v>8.3000000000000007</v>
      </c>
      <c r="F1355" s="2">
        <v>4.4358599999999999</v>
      </c>
      <c r="G1355" s="2">
        <v>29.915600000000001</v>
      </c>
      <c r="H1355" s="2">
        <v>36.849400000000003</v>
      </c>
      <c r="I1355" s="2">
        <v>0</v>
      </c>
      <c r="J1355" s="2">
        <v>0</v>
      </c>
    </row>
    <row r="1356" spans="1:10">
      <c r="A1356" s="2" t="s">
        <v>148</v>
      </c>
      <c r="B1356" s="2" t="s">
        <v>59</v>
      </c>
      <c r="C1356" s="2">
        <v>0.48749500000000001</v>
      </c>
      <c r="D1356" s="60">
        <v>48.749499999999998</v>
      </c>
      <c r="E1356" s="2">
        <v>4.3</v>
      </c>
      <c r="F1356" s="2">
        <v>4</v>
      </c>
      <c r="G1356" s="2">
        <v>36.849400000000003</v>
      </c>
      <c r="H1356" s="2">
        <v>41.755699999999997</v>
      </c>
      <c r="I1356" s="2">
        <v>0</v>
      </c>
      <c r="J1356" s="2">
        <v>0</v>
      </c>
    </row>
    <row r="1357" spans="1:10">
      <c r="A1357" s="2" t="s">
        <v>148</v>
      </c>
      <c r="B1357" s="2" t="s">
        <v>62</v>
      </c>
      <c r="C1357" s="2">
        <v>0.646254</v>
      </c>
      <c r="D1357" s="60">
        <v>51.700299999999999</v>
      </c>
      <c r="E1357" s="2">
        <v>0.3</v>
      </c>
      <c r="F1357" s="2">
        <v>4</v>
      </c>
      <c r="G1357" s="2">
        <v>41.755699999999997</v>
      </c>
      <c r="H1357" s="2">
        <v>52.316699999999997</v>
      </c>
      <c r="I1357" s="2">
        <v>0</v>
      </c>
      <c r="J1357" s="2">
        <v>0</v>
      </c>
    </row>
    <row r="1358" spans="1:10">
      <c r="A1358" s="2" t="s">
        <v>138</v>
      </c>
      <c r="B1358" s="2">
        <v>13</v>
      </c>
      <c r="C1358" s="2">
        <v>19.391200000000001</v>
      </c>
      <c r="D1358" s="60" t="s">
        <v>129</v>
      </c>
      <c r="E1358" s="2" t="s">
        <v>175</v>
      </c>
    </row>
    <row r="1359" spans="1:10">
      <c r="A1359" s="2" t="s">
        <v>140</v>
      </c>
      <c r="B1359" s="2">
        <v>0</v>
      </c>
      <c r="C1359" s="2">
        <v>50.511099999999999</v>
      </c>
      <c r="D1359" s="60">
        <v>26.167200000000001</v>
      </c>
      <c r="E1359" s="2">
        <v>0</v>
      </c>
      <c r="F1359" s="2">
        <v>11.3</v>
      </c>
    </row>
    <row r="1360" spans="1:10">
      <c r="A1360" s="2" t="s">
        <v>141</v>
      </c>
      <c r="B1360" s="2">
        <v>0</v>
      </c>
      <c r="C1360" s="2">
        <v>10.1</v>
      </c>
      <c r="D1360" s="60" t="s">
        <v>144</v>
      </c>
    </row>
    <row r="1361" spans="1:10">
      <c r="A1361" s="2" t="s">
        <v>141</v>
      </c>
      <c r="B1361" s="2">
        <v>0</v>
      </c>
      <c r="C1361" s="2">
        <v>10.1</v>
      </c>
      <c r="D1361" s="60" t="s">
        <v>146</v>
      </c>
    </row>
    <row r="1362" spans="1:10">
      <c r="A1362" s="2" t="s">
        <v>141</v>
      </c>
      <c r="B1362" s="2">
        <v>10.1</v>
      </c>
      <c r="C1362" s="2">
        <v>20.8523</v>
      </c>
      <c r="D1362" s="60" t="s">
        <v>147</v>
      </c>
    </row>
    <row r="1363" spans="1:10">
      <c r="A1363" s="2" t="s">
        <v>141</v>
      </c>
      <c r="B1363" s="2">
        <v>10.1</v>
      </c>
      <c r="C1363" s="2">
        <v>20.8523</v>
      </c>
      <c r="D1363" s="60" t="s">
        <v>152</v>
      </c>
    </row>
    <row r="1364" spans="1:10">
      <c r="A1364" s="2" t="s">
        <v>148</v>
      </c>
      <c r="B1364" s="2" t="s">
        <v>99</v>
      </c>
      <c r="C1364" s="2">
        <v>6.1200900000000003E-2</v>
      </c>
      <c r="D1364" s="60">
        <v>0</v>
      </c>
      <c r="E1364" s="2">
        <v>0</v>
      </c>
      <c r="F1364" s="2">
        <v>0.3</v>
      </c>
      <c r="G1364" s="2">
        <v>49.747500000000002</v>
      </c>
      <c r="H1364" s="2">
        <v>52.279600000000002</v>
      </c>
      <c r="I1364" s="2">
        <v>0</v>
      </c>
      <c r="J1364" s="2">
        <v>0</v>
      </c>
    </row>
    <row r="1365" spans="1:10">
      <c r="A1365" s="2" t="s">
        <v>148</v>
      </c>
      <c r="B1365" s="2" t="s">
        <v>101</v>
      </c>
      <c r="C1365" s="2">
        <v>0.25484499999999999</v>
      </c>
      <c r="D1365" s="60">
        <v>0</v>
      </c>
      <c r="E1365" s="2">
        <v>8.3000000000000007</v>
      </c>
      <c r="F1365" s="2">
        <v>3</v>
      </c>
      <c r="G1365" s="2">
        <v>30.6313</v>
      </c>
      <c r="H1365" s="2">
        <v>34.957999999999998</v>
      </c>
      <c r="I1365" s="2">
        <v>0</v>
      </c>
      <c r="J1365" s="2">
        <v>0</v>
      </c>
    </row>
    <row r="1366" spans="1:10">
      <c r="A1366" s="2" t="s">
        <v>148</v>
      </c>
      <c r="B1366" s="2" t="s">
        <v>59</v>
      </c>
      <c r="C1366" s="2">
        <v>0.43959500000000001</v>
      </c>
      <c r="D1366" s="60">
        <v>43.959499999999998</v>
      </c>
      <c r="E1366" s="2">
        <v>4.3</v>
      </c>
      <c r="F1366" s="2">
        <v>4</v>
      </c>
      <c r="G1366" s="2">
        <v>34.957999999999998</v>
      </c>
      <c r="H1366" s="2">
        <v>39.677700000000002</v>
      </c>
      <c r="I1366" s="2">
        <v>0</v>
      </c>
      <c r="J1366" s="2">
        <v>0</v>
      </c>
    </row>
    <row r="1367" spans="1:10">
      <c r="A1367" s="2" t="s">
        <v>148</v>
      </c>
      <c r="B1367" s="2" t="s">
        <v>59</v>
      </c>
      <c r="C1367" s="2">
        <v>0.58382000000000001</v>
      </c>
      <c r="D1367" s="60">
        <v>58.381999999999998</v>
      </c>
      <c r="E1367" s="2">
        <v>0.3</v>
      </c>
      <c r="F1367" s="2">
        <v>4</v>
      </c>
      <c r="G1367" s="2">
        <v>39.677700000000002</v>
      </c>
      <c r="H1367" s="2">
        <v>49.747500000000002</v>
      </c>
      <c r="I1367" s="2">
        <v>0</v>
      </c>
      <c r="J1367" s="2">
        <v>0</v>
      </c>
    </row>
    <row r="1368" spans="1:10">
      <c r="A1368" s="2" t="s">
        <v>138</v>
      </c>
      <c r="B1368" s="2">
        <v>14</v>
      </c>
      <c r="C1368" s="2">
        <v>19.298999999999999</v>
      </c>
      <c r="D1368" s="60" t="s">
        <v>129</v>
      </c>
      <c r="E1368" s="2" t="s">
        <v>149</v>
      </c>
    </row>
    <row r="1369" spans="1:10">
      <c r="A1369" s="2" t="s">
        <v>140</v>
      </c>
      <c r="B1369" s="2">
        <v>0</v>
      </c>
      <c r="C1369" s="2">
        <v>48.316699999999997</v>
      </c>
      <c r="D1369" s="60">
        <v>25.98</v>
      </c>
    </row>
    <row r="1370" spans="1:10">
      <c r="A1370" s="2" t="s">
        <v>141</v>
      </c>
      <c r="B1370" s="2">
        <v>0</v>
      </c>
      <c r="C1370" s="2">
        <v>3.3</v>
      </c>
      <c r="D1370" s="60" t="s">
        <v>158</v>
      </c>
    </row>
    <row r="1371" spans="1:10">
      <c r="A1371" s="2" t="s">
        <v>141</v>
      </c>
      <c r="B1371" s="2">
        <v>0</v>
      </c>
      <c r="C1371" s="2">
        <v>6.7</v>
      </c>
      <c r="D1371" s="60" t="s">
        <v>146</v>
      </c>
    </row>
    <row r="1372" spans="1:10">
      <c r="A1372" s="2" t="s">
        <v>141</v>
      </c>
      <c r="B1372" s="2">
        <v>0</v>
      </c>
      <c r="C1372" s="2">
        <v>10.8</v>
      </c>
      <c r="D1372" s="60" t="s">
        <v>145</v>
      </c>
    </row>
    <row r="1373" spans="1:10">
      <c r="A1373" s="2" t="s">
        <v>141</v>
      </c>
      <c r="B1373" s="2">
        <v>3.3</v>
      </c>
      <c r="C1373" s="2">
        <v>3.8</v>
      </c>
      <c r="D1373" s="60" t="s">
        <v>160</v>
      </c>
    </row>
    <row r="1374" spans="1:10">
      <c r="A1374" s="2" t="s">
        <v>141</v>
      </c>
      <c r="B1374" s="2">
        <v>3.8</v>
      </c>
      <c r="C1374" s="2">
        <v>6</v>
      </c>
      <c r="D1374" s="60" t="s">
        <v>158</v>
      </c>
    </row>
    <row r="1375" spans="1:10">
      <c r="A1375" s="2" t="s">
        <v>141</v>
      </c>
      <c r="B1375" s="2">
        <v>6</v>
      </c>
      <c r="C1375" s="2">
        <v>6.5</v>
      </c>
      <c r="D1375" s="60" t="s">
        <v>160</v>
      </c>
    </row>
    <row r="1376" spans="1:10">
      <c r="A1376" s="2" t="s">
        <v>141</v>
      </c>
      <c r="B1376" s="2">
        <v>6.7</v>
      </c>
      <c r="C1376" s="2">
        <v>7</v>
      </c>
      <c r="D1376" s="60" t="s">
        <v>153</v>
      </c>
    </row>
    <row r="1377" spans="1:10">
      <c r="A1377" s="2" t="s">
        <v>141</v>
      </c>
      <c r="B1377" s="2">
        <v>6.7</v>
      </c>
      <c r="C1377" s="2">
        <v>7</v>
      </c>
      <c r="D1377" s="60" t="s">
        <v>154</v>
      </c>
    </row>
    <row r="1378" spans="1:10">
      <c r="A1378" s="2" t="s">
        <v>141</v>
      </c>
      <c r="B1378" s="2">
        <v>6.7</v>
      </c>
      <c r="C1378" s="2">
        <v>10.8</v>
      </c>
      <c r="D1378" s="60" t="s">
        <v>152</v>
      </c>
    </row>
    <row r="1379" spans="1:10">
      <c r="A1379" s="2" t="s">
        <v>141</v>
      </c>
      <c r="B1379" s="2">
        <v>10.8</v>
      </c>
      <c r="C1379" s="2">
        <v>20.713799999999999</v>
      </c>
      <c r="D1379" s="60" t="s">
        <v>144</v>
      </c>
    </row>
    <row r="1380" spans="1:10">
      <c r="A1380" s="2" t="s">
        <v>141</v>
      </c>
      <c r="B1380" s="2">
        <v>10.8</v>
      </c>
      <c r="C1380" s="2">
        <v>20.713799999999999</v>
      </c>
      <c r="D1380" s="60" t="s">
        <v>161</v>
      </c>
    </row>
    <row r="1381" spans="1:10">
      <c r="A1381" s="2" t="s">
        <v>156</v>
      </c>
      <c r="B1381" s="2">
        <v>6.7</v>
      </c>
      <c r="C1381" s="2">
        <v>32.020400000000002</v>
      </c>
    </row>
    <row r="1382" spans="1:10">
      <c r="A1382" s="2" t="s">
        <v>148</v>
      </c>
      <c r="B1382" s="2" t="s">
        <v>99</v>
      </c>
      <c r="C1382" s="2">
        <v>5.6496999999999999E-2</v>
      </c>
      <c r="D1382" s="60">
        <v>0</v>
      </c>
      <c r="E1382" s="2">
        <v>0</v>
      </c>
      <c r="F1382" s="2">
        <v>0.3</v>
      </c>
      <c r="G1382" s="2">
        <v>47.790199999999999</v>
      </c>
      <c r="H1382" s="2">
        <v>50.238900000000001</v>
      </c>
      <c r="I1382" s="2">
        <v>0</v>
      </c>
      <c r="J1382" s="2">
        <v>0</v>
      </c>
    </row>
    <row r="1383" spans="1:10">
      <c r="A1383" s="2" t="s">
        <v>148</v>
      </c>
      <c r="B1383" s="2" t="s">
        <v>100</v>
      </c>
      <c r="C1383" s="2">
        <v>1.9973500000000002E-2</v>
      </c>
      <c r="D1383" s="60">
        <v>0</v>
      </c>
      <c r="E1383" s="2">
        <v>19.488199999999999</v>
      </c>
      <c r="F1383" s="2">
        <v>6.4918300000000002</v>
      </c>
      <c r="G1383" s="2">
        <v>0</v>
      </c>
      <c r="H1383" s="2">
        <v>10</v>
      </c>
      <c r="I1383" s="2">
        <v>0</v>
      </c>
      <c r="J1383" s="2">
        <v>0</v>
      </c>
    </row>
    <row r="1384" spans="1:10">
      <c r="A1384" s="2" t="s">
        <v>148</v>
      </c>
      <c r="B1384" s="2" t="s">
        <v>101</v>
      </c>
      <c r="C1384" s="2">
        <v>0.17364399999999999</v>
      </c>
      <c r="D1384" s="60">
        <v>0</v>
      </c>
      <c r="E1384" s="2">
        <v>10.8</v>
      </c>
      <c r="F1384" s="2">
        <v>8.6881900000000005</v>
      </c>
      <c r="G1384" s="2">
        <v>10</v>
      </c>
      <c r="H1384" s="2">
        <v>20.804300000000001</v>
      </c>
      <c r="I1384" s="2">
        <v>0</v>
      </c>
      <c r="J1384" s="2">
        <v>0</v>
      </c>
    </row>
    <row r="1385" spans="1:10">
      <c r="A1385" s="2" t="s">
        <v>148</v>
      </c>
      <c r="B1385" s="2" t="s">
        <v>64</v>
      </c>
      <c r="C1385" s="2">
        <v>0.15296499999999999</v>
      </c>
      <c r="D1385" s="60">
        <v>4.5889600000000002</v>
      </c>
      <c r="E1385" s="2">
        <v>7</v>
      </c>
      <c r="F1385" s="2">
        <v>3.8</v>
      </c>
      <c r="G1385" s="2">
        <v>20.804300000000001</v>
      </c>
      <c r="H1385" s="2">
        <v>24.286300000000001</v>
      </c>
      <c r="I1385" s="2">
        <v>0</v>
      </c>
      <c r="J1385" s="2">
        <v>0</v>
      </c>
    </row>
    <row r="1386" spans="1:10">
      <c r="A1386" s="2" t="s">
        <v>148</v>
      </c>
      <c r="B1386" s="2" t="s">
        <v>101</v>
      </c>
      <c r="C1386" s="2">
        <v>5.4027800000000001E-2</v>
      </c>
      <c r="D1386" s="60">
        <v>0</v>
      </c>
      <c r="E1386" s="2">
        <v>6.3</v>
      </c>
      <c r="F1386" s="2">
        <v>0.7</v>
      </c>
      <c r="G1386" s="2">
        <v>24.286300000000001</v>
      </c>
      <c r="H1386" s="2">
        <v>35.905500000000004</v>
      </c>
      <c r="I1386" s="2">
        <v>0</v>
      </c>
      <c r="J1386" s="2">
        <v>0</v>
      </c>
    </row>
    <row r="1387" spans="1:10">
      <c r="A1387" s="2" t="s">
        <v>148</v>
      </c>
      <c r="B1387" s="2" t="s">
        <v>62</v>
      </c>
      <c r="C1387" s="2">
        <v>0.753579</v>
      </c>
      <c r="D1387" s="60">
        <v>60.286299999999997</v>
      </c>
      <c r="E1387" s="2">
        <v>0.3</v>
      </c>
      <c r="F1387" s="2">
        <v>6</v>
      </c>
      <c r="G1387" s="2">
        <v>35.905500000000004</v>
      </c>
      <c r="H1387" s="2">
        <v>47.790199999999999</v>
      </c>
      <c r="I1387" s="2">
        <v>0</v>
      </c>
      <c r="J1387" s="2">
        <v>0</v>
      </c>
    </row>
    <row r="1388" spans="1:10">
      <c r="A1388" s="2" t="s">
        <v>140</v>
      </c>
      <c r="B1388" s="2">
        <v>1</v>
      </c>
      <c r="C1388" s="2">
        <v>28.497900000000001</v>
      </c>
      <c r="D1388" s="60">
        <v>25.98</v>
      </c>
      <c r="E1388" s="2">
        <v>6.7</v>
      </c>
    </row>
    <row r="1389" spans="1:10">
      <c r="A1389" s="2" t="s">
        <v>141</v>
      </c>
      <c r="B1389" s="2">
        <v>6.7</v>
      </c>
      <c r="C1389" s="2">
        <v>7</v>
      </c>
      <c r="D1389" s="60" t="s">
        <v>153</v>
      </c>
    </row>
    <row r="1390" spans="1:10">
      <c r="A1390" s="2" t="s">
        <v>141</v>
      </c>
      <c r="B1390" s="2">
        <v>6.7</v>
      </c>
      <c r="C1390" s="2">
        <v>10.4</v>
      </c>
      <c r="D1390" s="60" t="s">
        <v>158</v>
      </c>
    </row>
    <row r="1391" spans="1:10">
      <c r="A1391" s="2" t="s">
        <v>141</v>
      </c>
      <c r="B1391" s="2">
        <v>6.7</v>
      </c>
      <c r="C1391" s="2">
        <v>10.7</v>
      </c>
      <c r="D1391" s="60" t="s">
        <v>152</v>
      </c>
    </row>
    <row r="1392" spans="1:10">
      <c r="A1392" s="2" t="s">
        <v>141</v>
      </c>
      <c r="B1392" s="2">
        <v>6.7</v>
      </c>
      <c r="C1392" s="2">
        <v>20.713799999999999</v>
      </c>
      <c r="D1392" s="60" t="s">
        <v>144</v>
      </c>
    </row>
    <row r="1393" spans="1:10">
      <c r="A1393" s="2" t="s">
        <v>141</v>
      </c>
      <c r="B1393" s="2">
        <v>10.4</v>
      </c>
      <c r="C1393" s="2">
        <v>10.7</v>
      </c>
      <c r="D1393" s="60" t="s">
        <v>174</v>
      </c>
    </row>
    <row r="1394" spans="1:10">
      <c r="A1394" s="2" t="s">
        <v>141</v>
      </c>
      <c r="B1394" s="2">
        <v>10.7</v>
      </c>
      <c r="C1394" s="2">
        <v>20.713799999999999</v>
      </c>
      <c r="D1394" s="60" t="s">
        <v>161</v>
      </c>
    </row>
    <row r="1395" spans="1:10">
      <c r="A1395" s="2" t="s">
        <v>148</v>
      </c>
      <c r="B1395" s="2" t="s">
        <v>100</v>
      </c>
      <c r="C1395" s="2">
        <v>2.2022E-2</v>
      </c>
      <c r="D1395" s="60">
        <v>0</v>
      </c>
      <c r="E1395" s="2">
        <v>18.669899999999998</v>
      </c>
      <c r="F1395" s="2">
        <v>7.3101200000000004</v>
      </c>
      <c r="G1395" s="2">
        <v>0</v>
      </c>
      <c r="H1395" s="2">
        <v>10</v>
      </c>
      <c r="I1395" s="2">
        <v>0</v>
      </c>
      <c r="J1395" s="2">
        <v>0</v>
      </c>
    </row>
    <row r="1396" spans="1:10">
      <c r="A1396" s="2" t="s">
        <v>148</v>
      </c>
      <c r="B1396" s="2" t="s">
        <v>101</v>
      </c>
      <c r="C1396" s="2">
        <v>0.27067200000000002</v>
      </c>
      <c r="D1396" s="60">
        <v>0</v>
      </c>
      <c r="E1396" s="2">
        <v>6.7</v>
      </c>
      <c r="F1396" s="2">
        <v>11.969900000000001</v>
      </c>
      <c r="G1396" s="2">
        <v>10</v>
      </c>
      <c r="H1396" s="2">
        <v>22.096800000000002</v>
      </c>
      <c r="I1396" s="2">
        <v>0</v>
      </c>
      <c r="J1396" s="2">
        <v>0</v>
      </c>
    </row>
    <row r="1397" spans="1:10">
      <c r="A1397" s="2" t="s">
        <v>138</v>
      </c>
      <c r="B1397" s="2">
        <v>15</v>
      </c>
      <c r="C1397" s="2">
        <v>19.112200000000001</v>
      </c>
      <c r="D1397" s="60" t="s">
        <v>129</v>
      </c>
      <c r="E1397" s="2" t="s">
        <v>139</v>
      </c>
    </row>
    <row r="1398" spans="1:10">
      <c r="A1398" s="2" t="s">
        <v>140</v>
      </c>
      <c r="B1398" s="2">
        <v>0</v>
      </c>
      <c r="C1398" s="2">
        <v>44.905900000000003</v>
      </c>
      <c r="D1398" s="60">
        <v>25.555900000000001</v>
      </c>
    </row>
    <row r="1399" spans="1:10">
      <c r="A1399" s="2" t="s">
        <v>141</v>
      </c>
      <c r="B1399" s="2">
        <v>0</v>
      </c>
      <c r="C1399" s="2">
        <v>6</v>
      </c>
      <c r="D1399" s="60" t="s">
        <v>142</v>
      </c>
    </row>
    <row r="1400" spans="1:10">
      <c r="A1400" s="2" t="s">
        <v>141</v>
      </c>
      <c r="B1400" s="2">
        <v>0</v>
      </c>
      <c r="C1400" s="2">
        <v>6.8</v>
      </c>
      <c r="D1400" s="60" t="s">
        <v>158</v>
      </c>
    </row>
    <row r="1401" spans="1:10">
      <c r="A1401" s="2" t="s">
        <v>141</v>
      </c>
      <c r="B1401" s="2">
        <v>0</v>
      </c>
      <c r="C1401" s="2">
        <v>20.399999999999999</v>
      </c>
      <c r="D1401" s="60" t="s">
        <v>146</v>
      </c>
    </row>
    <row r="1402" spans="1:10">
      <c r="A1402" s="2" t="s">
        <v>141</v>
      </c>
      <c r="B1402" s="2">
        <v>6</v>
      </c>
      <c r="C1402" s="2">
        <v>12.1</v>
      </c>
      <c r="D1402" s="60" t="s">
        <v>144</v>
      </c>
    </row>
    <row r="1403" spans="1:10">
      <c r="A1403" s="2" t="s">
        <v>141</v>
      </c>
      <c r="B1403" s="2">
        <v>6.8</v>
      </c>
      <c r="C1403" s="2">
        <v>7.1</v>
      </c>
      <c r="D1403" s="60" t="s">
        <v>176</v>
      </c>
    </row>
    <row r="1404" spans="1:10">
      <c r="A1404" s="2" t="s">
        <v>141</v>
      </c>
      <c r="B1404" s="2">
        <v>12.1</v>
      </c>
      <c r="C1404" s="2">
        <v>20.399999999999999</v>
      </c>
      <c r="D1404" s="60" t="s">
        <v>145</v>
      </c>
    </row>
    <row r="1405" spans="1:10">
      <c r="A1405" s="2" t="s">
        <v>148</v>
      </c>
      <c r="B1405" s="2" t="s">
        <v>99</v>
      </c>
      <c r="C1405" s="2">
        <v>4.9506000000000001E-2</v>
      </c>
      <c r="D1405" s="60">
        <v>0</v>
      </c>
      <c r="E1405" s="2">
        <v>0</v>
      </c>
      <c r="F1405" s="2">
        <v>0.3</v>
      </c>
      <c r="G1405" s="2">
        <v>44.720100000000002</v>
      </c>
      <c r="H1405" s="2">
        <v>47.046500000000002</v>
      </c>
      <c r="I1405" s="2">
        <v>0</v>
      </c>
      <c r="J1405" s="2">
        <v>0</v>
      </c>
    </row>
    <row r="1406" spans="1:10">
      <c r="A1406" s="2" t="s">
        <v>148</v>
      </c>
      <c r="B1406" s="2" t="s">
        <v>100</v>
      </c>
      <c r="C1406" s="2">
        <v>1.4671099999999999E-2</v>
      </c>
      <c r="D1406" s="60">
        <v>0</v>
      </c>
      <c r="E1406" s="2">
        <v>21.119800000000001</v>
      </c>
      <c r="F1406" s="2">
        <v>4.4360900000000001</v>
      </c>
      <c r="G1406" s="2">
        <v>0</v>
      </c>
      <c r="H1406" s="2">
        <v>10</v>
      </c>
      <c r="I1406" s="2">
        <v>0</v>
      </c>
      <c r="J1406" s="2">
        <v>0</v>
      </c>
    </row>
    <row r="1407" spans="1:10">
      <c r="A1407" s="2" t="s">
        <v>148</v>
      </c>
      <c r="B1407" s="2" t="s">
        <v>98</v>
      </c>
      <c r="C1407" s="2">
        <v>0.20335</v>
      </c>
      <c r="D1407" s="60">
        <v>0</v>
      </c>
      <c r="E1407" s="2">
        <v>13.0153</v>
      </c>
      <c r="F1407" s="2">
        <v>8.1044800000000006</v>
      </c>
      <c r="G1407" s="2">
        <v>10</v>
      </c>
      <c r="H1407" s="2">
        <v>24.512899999999998</v>
      </c>
      <c r="I1407" s="2">
        <v>0</v>
      </c>
      <c r="J1407" s="2">
        <v>0</v>
      </c>
    </row>
    <row r="1408" spans="1:10">
      <c r="A1408" s="2" t="s">
        <v>148</v>
      </c>
      <c r="B1408" s="2" t="s">
        <v>101</v>
      </c>
      <c r="C1408" s="2">
        <v>3.5362600000000001E-2</v>
      </c>
      <c r="D1408" s="60">
        <v>0</v>
      </c>
      <c r="E1408" s="2">
        <v>12.3</v>
      </c>
      <c r="F1408" s="2">
        <v>0.71530899999999997</v>
      </c>
      <c r="G1408" s="2">
        <v>24.512899999999998</v>
      </c>
      <c r="H1408" s="2">
        <v>25.653600000000001</v>
      </c>
      <c r="I1408" s="2">
        <v>0</v>
      </c>
      <c r="J1408" s="2">
        <v>0</v>
      </c>
    </row>
    <row r="1409" spans="1:10">
      <c r="A1409" s="2" t="s">
        <v>148</v>
      </c>
      <c r="B1409" s="2" t="s">
        <v>60</v>
      </c>
      <c r="C1409" s="2">
        <v>0.25697999999999999</v>
      </c>
      <c r="D1409" s="60">
        <v>23.1282</v>
      </c>
      <c r="E1409" s="2">
        <v>8.3000000000000007</v>
      </c>
      <c r="F1409" s="2">
        <v>4</v>
      </c>
      <c r="G1409" s="2">
        <v>25.653600000000001</v>
      </c>
      <c r="H1409" s="2">
        <v>31.223800000000001</v>
      </c>
      <c r="I1409" s="2">
        <v>0</v>
      </c>
      <c r="J1409" s="2">
        <v>0</v>
      </c>
    </row>
    <row r="1410" spans="1:10">
      <c r="A1410" s="2" t="s">
        <v>148</v>
      </c>
      <c r="B1410" s="2" t="s">
        <v>59</v>
      </c>
      <c r="C1410" s="2">
        <v>0.352607</v>
      </c>
      <c r="D1410" s="60">
        <v>35.2607</v>
      </c>
      <c r="E1410" s="2">
        <v>4.3</v>
      </c>
      <c r="F1410" s="2">
        <v>4</v>
      </c>
      <c r="G1410" s="2">
        <v>31.223800000000001</v>
      </c>
      <c r="H1410" s="2">
        <v>35.601399999999998</v>
      </c>
      <c r="I1410" s="2">
        <v>0</v>
      </c>
      <c r="J1410" s="2">
        <v>0</v>
      </c>
    </row>
    <row r="1411" spans="1:10">
      <c r="A1411" s="2" t="s">
        <v>148</v>
      </c>
      <c r="B1411" s="2" t="s">
        <v>56</v>
      </c>
      <c r="C1411" s="2">
        <v>0.47067199999999998</v>
      </c>
      <c r="D1411" s="60">
        <v>65.894099999999995</v>
      </c>
      <c r="E1411" s="2">
        <v>0.3</v>
      </c>
      <c r="F1411" s="2">
        <v>4</v>
      </c>
      <c r="G1411" s="2">
        <v>35.601399999999998</v>
      </c>
      <c r="H1411" s="2">
        <v>44.720100000000002</v>
      </c>
      <c r="I1411" s="2">
        <v>0</v>
      </c>
      <c r="J1411" s="2">
        <v>0</v>
      </c>
    </row>
    <row r="1412" spans="1:10">
      <c r="A1412" s="2" t="s">
        <v>138</v>
      </c>
      <c r="B1412" s="2">
        <v>16</v>
      </c>
      <c r="C1412" s="2">
        <v>19.769200000000001</v>
      </c>
      <c r="D1412" s="60" t="s">
        <v>129</v>
      </c>
      <c r="E1412" s="2" t="s">
        <v>139</v>
      </c>
    </row>
    <row r="1413" spans="1:10">
      <c r="A1413" s="2" t="s">
        <v>140</v>
      </c>
      <c r="B1413" s="2">
        <v>0</v>
      </c>
      <c r="C1413" s="2">
        <v>66.669700000000006</v>
      </c>
      <c r="D1413" s="60">
        <v>28.394300000000001</v>
      </c>
    </row>
    <row r="1414" spans="1:10">
      <c r="A1414" s="2" t="s">
        <v>141</v>
      </c>
      <c r="B1414" s="2">
        <v>0</v>
      </c>
      <c r="C1414" s="2">
        <v>6.5</v>
      </c>
      <c r="D1414" s="60" t="s">
        <v>142</v>
      </c>
    </row>
    <row r="1415" spans="1:10">
      <c r="A1415" s="2" t="s">
        <v>141</v>
      </c>
      <c r="B1415" s="2">
        <v>0</v>
      </c>
      <c r="C1415" s="2">
        <v>11.9</v>
      </c>
      <c r="D1415" s="60" t="s">
        <v>158</v>
      </c>
    </row>
    <row r="1416" spans="1:10">
      <c r="A1416" s="2" t="s">
        <v>141</v>
      </c>
      <c r="B1416" s="2">
        <v>0</v>
      </c>
      <c r="C1416" s="2">
        <v>22.5</v>
      </c>
      <c r="D1416" s="60" t="s">
        <v>146</v>
      </c>
    </row>
    <row r="1417" spans="1:10">
      <c r="A1417" s="2" t="s">
        <v>141</v>
      </c>
      <c r="B1417" s="2">
        <v>6.5</v>
      </c>
      <c r="C1417" s="2">
        <v>22.5</v>
      </c>
      <c r="D1417" s="60" t="s">
        <v>147</v>
      </c>
    </row>
    <row r="1418" spans="1:10">
      <c r="A1418" s="2" t="s">
        <v>141</v>
      </c>
      <c r="B1418" s="2">
        <v>11.9</v>
      </c>
      <c r="C1418" s="2">
        <v>12.2</v>
      </c>
      <c r="D1418" s="60" t="s">
        <v>176</v>
      </c>
    </row>
    <row r="1419" spans="1:10">
      <c r="A1419" s="2" t="s">
        <v>148</v>
      </c>
      <c r="B1419" s="2" t="s">
        <v>99</v>
      </c>
      <c r="C1419" s="2">
        <v>0.101114</v>
      </c>
      <c r="D1419" s="60">
        <v>0</v>
      </c>
      <c r="E1419" s="2">
        <v>0</v>
      </c>
      <c r="F1419" s="2">
        <v>0.3</v>
      </c>
      <c r="G1419" s="2">
        <v>64.050799999999995</v>
      </c>
      <c r="H1419" s="2">
        <v>67.073499999999996</v>
      </c>
      <c r="I1419" s="2">
        <v>0</v>
      </c>
      <c r="J1419" s="2">
        <v>0</v>
      </c>
    </row>
    <row r="1420" spans="1:10">
      <c r="A1420" s="2" t="s">
        <v>148</v>
      </c>
      <c r="B1420" s="2" t="s">
        <v>100</v>
      </c>
      <c r="C1420" s="2">
        <v>1.08369E-2</v>
      </c>
      <c r="D1420" s="60">
        <v>0</v>
      </c>
      <c r="E1420" s="2">
        <v>25.380199999999999</v>
      </c>
      <c r="F1420" s="2">
        <v>3.0141</v>
      </c>
      <c r="G1420" s="2">
        <v>0</v>
      </c>
      <c r="H1420" s="2">
        <v>10.0002</v>
      </c>
      <c r="I1420" s="2">
        <v>0</v>
      </c>
      <c r="J1420" s="2">
        <v>0</v>
      </c>
    </row>
    <row r="1421" spans="1:10">
      <c r="A1421" s="2" t="s">
        <v>148</v>
      </c>
      <c r="B1421" s="2" t="s">
        <v>98</v>
      </c>
      <c r="C1421" s="2">
        <v>8.1993099999999996E-3</v>
      </c>
      <c r="D1421" s="60">
        <v>0</v>
      </c>
      <c r="E1421" s="2">
        <v>24.5121</v>
      </c>
      <c r="F1421" s="2">
        <v>0.86807699999999999</v>
      </c>
      <c r="G1421" s="2">
        <v>10.0002</v>
      </c>
      <c r="H1421" s="2">
        <v>11.9087</v>
      </c>
      <c r="I1421" s="2">
        <v>0</v>
      </c>
      <c r="J1421" s="2">
        <v>0</v>
      </c>
    </row>
    <row r="1422" spans="1:10">
      <c r="A1422" s="2" t="s">
        <v>148</v>
      </c>
      <c r="B1422" s="2" t="s">
        <v>101</v>
      </c>
      <c r="C1422" s="2">
        <v>3.4187500000000003E-2</v>
      </c>
      <c r="D1422" s="60">
        <v>0</v>
      </c>
      <c r="E1422" s="2">
        <v>22.4</v>
      </c>
      <c r="F1422" s="2">
        <v>2.1120999999999999</v>
      </c>
      <c r="G1422" s="2">
        <v>11.9087</v>
      </c>
      <c r="H1422" s="2">
        <v>16.7102</v>
      </c>
      <c r="I1422" s="2">
        <v>0</v>
      </c>
      <c r="J1422" s="2">
        <v>0</v>
      </c>
    </row>
    <row r="1423" spans="1:10">
      <c r="A1423" s="2" t="s">
        <v>148</v>
      </c>
      <c r="B1423" s="2" t="s">
        <v>63</v>
      </c>
      <c r="C1423" s="2">
        <v>0.27431299999999997</v>
      </c>
      <c r="D1423" s="60">
        <v>19.201899999999998</v>
      </c>
      <c r="E1423" s="2">
        <v>16.399999999999999</v>
      </c>
      <c r="F1423" s="2">
        <v>6</v>
      </c>
      <c r="G1423" s="2">
        <v>16.7102</v>
      </c>
      <c r="H1423" s="2">
        <v>30.753299999999999</v>
      </c>
      <c r="I1423" s="2">
        <v>0</v>
      </c>
      <c r="J1423" s="2">
        <v>0</v>
      </c>
    </row>
    <row r="1424" spans="1:10">
      <c r="A1424" s="2" t="s">
        <v>148</v>
      </c>
      <c r="B1424" s="2" t="s">
        <v>59</v>
      </c>
      <c r="C1424" s="2">
        <v>0.64933799999999997</v>
      </c>
      <c r="D1424" s="60">
        <v>64.933800000000005</v>
      </c>
      <c r="E1424" s="2">
        <v>10.4</v>
      </c>
      <c r="F1424" s="2">
        <v>6</v>
      </c>
      <c r="G1424" s="2">
        <v>30.753299999999999</v>
      </c>
      <c r="H1424" s="2">
        <v>42.604300000000002</v>
      </c>
      <c r="I1424" s="2">
        <v>0</v>
      </c>
      <c r="J1424" s="2">
        <v>0</v>
      </c>
    </row>
    <row r="1425" spans="1:10">
      <c r="A1425" s="2" t="s">
        <v>148</v>
      </c>
      <c r="B1425" s="2" t="s">
        <v>58</v>
      </c>
      <c r="C1425" s="2">
        <v>0.65744800000000003</v>
      </c>
      <c r="D1425" s="60">
        <v>69.031999999999996</v>
      </c>
      <c r="E1425" s="2">
        <v>6.4</v>
      </c>
      <c r="F1425" s="2">
        <v>4</v>
      </c>
      <c r="G1425" s="2">
        <v>42.604300000000002</v>
      </c>
      <c r="H1425" s="2">
        <v>48.5989</v>
      </c>
      <c r="I1425" s="2">
        <v>0</v>
      </c>
      <c r="J1425" s="2">
        <v>0</v>
      </c>
    </row>
    <row r="1426" spans="1:10">
      <c r="A1426" s="2" t="s">
        <v>148</v>
      </c>
      <c r="B1426" s="2" t="s">
        <v>55</v>
      </c>
      <c r="C1426" s="2">
        <v>1.3881699999999999</v>
      </c>
      <c r="D1426" s="60">
        <v>201.28399999999999</v>
      </c>
      <c r="E1426" s="2">
        <v>0.3</v>
      </c>
      <c r="F1426" s="2">
        <v>6.1</v>
      </c>
      <c r="G1426" s="2">
        <v>48.5989</v>
      </c>
      <c r="H1426" s="2">
        <v>64.050799999999995</v>
      </c>
      <c r="I1426" s="2">
        <v>0</v>
      </c>
      <c r="J1426" s="2">
        <v>0</v>
      </c>
    </row>
    <row r="1427" spans="1:10">
      <c r="A1427" s="2" t="s">
        <v>138</v>
      </c>
      <c r="B1427" s="2">
        <v>17</v>
      </c>
      <c r="C1427" s="2">
        <v>17.4194</v>
      </c>
      <c r="D1427" s="60" t="s">
        <v>129</v>
      </c>
      <c r="E1427" s="2" t="s">
        <v>149</v>
      </c>
    </row>
    <row r="1428" spans="1:10">
      <c r="A1428" s="2" t="s">
        <v>140</v>
      </c>
      <c r="B1428" s="2">
        <v>0</v>
      </c>
      <c r="C1428" s="2">
        <v>31.698</v>
      </c>
      <c r="D1428" s="60">
        <v>24.124700000000001</v>
      </c>
    </row>
    <row r="1429" spans="1:10">
      <c r="A1429" s="2" t="s">
        <v>141</v>
      </c>
      <c r="B1429" s="2">
        <v>0</v>
      </c>
      <c r="C1429" s="2">
        <v>6.5</v>
      </c>
      <c r="D1429" s="60" t="s">
        <v>142</v>
      </c>
    </row>
    <row r="1430" spans="1:10">
      <c r="A1430" s="2" t="s">
        <v>141</v>
      </c>
      <c r="B1430" s="2">
        <v>0</v>
      </c>
      <c r="C1430" s="2">
        <v>7.1</v>
      </c>
      <c r="D1430" s="60" t="s">
        <v>146</v>
      </c>
    </row>
    <row r="1431" spans="1:10">
      <c r="A1431" s="2" t="s">
        <v>141</v>
      </c>
      <c r="B1431" s="2">
        <v>0</v>
      </c>
      <c r="C1431" s="2">
        <v>7.1</v>
      </c>
      <c r="D1431" s="60" t="s">
        <v>158</v>
      </c>
    </row>
    <row r="1432" spans="1:10">
      <c r="A1432" s="2" t="s">
        <v>141</v>
      </c>
      <c r="B1432" s="2">
        <v>6.5</v>
      </c>
      <c r="C1432" s="2">
        <v>19.341100000000001</v>
      </c>
      <c r="D1432" s="60" t="s">
        <v>144</v>
      </c>
    </row>
    <row r="1433" spans="1:10">
      <c r="A1433" s="2" t="s">
        <v>141</v>
      </c>
      <c r="B1433" s="2">
        <v>7.1</v>
      </c>
      <c r="C1433" s="2">
        <v>7.6</v>
      </c>
      <c r="D1433" s="60" t="s">
        <v>178</v>
      </c>
    </row>
    <row r="1434" spans="1:10">
      <c r="A1434" s="2" t="s">
        <v>141</v>
      </c>
      <c r="B1434" s="2">
        <v>7.1</v>
      </c>
      <c r="C1434" s="2">
        <v>10</v>
      </c>
      <c r="D1434" s="60" t="s">
        <v>152</v>
      </c>
    </row>
    <row r="1435" spans="1:10">
      <c r="A1435" s="2" t="s">
        <v>141</v>
      </c>
      <c r="B1435" s="2">
        <v>10</v>
      </c>
      <c r="C1435" s="2">
        <v>19.341100000000001</v>
      </c>
      <c r="D1435" s="60" t="s">
        <v>161</v>
      </c>
    </row>
    <row r="1436" spans="1:10">
      <c r="A1436" s="2" t="s">
        <v>148</v>
      </c>
      <c r="B1436" s="2" t="s">
        <v>99</v>
      </c>
      <c r="C1436" s="2">
        <v>2.6441200000000002E-2</v>
      </c>
      <c r="D1436" s="60">
        <v>0</v>
      </c>
      <c r="E1436" s="2">
        <v>0</v>
      </c>
      <c r="F1436" s="2">
        <v>0.3</v>
      </c>
      <c r="G1436" s="2">
        <v>32.641199999999998</v>
      </c>
      <c r="H1436" s="2">
        <v>34.431600000000003</v>
      </c>
      <c r="I1436" s="2">
        <v>0</v>
      </c>
      <c r="J1436" s="2">
        <v>0</v>
      </c>
    </row>
    <row r="1437" spans="1:10">
      <c r="A1437" s="2" t="s">
        <v>148</v>
      </c>
      <c r="B1437" s="2" t="s">
        <v>100</v>
      </c>
      <c r="C1437" s="2">
        <v>1.87119E-2</v>
      </c>
      <c r="D1437" s="60">
        <v>0</v>
      </c>
      <c r="E1437" s="2">
        <v>18.0305</v>
      </c>
      <c r="F1437" s="2">
        <v>6.0941200000000002</v>
      </c>
      <c r="G1437" s="2">
        <v>0</v>
      </c>
      <c r="H1437" s="2">
        <v>10</v>
      </c>
      <c r="I1437" s="2">
        <v>0</v>
      </c>
      <c r="J1437" s="2">
        <v>0</v>
      </c>
    </row>
    <row r="1438" spans="1:10">
      <c r="A1438" s="2" t="s">
        <v>148</v>
      </c>
      <c r="B1438" s="2" t="s">
        <v>98</v>
      </c>
      <c r="C1438" s="2">
        <v>7.1239700000000003E-2</v>
      </c>
      <c r="D1438" s="60">
        <v>0</v>
      </c>
      <c r="E1438" s="2">
        <v>13.1396</v>
      </c>
      <c r="F1438" s="2">
        <v>4.8908899999999997</v>
      </c>
      <c r="G1438" s="2">
        <v>10</v>
      </c>
      <c r="H1438" s="2">
        <v>16.844200000000001</v>
      </c>
      <c r="I1438" s="2">
        <v>0</v>
      </c>
      <c r="J1438" s="2">
        <v>0</v>
      </c>
    </row>
    <row r="1439" spans="1:10">
      <c r="A1439" s="2" t="s">
        <v>148</v>
      </c>
      <c r="B1439" s="2" t="s">
        <v>101</v>
      </c>
      <c r="C1439" s="2">
        <v>8.74249E-2</v>
      </c>
      <c r="D1439" s="60">
        <v>0</v>
      </c>
      <c r="E1439" s="2">
        <v>10</v>
      </c>
      <c r="F1439" s="2">
        <v>3.13964</v>
      </c>
      <c r="G1439" s="2">
        <v>16.844200000000001</v>
      </c>
      <c r="H1439" s="2">
        <v>20.639900000000001</v>
      </c>
      <c r="I1439" s="2">
        <v>0</v>
      </c>
      <c r="J1439" s="2">
        <v>0</v>
      </c>
    </row>
    <row r="1440" spans="1:10">
      <c r="A1440" s="2" t="s">
        <v>148</v>
      </c>
      <c r="B1440" s="2" t="s">
        <v>64</v>
      </c>
      <c r="C1440" s="2">
        <v>0.14757799999999999</v>
      </c>
      <c r="D1440" s="60">
        <v>4.4273300000000004</v>
      </c>
      <c r="E1440" s="2">
        <v>6.3</v>
      </c>
      <c r="F1440" s="2">
        <v>3.7</v>
      </c>
      <c r="G1440" s="2">
        <v>20.639900000000001</v>
      </c>
      <c r="H1440" s="2">
        <v>24.229099999999999</v>
      </c>
      <c r="I1440" s="2">
        <v>0</v>
      </c>
      <c r="J1440" s="2">
        <v>0</v>
      </c>
    </row>
    <row r="1441" spans="1:10">
      <c r="A1441" s="2" t="s">
        <v>148</v>
      </c>
      <c r="B1441" s="2" t="s">
        <v>60</v>
      </c>
      <c r="C1441" s="2">
        <v>0.34796100000000002</v>
      </c>
      <c r="D1441" s="60">
        <v>31.316500000000001</v>
      </c>
      <c r="E1441" s="2">
        <v>0.3</v>
      </c>
      <c r="F1441" s="2">
        <v>6</v>
      </c>
      <c r="G1441" s="2">
        <v>24.229099999999999</v>
      </c>
      <c r="H1441" s="2">
        <v>32.641199999999998</v>
      </c>
      <c r="I1441" s="2">
        <v>0</v>
      </c>
      <c r="J1441" s="2">
        <v>0</v>
      </c>
    </row>
    <row r="1442" spans="1:10">
      <c r="A1442" s="2" t="s">
        <v>138</v>
      </c>
      <c r="B1442" s="2">
        <v>18</v>
      </c>
      <c r="C1442" s="2">
        <v>19.7592</v>
      </c>
      <c r="D1442" s="60" t="s">
        <v>129</v>
      </c>
      <c r="E1442" s="2" t="s">
        <v>149</v>
      </c>
    </row>
    <row r="1443" spans="1:10">
      <c r="A1443" s="2" t="s">
        <v>140</v>
      </c>
      <c r="B1443" s="2">
        <v>0</v>
      </c>
      <c r="C1443" s="2">
        <v>67.085999999999999</v>
      </c>
      <c r="D1443" s="60">
        <v>27.321899999999999</v>
      </c>
    </row>
    <row r="1444" spans="1:10">
      <c r="A1444" s="2" t="s">
        <v>141</v>
      </c>
      <c r="B1444" s="2">
        <v>0</v>
      </c>
      <c r="C1444" s="2">
        <v>6.8</v>
      </c>
      <c r="D1444" s="60" t="s">
        <v>142</v>
      </c>
    </row>
    <row r="1445" spans="1:10">
      <c r="A1445" s="2" t="s">
        <v>141</v>
      </c>
      <c r="B1445" s="2">
        <v>0</v>
      </c>
      <c r="C1445" s="2">
        <v>8.4</v>
      </c>
      <c r="D1445" s="60" t="s">
        <v>146</v>
      </c>
    </row>
    <row r="1446" spans="1:10">
      <c r="A1446" s="2" t="s">
        <v>141</v>
      </c>
      <c r="B1446" s="2">
        <v>6.8</v>
      </c>
      <c r="C1446" s="2">
        <v>8.5</v>
      </c>
      <c r="D1446" s="60" t="s">
        <v>144</v>
      </c>
    </row>
    <row r="1447" spans="1:10">
      <c r="A1447" s="2" t="s">
        <v>141</v>
      </c>
      <c r="B1447" s="2">
        <v>8.4</v>
      </c>
      <c r="C1447" s="2">
        <v>11.5</v>
      </c>
      <c r="D1447" s="60" t="s">
        <v>155</v>
      </c>
    </row>
    <row r="1448" spans="1:10">
      <c r="A1448" s="2" t="s">
        <v>141</v>
      </c>
      <c r="B1448" s="2">
        <v>8.5</v>
      </c>
      <c r="C1448" s="2">
        <v>11.5</v>
      </c>
      <c r="D1448" s="60" t="s">
        <v>147</v>
      </c>
    </row>
    <row r="1449" spans="1:10">
      <c r="A1449" s="2" t="s">
        <v>141</v>
      </c>
      <c r="B1449" s="2">
        <v>11.5</v>
      </c>
      <c r="C1449" s="2">
        <v>12</v>
      </c>
      <c r="D1449" s="60" t="s">
        <v>151</v>
      </c>
    </row>
    <row r="1450" spans="1:10">
      <c r="A1450" s="2" t="s">
        <v>141</v>
      </c>
      <c r="B1450" s="2">
        <v>11.5</v>
      </c>
      <c r="C1450" s="2">
        <v>13.4</v>
      </c>
      <c r="D1450" s="60" t="s">
        <v>152</v>
      </c>
    </row>
    <row r="1451" spans="1:10">
      <c r="A1451" s="2" t="s">
        <v>141</v>
      </c>
      <c r="B1451" s="2">
        <v>12</v>
      </c>
      <c r="C1451" s="2">
        <v>12.3</v>
      </c>
      <c r="D1451" s="60" t="s">
        <v>153</v>
      </c>
    </row>
    <row r="1452" spans="1:10">
      <c r="A1452" s="2" t="s">
        <v>141</v>
      </c>
      <c r="B1452" s="2">
        <v>12</v>
      </c>
      <c r="C1452" s="2">
        <v>12.3</v>
      </c>
      <c r="D1452" s="60" t="s">
        <v>154</v>
      </c>
    </row>
    <row r="1453" spans="1:10">
      <c r="A1453" s="2" t="s">
        <v>141</v>
      </c>
      <c r="B1453" s="2">
        <v>12</v>
      </c>
      <c r="C1453" s="2">
        <v>21.706600000000002</v>
      </c>
      <c r="D1453" s="60" t="s">
        <v>145</v>
      </c>
    </row>
    <row r="1454" spans="1:10">
      <c r="A1454" s="2" t="s">
        <v>141</v>
      </c>
      <c r="B1454" s="2">
        <v>13.4</v>
      </c>
      <c r="C1454" s="2">
        <v>16</v>
      </c>
      <c r="D1454" s="60" t="s">
        <v>161</v>
      </c>
    </row>
    <row r="1455" spans="1:10">
      <c r="A1455" s="2" t="s">
        <v>141</v>
      </c>
      <c r="B1455" s="2">
        <v>16</v>
      </c>
      <c r="C1455" s="2">
        <v>21.706600000000002</v>
      </c>
      <c r="D1455" s="60" t="s">
        <v>152</v>
      </c>
    </row>
    <row r="1456" spans="1:10">
      <c r="A1456" s="2" t="s">
        <v>156</v>
      </c>
      <c r="B1456" s="2">
        <v>12</v>
      </c>
      <c r="C1456" s="2">
        <v>43.639000000000003</v>
      </c>
    </row>
    <row r="1457" spans="1:10">
      <c r="A1457" s="2" t="s">
        <v>148</v>
      </c>
      <c r="B1457" s="2" t="s">
        <v>99</v>
      </c>
      <c r="C1457" s="2">
        <v>0.10200099999999999</v>
      </c>
      <c r="D1457" s="60">
        <v>0</v>
      </c>
      <c r="E1457" s="2">
        <v>0</v>
      </c>
      <c r="F1457" s="2">
        <v>0.3</v>
      </c>
      <c r="G1457" s="2">
        <v>64.281300000000002</v>
      </c>
      <c r="H1457" s="2">
        <v>67.425200000000004</v>
      </c>
      <c r="I1457" s="2">
        <v>0</v>
      </c>
      <c r="J1457" s="2">
        <v>0</v>
      </c>
    </row>
    <row r="1458" spans="1:10">
      <c r="A1458" s="2" t="s">
        <v>148</v>
      </c>
      <c r="B1458" s="2" t="s">
        <v>100</v>
      </c>
      <c r="C1458" s="2">
        <v>1.60901E-2</v>
      </c>
      <c r="D1458" s="60">
        <v>0</v>
      </c>
      <c r="E1458" s="2">
        <v>22.425999999999998</v>
      </c>
      <c r="F1458" s="2">
        <v>4.8959099999999998</v>
      </c>
      <c r="G1458" s="2">
        <v>0</v>
      </c>
      <c r="H1458" s="2">
        <v>10</v>
      </c>
      <c r="I1458" s="2">
        <v>0</v>
      </c>
      <c r="J1458" s="2">
        <v>0</v>
      </c>
    </row>
    <row r="1459" spans="1:10">
      <c r="A1459" s="2" t="s">
        <v>148</v>
      </c>
      <c r="B1459" s="2" t="s">
        <v>98</v>
      </c>
      <c r="C1459" s="2">
        <v>6.4497200000000005E-2</v>
      </c>
      <c r="D1459" s="60">
        <v>0</v>
      </c>
      <c r="E1459" s="2">
        <v>18.092600000000001</v>
      </c>
      <c r="F1459" s="2">
        <v>4.33338</v>
      </c>
      <c r="G1459" s="2">
        <v>10</v>
      </c>
      <c r="H1459" s="2">
        <v>17.248899999999999</v>
      </c>
      <c r="I1459" s="2">
        <v>0</v>
      </c>
      <c r="J1459" s="2">
        <v>0</v>
      </c>
    </row>
    <row r="1460" spans="1:10">
      <c r="A1460" s="2" t="s">
        <v>148</v>
      </c>
      <c r="B1460" s="2" t="s">
        <v>101</v>
      </c>
      <c r="C1460" s="2">
        <v>0.29885</v>
      </c>
      <c r="D1460" s="60">
        <v>0</v>
      </c>
      <c r="E1460" s="2">
        <v>11.5</v>
      </c>
      <c r="F1460" s="2">
        <v>6.5926200000000001</v>
      </c>
      <c r="G1460" s="2">
        <v>17.248899999999999</v>
      </c>
      <c r="H1460" s="2">
        <v>40.0839</v>
      </c>
      <c r="I1460" s="2">
        <v>0</v>
      </c>
      <c r="J1460" s="2">
        <v>0</v>
      </c>
    </row>
    <row r="1461" spans="1:10">
      <c r="A1461" s="2" t="s">
        <v>148</v>
      </c>
      <c r="B1461" s="2" t="s">
        <v>62</v>
      </c>
      <c r="C1461" s="2">
        <v>0.96677400000000002</v>
      </c>
      <c r="D1461" s="60">
        <v>77.341899999999995</v>
      </c>
      <c r="E1461" s="2">
        <v>5.5</v>
      </c>
      <c r="F1461" s="2">
        <v>6</v>
      </c>
      <c r="G1461" s="2">
        <v>40.0839</v>
      </c>
      <c r="H1461" s="2">
        <v>49.773099999999999</v>
      </c>
      <c r="I1461" s="2">
        <v>0</v>
      </c>
      <c r="J1461" s="2">
        <v>0</v>
      </c>
    </row>
    <row r="1462" spans="1:10">
      <c r="A1462" s="2" t="s">
        <v>148</v>
      </c>
      <c r="B1462" s="2" t="s">
        <v>55</v>
      </c>
      <c r="C1462" s="2">
        <v>1.2203599999999999</v>
      </c>
      <c r="D1462" s="60">
        <v>176.953</v>
      </c>
      <c r="E1462" s="2">
        <v>0.3</v>
      </c>
      <c r="F1462" s="2">
        <v>5.2</v>
      </c>
      <c r="G1462" s="2">
        <v>49.773099999999999</v>
      </c>
      <c r="H1462" s="2">
        <v>64.281300000000002</v>
      </c>
      <c r="I1462" s="2">
        <v>0</v>
      </c>
      <c r="J1462" s="2">
        <v>0</v>
      </c>
    </row>
    <row r="1463" spans="1:10">
      <c r="A1463" s="2" t="s">
        <v>140</v>
      </c>
      <c r="B1463" s="2">
        <v>1</v>
      </c>
      <c r="C1463" s="2">
        <v>43.639000000000003</v>
      </c>
      <c r="D1463" s="60">
        <v>27.321899999999999</v>
      </c>
      <c r="E1463" s="2">
        <v>12</v>
      </c>
    </row>
    <row r="1464" spans="1:10">
      <c r="A1464" s="2" t="s">
        <v>141</v>
      </c>
      <c r="B1464" s="2">
        <v>12</v>
      </c>
      <c r="C1464" s="2">
        <v>12.3</v>
      </c>
      <c r="D1464" s="60" t="s">
        <v>153</v>
      </c>
    </row>
    <row r="1465" spans="1:10">
      <c r="A1465" s="2" t="s">
        <v>141</v>
      </c>
      <c r="B1465" s="2">
        <v>12</v>
      </c>
      <c r="C1465" s="2">
        <v>21.706600000000002</v>
      </c>
      <c r="D1465" s="60" t="s">
        <v>144</v>
      </c>
    </row>
    <row r="1466" spans="1:10">
      <c r="A1466" s="2" t="s">
        <v>141</v>
      </c>
      <c r="B1466" s="2">
        <v>12</v>
      </c>
      <c r="C1466" s="2">
        <v>21.706600000000002</v>
      </c>
      <c r="D1466" s="60" t="s">
        <v>161</v>
      </c>
    </row>
    <row r="1467" spans="1:10">
      <c r="A1467" s="2" t="s">
        <v>148</v>
      </c>
      <c r="B1467" s="2" t="s">
        <v>100</v>
      </c>
      <c r="C1467" s="2">
        <v>1.60901E-2</v>
      </c>
      <c r="D1467" s="60">
        <v>0</v>
      </c>
      <c r="E1467" s="2">
        <v>22.425999999999998</v>
      </c>
      <c r="F1467" s="2">
        <v>4.8959099999999998</v>
      </c>
      <c r="G1467" s="2">
        <v>0</v>
      </c>
      <c r="H1467" s="2">
        <v>10</v>
      </c>
      <c r="I1467" s="2">
        <v>0</v>
      </c>
      <c r="J1467" s="2">
        <v>0</v>
      </c>
    </row>
    <row r="1468" spans="1:10">
      <c r="A1468" s="2" t="s">
        <v>148</v>
      </c>
      <c r="B1468" s="2" t="s">
        <v>98</v>
      </c>
      <c r="C1468" s="2">
        <v>1.79845E-2</v>
      </c>
      <c r="D1468" s="60">
        <v>0</v>
      </c>
      <c r="E1468" s="2">
        <v>20.683399999999999</v>
      </c>
      <c r="F1468" s="2">
        <v>1.74261</v>
      </c>
      <c r="G1468" s="2">
        <v>10</v>
      </c>
      <c r="H1468" s="2">
        <v>12.882099999999999</v>
      </c>
      <c r="I1468" s="2">
        <v>0</v>
      </c>
      <c r="J1468" s="2">
        <v>0</v>
      </c>
    </row>
    <row r="1469" spans="1:10">
      <c r="A1469" s="2" t="s">
        <v>148</v>
      </c>
      <c r="B1469" s="2" t="s">
        <v>101</v>
      </c>
      <c r="C1469" s="2">
        <v>0.28378100000000001</v>
      </c>
      <c r="D1469" s="60">
        <v>0</v>
      </c>
      <c r="E1469" s="2">
        <v>12</v>
      </c>
      <c r="F1469" s="2">
        <v>8.6833899999999993</v>
      </c>
      <c r="G1469" s="2">
        <v>12.882099999999999</v>
      </c>
      <c r="H1469" s="2">
        <v>26.611699999999999</v>
      </c>
      <c r="I1469" s="2">
        <v>0</v>
      </c>
      <c r="J1469" s="2">
        <v>0</v>
      </c>
    </row>
    <row r="1470" spans="1:10">
      <c r="A1470" s="2" t="s">
        <v>138</v>
      </c>
      <c r="B1470" s="2">
        <v>19</v>
      </c>
      <c r="C1470" s="2">
        <v>19.3918</v>
      </c>
      <c r="D1470" s="60" t="s">
        <v>129</v>
      </c>
      <c r="E1470" s="2" t="s">
        <v>139</v>
      </c>
    </row>
    <row r="1471" spans="1:10">
      <c r="A1471" s="2" t="s">
        <v>140</v>
      </c>
      <c r="B1471" s="2">
        <v>0</v>
      </c>
      <c r="C1471" s="2">
        <v>52.540999999999997</v>
      </c>
      <c r="D1471" s="60">
        <v>24.339400000000001</v>
      </c>
    </row>
    <row r="1472" spans="1:10">
      <c r="A1472" s="2" t="s">
        <v>141</v>
      </c>
      <c r="B1472" s="2">
        <v>0</v>
      </c>
      <c r="C1472" s="2">
        <v>6.5</v>
      </c>
      <c r="D1472" s="60" t="s">
        <v>142</v>
      </c>
    </row>
    <row r="1473" spans="1:10">
      <c r="A1473" s="2" t="s">
        <v>141</v>
      </c>
      <c r="B1473" s="2">
        <v>0</v>
      </c>
      <c r="C1473" s="2">
        <v>6.8</v>
      </c>
      <c r="D1473" s="60" t="s">
        <v>158</v>
      </c>
    </row>
    <row r="1474" spans="1:10">
      <c r="A1474" s="2" t="s">
        <v>141</v>
      </c>
      <c r="B1474" s="2">
        <v>0</v>
      </c>
      <c r="C1474" s="2">
        <v>19.5</v>
      </c>
      <c r="D1474" s="60" t="s">
        <v>146</v>
      </c>
    </row>
    <row r="1475" spans="1:10">
      <c r="A1475" s="2" t="s">
        <v>141</v>
      </c>
      <c r="B1475" s="2">
        <v>6.5</v>
      </c>
      <c r="C1475" s="2">
        <v>10.8</v>
      </c>
      <c r="D1475" s="60" t="s">
        <v>144</v>
      </c>
    </row>
    <row r="1476" spans="1:10">
      <c r="A1476" s="2" t="s">
        <v>141</v>
      </c>
      <c r="B1476" s="2">
        <v>6.8</v>
      </c>
      <c r="C1476" s="2">
        <v>7.1</v>
      </c>
      <c r="D1476" s="60" t="s">
        <v>177</v>
      </c>
    </row>
    <row r="1477" spans="1:10">
      <c r="A1477" s="2" t="s">
        <v>141</v>
      </c>
      <c r="B1477" s="2">
        <v>10.8</v>
      </c>
      <c r="C1477" s="2">
        <v>13</v>
      </c>
      <c r="D1477" s="60" t="s">
        <v>147</v>
      </c>
    </row>
    <row r="1478" spans="1:10">
      <c r="A1478" s="2" t="s">
        <v>141</v>
      </c>
      <c r="B1478" s="2">
        <v>13</v>
      </c>
      <c r="C1478" s="2">
        <v>14.5</v>
      </c>
      <c r="D1478" s="60" t="s">
        <v>145</v>
      </c>
    </row>
    <row r="1479" spans="1:10">
      <c r="A1479" s="2" t="s">
        <v>141</v>
      </c>
      <c r="B1479" s="2">
        <v>14.5</v>
      </c>
      <c r="C1479" s="2">
        <v>19.5</v>
      </c>
      <c r="D1479" s="60" t="s">
        <v>144</v>
      </c>
    </row>
    <row r="1480" spans="1:10">
      <c r="A1480" s="2" t="s">
        <v>148</v>
      </c>
      <c r="B1480" s="2" t="s">
        <v>99</v>
      </c>
      <c r="C1480" s="2">
        <v>6.5388799999999997E-2</v>
      </c>
      <c r="D1480" s="60">
        <v>0</v>
      </c>
      <c r="E1480" s="2">
        <v>0</v>
      </c>
      <c r="F1480" s="2">
        <v>0.3</v>
      </c>
      <c r="G1480" s="2">
        <v>51.340800000000002</v>
      </c>
      <c r="H1480" s="2">
        <v>54.134099999999997</v>
      </c>
      <c r="I1480" s="2">
        <v>0</v>
      </c>
      <c r="J1480" s="2">
        <v>0</v>
      </c>
    </row>
    <row r="1481" spans="1:10">
      <c r="A1481" s="2" t="s">
        <v>148</v>
      </c>
      <c r="B1481" s="2" t="s">
        <v>100</v>
      </c>
      <c r="C1481" s="2">
        <v>1.20331E-2</v>
      </c>
      <c r="D1481" s="60">
        <v>0</v>
      </c>
      <c r="E1481" s="2">
        <v>20.825800000000001</v>
      </c>
      <c r="F1481" s="2">
        <v>3.5136799999999999</v>
      </c>
      <c r="G1481" s="2">
        <v>0</v>
      </c>
      <c r="H1481" s="2">
        <v>10</v>
      </c>
      <c r="I1481" s="2">
        <v>0</v>
      </c>
      <c r="J1481" s="2">
        <v>0</v>
      </c>
    </row>
    <row r="1482" spans="1:10">
      <c r="A1482" s="2" t="s">
        <v>148</v>
      </c>
      <c r="B1482" s="2" t="s">
        <v>98</v>
      </c>
      <c r="C1482" s="2">
        <v>0.191303</v>
      </c>
      <c r="D1482" s="60">
        <v>0</v>
      </c>
      <c r="E1482" s="2">
        <v>13.6496</v>
      </c>
      <c r="F1482" s="2">
        <v>7.1761799999999996</v>
      </c>
      <c r="G1482" s="2">
        <v>10</v>
      </c>
      <c r="H1482" s="2">
        <v>25.674199999999999</v>
      </c>
      <c r="I1482" s="2">
        <v>0</v>
      </c>
      <c r="J1482" s="2">
        <v>0</v>
      </c>
    </row>
    <row r="1483" spans="1:10">
      <c r="A1483" s="2" t="s">
        <v>148</v>
      </c>
      <c r="B1483" s="2" t="s">
        <v>101</v>
      </c>
      <c r="C1483" s="2">
        <v>2.97241E-2</v>
      </c>
      <c r="D1483" s="60">
        <v>0</v>
      </c>
      <c r="E1483" s="2">
        <v>13.1</v>
      </c>
      <c r="F1483" s="2">
        <v>0.54957500000000004</v>
      </c>
      <c r="G1483" s="2">
        <v>25.674199999999999</v>
      </c>
      <c r="H1483" s="2">
        <v>26.801300000000001</v>
      </c>
      <c r="I1483" s="2">
        <v>0</v>
      </c>
      <c r="J1483" s="2">
        <v>0</v>
      </c>
    </row>
    <row r="1484" spans="1:10">
      <c r="A1484" s="2" t="s">
        <v>148</v>
      </c>
      <c r="B1484" s="2" t="s">
        <v>62</v>
      </c>
      <c r="C1484" s="2">
        <v>0.49476999999999999</v>
      </c>
      <c r="D1484" s="60">
        <v>39.581600000000002</v>
      </c>
      <c r="E1484" s="2">
        <v>7.1</v>
      </c>
      <c r="F1484" s="2">
        <v>6</v>
      </c>
      <c r="G1484" s="2">
        <v>26.801300000000001</v>
      </c>
      <c r="H1484" s="2">
        <v>37.081099999999999</v>
      </c>
      <c r="I1484" s="2">
        <v>0</v>
      </c>
      <c r="J1484" s="2">
        <v>0</v>
      </c>
    </row>
    <row r="1485" spans="1:10">
      <c r="A1485" s="2" t="s">
        <v>148</v>
      </c>
      <c r="B1485" s="2" t="s">
        <v>101</v>
      </c>
      <c r="C1485" s="2">
        <v>7.7571399999999999E-2</v>
      </c>
      <c r="D1485" s="60">
        <v>0</v>
      </c>
      <c r="E1485" s="2">
        <v>6.4</v>
      </c>
      <c r="F1485" s="2">
        <v>0.7</v>
      </c>
      <c r="G1485" s="2">
        <v>37.081099999999999</v>
      </c>
      <c r="H1485" s="2">
        <v>38.0351</v>
      </c>
      <c r="I1485" s="2">
        <v>0</v>
      </c>
      <c r="J1485" s="2">
        <v>0</v>
      </c>
    </row>
    <row r="1486" spans="1:10">
      <c r="A1486" s="2" t="s">
        <v>148</v>
      </c>
      <c r="B1486" s="2" t="s">
        <v>56</v>
      </c>
      <c r="C1486" s="2">
        <v>0.87332600000000005</v>
      </c>
      <c r="D1486" s="60">
        <v>122.26600000000001</v>
      </c>
      <c r="E1486" s="2">
        <v>0.3</v>
      </c>
      <c r="F1486" s="2">
        <v>6.1</v>
      </c>
      <c r="G1486" s="2">
        <v>38.0351</v>
      </c>
      <c r="H1486" s="2">
        <v>51.340800000000002</v>
      </c>
      <c r="I1486" s="2">
        <v>0</v>
      </c>
      <c r="J1486" s="2">
        <v>0</v>
      </c>
    </row>
    <row r="1487" spans="1:10">
      <c r="A1487" s="2" t="s">
        <v>138</v>
      </c>
      <c r="B1487" s="2">
        <v>20</v>
      </c>
      <c r="C1487" s="2">
        <v>19.3856</v>
      </c>
      <c r="D1487" s="60" t="s">
        <v>129</v>
      </c>
      <c r="E1487" s="2" t="s">
        <v>149</v>
      </c>
    </row>
    <row r="1488" spans="1:10">
      <c r="A1488" s="2" t="s">
        <v>140</v>
      </c>
      <c r="B1488" s="2">
        <v>0</v>
      </c>
      <c r="C1488" s="2">
        <v>50.365499999999997</v>
      </c>
      <c r="D1488" s="60">
        <v>26.155100000000001</v>
      </c>
    </row>
    <row r="1489" spans="1:17">
      <c r="A1489" s="2" t="s">
        <v>141</v>
      </c>
      <c r="B1489" s="2">
        <v>0</v>
      </c>
      <c r="C1489" s="2">
        <v>1.9</v>
      </c>
      <c r="D1489" s="60" t="s">
        <v>142</v>
      </c>
    </row>
    <row r="1490" spans="1:17">
      <c r="A1490" s="2" t="s">
        <v>141</v>
      </c>
      <c r="B1490" s="2">
        <v>0</v>
      </c>
      <c r="C1490" s="2">
        <v>11</v>
      </c>
      <c r="D1490" s="60" t="s">
        <v>146</v>
      </c>
    </row>
    <row r="1491" spans="1:17">
      <c r="A1491" s="2" t="s">
        <v>141</v>
      </c>
      <c r="B1491" s="2">
        <v>1.9</v>
      </c>
      <c r="C1491" s="2">
        <v>2.8</v>
      </c>
      <c r="D1491" s="60" t="s">
        <v>144</v>
      </c>
    </row>
    <row r="1492" spans="1:17">
      <c r="A1492" s="2" t="s">
        <v>141</v>
      </c>
      <c r="B1492" s="2">
        <v>2.8</v>
      </c>
      <c r="C1492" s="2">
        <v>5.0999999999999996</v>
      </c>
      <c r="D1492" s="60" t="s">
        <v>145</v>
      </c>
    </row>
    <row r="1493" spans="1:17">
      <c r="A1493" s="2" t="s">
        <v>141</v>
      </c>
      <c r="B1493" s="2">
        <v>5.0999999999999996</v>
      </c>
      <c r="C1493" s="2">
        <v>11</v>
      </c>
      <c r="D1493" s="60" t="s">
        <v>147</v>
      </c>
    </row>
    <row r="1494" spans="1:17">
      <c r="A1494" s="2" t="s">
        <v>141</v>
      </c>
      <c r="B1494" s="2">
        <v>11</v>
      </c>
      <c r="C1494" s="2">
        <v>11.5</v>
      </c>
      <c r="D1494" s="60" t="s">
        <v>159</v>
      </c>
    </row>
    <row r="1495" spans="1:17">
      <c r="A1495" s="2" t="s">
        <v>141</v>
      </c>
      <c r="B1495" s="2">
        <v>11</v>
      </c>
      <c r="C1495" s="2">
        <v>20.843299999999999</v>
      </c>
      <c r="D1495" s="60" t="s">
        <v>144</v>
      </c>
    </row>
    <row r="1496" spans="1:17">
      <c r="A1496" s="2" t="s">
        <v>141</v>
      </c>
      <c r="B1496" s="2">
        <v>11.5</v>
      </c>
      <c r="C1496" s="2">
        <v>20.843299999999999</v>
      </c>
      <c r="D1496" s="60" t="s">
        <v>152</v>
      </c>
    </row>
    <row r="1497" spans="1:17">
      <c r="A1497" s="2" t="s">
        <v>148</v>
      </c>
      <c r="B1497" s="2" t="s">
        <v>99</v>
      </c>
      <c r="C1497" s="2">
        <v>6.0883600000000003E-2</v>
      </c>
      <c r="D1497" s="60">
        <v>0</v>
      </c>
      <c r="E1497" s="2">
        <v>0</v>
      </c>
      <c r="F1497" s="2">
        <v>0.3</v>
      </c>
      <c r="G1497" s="2">
        <v>49.617800000000003</v>
      </c>
      <c r="H1497" s="2">
        <v>52.144500000000001</v>
      </c>
      <c r="I1497" s="2">
        <v>0</v>
      </c>
      <c r="J1497" s="2">
        <v>0</v>
      </c>
    </row>
    <row r="1498" spans="1:17">
      <c r="A1498" s="2" t="s">
        <v>148</v>
      </c>
      <c r="B1498" s="2" t="s">
        <v>100</v>
      </c>
      <c r="C1498" s="2">
        <v>1.34745E-2</v>
      </c>
      <c r="D1498" s="60">
        <v>0</v>
      </c>
      <c r="E1498" s="2">
        <v>22.184200000000001</v>
      </c>
      <c r="F1498" s="2">
        <v>3.9708999999999999</v>
      </c>
      <c r="G1498" s="2">
        <v>0</v>
      </c>
      <c r="H1498" s="2">
        <v>10</v>
      </c>
      <c r="I1498" s="2">
        <v>0</v>
      </c>
      <c r="J1498" s="2">
        <v>0</v>
      </c>
    </row>
    <row r="1499" spans="1:17">
      <c r="A1499" s="2" t="s">
        <v>148</v>
      </c>
      <c r="B1499" s="2" t="s">
        <v>98</v>
      </c>
      <c r="C1499" s="2">
        <v>0.48265400000000003</v>
      </c>
      <c r="D1499" s="60">
        <v>0</v>
      </c>
      <c r="E1499" s="2">
        <v>10.147500000000001</v>
      </c>
      <c r="F1499" s="2">
        <v>12.0366</v>
      </c>
      <c r="G1499" s="2">
        <v>10</v>
      </c>
      <c r="H1499" s="2">
        <v>32.301400000000001</v>
      </c>
      <c r="I1499" s="2">
        <v>0</v>
      </c>
      <c r="J1499" s="2">
        <v>0</v>
      </c>
    </row>
    <row r="1500" spans="1:17">
      <c r="A1500" s="2" t="s">
        <v>148</v>
      </c>
      <c r="B1500" s="2" t="s">
        <v>101</v>
      </c>
      <c r="C1500" s="2">
        <v>0.16397400000000001</v>
      </c>
      <c r="D1500" s="60">
        <v>0</v>
      </c>
      <c r="E1500" s="2">
        <v>8.3000000000000007</v>
      </c>
      <c r="F1500" s="2">
        <v>1.84755</v>
      </c>
      <c r="G1500" s="2">
        <v>32.301400000000001</v>
      </c>
      <c r="H1500" s="2">
        <v>34.8626</v>
      </c>
      <c r="I1500" s="2">
        <v>0</v>
      </c>
      <c r="J1500" s="2">
        <v>0</v>
      </c>
    </row>
    <row r="1501" spans="1:17">
      <c r="A1501" s="2" t="s">
        <v>148</v>
      </c>
      <c r="B1501" s="2" t="s">
        <v>59</v>
      </c>
      <c r="C1501" s="2">
        <v>0.43724400000000002</v>
      </c>
      <c r="D1501" s="60">
        <v>43.724400000000003</v>
      </c>
      <c r="E1501" s="2">
        <v>4.3</v>
      </c>
      <c r="F1501" s="2">
        <v>4</v>
      </c>
      <c r="G1501" s="2">
        <v>34.8626</v>
      </c>
      <c r="H1501" s="2">
        <v>39.572899999999997</v>
      </c>
      <c r="I1501" s="2">
        <v>0</v>
      </c>
      <c r="J1501" s="2">
        <v>0</v>
      </c>
    </row>
    <row r="1502" spans="1:17">
      <c r="A1502" s="2" t="s">
        <v>148</v>
      </c>
      <c r="B1502" s="2" t="s">
        <v>59</v>
      </c>
      <c r="C1502" s="2">
        <v>0.58075399999999999</v>
      </c>
      <c r="D1502" s="60">
        <v>58.075400000000002</v>
      </c>
      <c r="E1502" s="2">
        <v>0.3</v>
      </c>
      <c r="F1502" s="2">
        <v>4</v>
      </c>
      <c r="G1502" s="2">
        <v>39.572899999999997</v>
      </c>
      <c r="H1502" s="2">
        <v>49.617800000000003</v>
      </c>
      <c r="I1502" s="2">
        <v>0</v>
      </c>
      <c r="J1502" s="2">
        <v>0</v>
      </c>
    </row>
    <row r="1503" spans="1:17">
      <c r="A1503" s="2" t="s">
        <v>130</v>
      </c>
      <c r="B1503" s="2" t="s">
        <v>131</v>
      </c>
      <c r="C1503" s="2" t="s">
        <v>162</v>
      </c>
      <c r="D1503" s="60" t="s">
        <v>133</v>
      </c>
      <c r="E1503" s="2">
        <v>11</v>
      </c>
      <c r="F1503" s="2">
        <v>2016</v>
      </c>
    </row>
    <row r="1504" spans="1:17">
      <c r="A1504" s="2" t="s">
        <v>191</v>
      </c>
      <c r="B1504" s="2" t="s">
        <v>192</v>
      </c>
      <c r="C1504" s="2" t="s">
        <v>193</v>
      </c>
      <c r="D1504" s="60" t="s">
        <v>164</v>
      </c>
      <c r="E1504" s="2" t="s">
        <v>165</v>
      </c>
      <c r="F1504" s="2" t="s">
        <v>100</v>
      </c>
      <c r="G1504" s="2" t="s">
        <v>168</v>
      </c>
      <c r="H1504" s="2" t="s">
        <v>194</v>
      </c>
      <c r="I1504" s="2" t="s">
        <v>195</v>
      </c>
      <c r="J1504" s="2" t="s">
        <v>196</v>
      </c>
      <c r="K1504" s="2" t="s">
        <v>197</v>
      </c>
      <c r="L1504" s="2" t="s">
        <v>198</v>
      </c>
      <c r="M1504" s="2" t="s">
        <v>199</v>
      </c>
      <c r="N1504" s="2" t="s">
        <v>197</v>
      </c>
      <c r="O1504" s="2" t="s">
        <v>200</v>
      </c>
      <c r="P1504" s="2" t="s">
        <v>201</v>
      </c>
      <c r="Q1504" s="2" t="s">
        <v>202</v>
      </c>
    </row>
    <row r="1505" spans="1:12">
      <c r="A1505" s="2" t="s">
        <v>203</v>
      </c>
      <c r="B1505" s="2" t="s">
        <v>204</v>
      </c>
      <c r="C1505" s="2" t="s">
        <v>205</v>
      </c>
      <c r="D1505" s="60" t="s">
        <v>185</v>
      </c>
      <c r="E1505" s="2" t="s">
        <v>206</v>
      </c>
      <c r="F1505" s="2" t="s">
        <v>207</v>
      </c>
      <c r="G1505" s="2" t="s">
        <v>208</v>
      </c>
      <c r="H1505" s="2" t="s">
        <v>209</v>
      </c>
      <c r="I1505" s="2" t="s">
        <v>184</v>
      </c>
      <c r="J1505" s="2" t="s">
        <v>210</v>
      </c>
      <c r="K1505" s="2" t="s">
        <v>197</v>
      </c>
      <c r="L1505" s="2" t="s">
        <v>211</v>
      </c>
    </row>
    <row r="1506" spans="1:12">
      <c r="A1506" s="2" t="s">
        <v>134</v>
      </c>
      <c r="B1506" s="2" t="s">
        <v>69</v>
      </c>
      <c r="C1506" s="2">
        <v>28</v>
      </c>
      <c r="D1506" s="60" t="s">
        <v>212</v>
      </c>
      <c r="E1506" s="2" t="s">
        <v>170</v>
      </c>
      <c r="F1506" s="2" t="s">
        <v>171</v>
      </c>
      <c r="G1506" s="2" t="s">
        <v>128</v>
      </c>
      <c r="H1506" s="2" t="s">
        <v>172</v>
      </c>
      <c r="I1506" s="2" t="s">
        <v>189</v>
      </c>
    </row>
    <row r="1507" spans="1:12">
      <c r="A1507" s="2" t="s">
        <v>138</v>
      </c>
      <c r="B1507" s="2">
        <v>1</v>
      </c>
      <c r="C1507" s="2">
        <v>19.247699999999998</v>
      </c>
      <c r="D1507" s="60" t="s">
        <v>129</v>
      </c>
      <c r="E1507" s="2" t="s">
        <v>175</v>
      </c>
    </row>
    <row r="1508" spans="1:12">
      <c r="A1508" s="2" t="s">
        <v>140</v>
      </c>
      <c r="B1508" s="2">
        <v>0</v>
      </c>
      <c r="C1508" s="2">
        <v>44.625399999999999</v>
      </c>
      <c r="D1508" s="60">
        <v>25.537600000000001</v>
      </c>
      <c r="E1508" s="2">
        <v>0</v>
      </c>
      <c r="F1508" s="2">
        <v>12</v>
      </c>
    </row>
    <row r="1509" spans="1:12">
      <c r="A1509" s="2" t="s">
        <v>141</v>
      </c>
      <c r="B1509" s="2">
        <v>0</v>
      </c>
      <c r="C1509" s="2">
        <v>6.6</v>
      </c>
      <c r="D1509" s="60" t="s">
        <v>142</v>
      </c>
    </row>
    <row r="1510" spans="1:12">
      <c r="A1510" s="2" t="s">
        <v>141</v>
      </c>
      <c r="B1510" s="2">
        <v>0</v>
      </c>
      <c r="C1510" s="2">
        <v>20.3995</v>
      </c>
      <c r="D1510" s="60" t="s">
        <v>146</v>
      </c>
    </row>
    <row r="1511" spans="1:12">
      <c r="A1511" s="2" t="s">
        <v>141</v>
      </c>
      <c r="B1511" s="2">
        <v>6.6</v>
      </c>
      <c r="C1511" s="2">
        <v>11.5</v>
      </c>
      <c r="D1511" s="60" t="s">
        <v>144</v>
      </c>
    </row>
    <row r="1512" spans="1:12">
      <c r="A1512" s="2" t="s">
        <v>141</v>
      </c>
      <c r="B1512" s="2">
        <v>11.5</v>
      </c>
      <c r="C1512" s="2">
        <v>20.3995</v>
      </c>
      <c r="D1512" s="60" t="s">
        <v>147</v>
      </c>
    </row>
    <row r="1513" spans="1:12">
      <c r="A1513" s="2" t="s">
        <v>148</v>
      </c>
      <c r="B1513" s="2" t="s">
        <v>99</v>
      </c>
      <c r="C1513" s="2">
        <v>4.8951599999999998E-2</v>
      </c>
      <c r="D1513" s="60">
        <v>0</v>
      </c>
      <c r="E1513" s="2">
        <v>0</v>
      </c>
      <c r="F1513" s="2">
        <v>0.3</v>
      </c>
      <c r="G1513" s="2">
        <v>44.468299999999999</v>
      </c>
      <c r="H1513" s="2">
        <v>46.783099999999997</v>
      </c>
      <c r="I1513" s="2">
        <v>0</v>
      </c>
      <c r="J1513" s="2">
        <v>0</v>
      </c>
    </row>
    <row r="1514" spans="1:12">
      <c r="A1514" s="2" t="s">
        <v>148</v>
      </c>
      <c r="B1514" s="2" t="s">
        <v>101</v>
      </c>
      <c r="C1514" s="2">
        <v>9.9016599999999996E-2</v>
      </c>
      <c r="D1514" s="60">
        <v>0</v>
      </c>
      <c r="E1514" s="2">
        <v>10.3</v>
      </c>
      <c r="F1514" s="2">
        <v>1.7</v>
      </c>
      <c r="G1514" s="2">
        <v>25.9602</v>
      </c>
      <c r="H1514" s="2">
        <v>28.4436</v>
      </c>
      <c r="I1514" s="2">
        <v>0</v>
      </c>
      <c r="J1514" s="2">
        <v>0</v>
      </c>
    </row>
    <row r="1515" spans="1:12">
      <c r="A1515" s="2" t="s">
        <v>148</v>
      </c>
      <c r="B1515" s="2" t="s">
        <v>60</v>
      </c>
      <c r="C1515" s="2">
        <v>0.48788199999999998</v>
      </c>
      <c r="D1515" s="60">
        <v>43.909399999999998</v>
      </c>
      <c r="E1515" s="2">
        <v>4.3</v>
      </c>
      <c r="F1515" s="2">
        <v>6</v>
      </c>
      <c r="G1515" s="2">
        <v>28.4436</v>
      </c>
      <c r="H1515" s="2">
        <v>35.398899999999998</v>
      </c>
      <c r="I1515" s="2">
        <v>0</v>
      </c>
      <c r="J1515" s="2">
        <v>0</v>
      </c>
    </row>
    <row r="1516" spans="1:12">
      <c r="A1516" s="2" t="s">
        <v>148</v>
      </c>
      <c r="B1516" s="2" t="s">
        <v>56</v>
      </c>
      <c r="C1516" s="2">
        <v>0.46535399999999999</v>
      </c>
      <c r="D1516" s="60">
        <v>65.149500000000003</v>
      </c>
      <c r="E1516" s="2">
        <v>0.3</v>
      </c>
      <c r="F1516" s="2">
        <v>4</v>
      </c>
      <c r="G1516" s="2">
        <v>35.398899999999998</v>
      </c>
      <c r="H1516" s="2">
        <v>44.468299999999999</v>
      </c>
      <c r="I1516" s="2">
        <v>0</v>
      </c>
      <c r="J1516" s="2">
        <v>0</v>
      </c>
    </row>
    <row r="1517" spans="1:12">
      <c r="A1517" s="2" t="s">
        <v>138</v>
      </c>
      <c r="B1517" s="2">
        <v>2</v>
      </c>
      <c r="C1517" s="2">
        <v>19.440899999999999</v>
      </c>
      <c r="D1517" s="60" t="s">
        <v>129</v>
      </c>
      <c r="E1517" s="2" t="s">
        <v>149</v>
      </c>
    </row>
    <row r="1518" spans="1:12">
      <c r="A1518" s="2" t="s">
        <v>140</v>
      </c>
      <c r="B1518" s="2">
        <v>0</v>
      </c>
      <c r="C1518" s="2">
        <v>48.939</v>
      </c>
      <c r="D1518" s="60">
        <v>25.938700000000001</v>
      </c>
    </row>
    <row r="1519" spans="1:12">
      <c r="A1519" s="2" t="s">
        <v>141</v>
      </c>
      <c r="B1519" s="2">
        <v>0</v>
      </c>
      <c r="C1519" s="2">
        <v>6.6</v>
      </c>
      <c r="D1519" s="60" t="s">
        <v>142</v>
      </c>
    </row>
    <row r="1520" spans="1:12">
      <c r="A1520" s="2" t="s">
        <v>141</v>
      </c>
      <c r="B1520" s="2">
        <v>0</v>
      </c>
      <c r="C1520" s="2">
        <v>20.7043</v>
      </c>
      <c r="D1520" s="60" t="s">
        <v>146</v>
      </c>
    </row>
    <row r="1521" spans="1:10">
      <c r="A1521" s="2" t="s">
        <v>141</v>
      </c>
      <c r="B1521" s="2">
        <v>6.6</v>
      </c>
      <c r="C1521" s="2">
        <v>10.9</v>
      </c>
      <c r="D1521" s="60" t="s">
        <v>144</v>
      </c>
    </row>
    <row r="1522" spans="1:10">
      <c r="A1522" s="2" t="s">
        <v>141</v>
      </c>
      <c r="B1522" s="2">
        <v>10.9</v>
      </c>
      <c r="C1522" s="2">
        <v>12.8</v>
      </c>
      <c r="D1522" s="60" t="s">
        <v>145</v>
      </c>
    </row>
    <row r="1523" spans="1:10">
      <c r="A1523" s="2" t="s">
        <v>141</v>
      </c>
      <c r="B1523" s="2">
        <v>12.8</v>
      </c>
      <c r="C1523" s="2">
        <v>13.1</v>
      </c>
      <c r="D1523" s="60" t="s">
        <v>153</v>
      </c>
    </row>
    <row r="1524" spans="1:10">
      <c r="A1524" s="2" t="s">
        <v>141</v>
      </c>
      <c r="B1524" s="2">
        <v>12.8</v>
      </c>
      <c r="C1524" s="2">
        <v>13.1</v>
      </c>
      <c r="D1524" s="60" t="s">
        <v>154</v>
      </c>
    </row>
    <row r="1525" spans="1:10">
      <c r="A1525" s="2" t="s">
        <v>141</v>
      </c>
      <c r="B1525" s="2">
        <v>12.8</v>
      </c>
      <c r="C1525" s="2">
        <v>20.7043</v>
      </c>
      <c r="D1525" s="60" t="s">
        <v>144</v>
      </c>
    </row>
    <row r="1526" spans="1:10">
      <c r="A1526" s="2" t="s">
        <v>156</v>
      </c>
      <c r="B1526" s="2">
        <v>12.8</v>
      </c>
      <c r="C1526" s="2">
        <v>31.915099999999999</v>
      </c>
    </row>
    <row r="1527" spans="1:10">
      <c r="A1527" s="2" t="s">
        <v>148</v>
      </c>
      <c r="B1527" s="2" t="s">
        <v>99</v>
      </c>
      <c r="C1527" s="2">
        <v>5.7800999999999998E-2</v>
      </c>
      <c r="D1527" s="60">
        <v>0</v>
      </c>
      <c r="E1527" s="2">
        <v>0</v>
      </c>
      <c r="F1527" s="2">
        <v>0.3</v>
      </c>
      <c r="G1527" s="2">
        <v>48.3369</v>
      </c>
      <c r="H1527" s="2">
        <v>50.817300000000003</v>
      </c>
      <c r="I1527" s="2">
        <v>0</v>
      </c>
      <c r="J1527" s="2">
        <v>0</v>
      </c>
    </row>
    <row r="1528" spans="1:10">
      <c r="A1528" s="2" t="s">
        <v>148</v>
      </c>
      <c r="B1528" s="2" t="s">
        <v>100</v>
      </c>
      <c r="C1528" s="2">
        <v>1.9997000000000001E-2</v>
      </c>
      <c r="D1528" s="60">
        <v>0</v>
      </c>
      <c r="E1528" s="2">
        <v>19.435099999999998</v>
      </c>
      <c r="F1528" s="2">
        <v>6.5035999999999996</v>
      </c>
      <c r="G1528" s="2">
        <v>0</v>
      </c>
      <c r="H1528" s="2">
        <v>10</v>
      </c>
      <c r="I1528" s="2">
        <v>0</v>
      </c>
      <c r="J1528" s="2">
        <v>0</v>
      </c>
    </row>
    <row r="1529" spans="1:10">
      <c r="A1529" s="2" t="s">
        <v>148</v>
      </c>
      <c r="B1529" s="2" t="s">
        <v>101</v>
      </c>
      <c r="C1529" s="2">
        <v>2.7519599999999999E-3</v>
      </c>
      <c r="D1529" s="60">
        <v>0</v>
      </c>
      <c r="E1529" s="2">
        <v>19.100000000000001</v>
      </c>
      <c r="F1529" s="2">
        <v>0.335117</v>
      </c>
      <c r="G1529" s="2">
        <v>10</v>
      </c>
      <c r="H1529" s="2">
        <v>10.449199999999999</v>
      </c>
      <c r="I1529" s="2">
        <v>0</v>
      </c>
      <c r="J1529" s="2">
        <v>0</v>
      </c>
    </row>
    <row r="1530" spans="1:10">
      <c r="A1530" s="2" t="s">
        <v>148</v>
      </c>
      <c r="B1530" s="2" t="s">
        <v>64</v>
      </c>
      <c r="C1530" s="2">
        <v>0.100175</v>
      </c>
      <c r="D1530" s="60">
        <v>3.0052599999999998</v>
      </c>
      <c r="E1530" s="2">
        <v>13.1</v>
      </c>
      <c r="F1530" s="2">
        <v>6</v>
      </c>
      <c r="G1530" s="2">
        <v>10.449199999999999</v>
      </c>
      <c r="H1530" s="2">
        <v>18.186800000000002</v>
      </c>
      <c r="I1530" s="2">
        <v>0</v>
      </c>
      <c r="J1530" s="2">
        <v>0</v>
      </c>
    </row>
    <row r="1531" spans="1:10">
      <c r="A1531" s="2" t="s">
        <v>148</v>
      </c>
      <c r="B1531" s="2" t="s">
        <v>101</v>
      </c>
      <c r="C1531" s="2">
        <v>3.1730800000000003E-2</v>
      </c>
      <c r="D1531" s="60">
        <v>0</v>
      </c>
      <c r="E1531" s="2">
        <v>12.4</v>
      </c>
      <c r="F1531" s="2">
        <v>0.7</v>
      </c>
      <c r="G1531" s="2">
        <v>18.186800000000002</v>
      </c>
      <c r="H1531" s="2">
        <v>27.849799999999998</v>
      </c>
      <c r="I1531" s="2">
        <v>0</v>
      </c>
      <c r="J1531" s="2">
        <v>0</v>
      </c>
    </row>
    <row r="1532" spans="1:10">
      <c r="A1532" s="2" t="s">
        <v>148</v>
      </c>
      <c r="B1532" s="2" t="s">
        <v>60</v>
      </c>
      <c r="C1532" s="2">
        <v>0.49388700000000002</v>
      </c>
      <c r="D1532" s="60">
        <v>44.449800000000003</v>
      </c>
      <c r="E1532" s="2">
        <v>6.4</v>
      </c>
      <c r="F1532" s="2">
        <v>6</v>
      </c>
      <c r="G1532" s="2">
        <v>27.849799999999998</v>
      </c>
      <c r="H1532" s="2">
        <v>36.192900000000002</v>
      </c>
      <c r="I1532" s="2">
        <v>0</v>
      </c>
      <c r="J1532" s="2">
        <v>0</v>
      </c>
    </row>
    <row r="1533" spans="1:10">
      <c r="A1533" s="2" t="s">
        <v>148</v>
      </c>
      <c r="B1533" s="2" t="s">
        <v>56</v>
      </c>
      <c r="C1533" s="2">
        <v>0.78107499999999996</v>
      </c>
      <c r="D1533" s="60">
        <v>109.35</v>
      </c>
      <c r="E1533" s="2">
        <v>0.3</v>
      </c>
      <c r="F1533" s="2">
        <v>6.1</v>
      </c>
      <c r="G1533" s="2">
        <v>36.192900000000002</v>
      </c>
      <c r="H1533" s="2">
        <v>48.3369</v>
      </c>
      <c r="I1533" s="2">
        <v>0</v>
      </c>
      <c r="J1533" s="2">
        <v>0</v>
      </c>
    </row>
    <row r="1534" spans="1:10">
      <c r="A1534" s="2" t="s">
        <v>140</v>
      </c>
      <c r="B1534" s="2">
        <v>1</v>
      </c>
      <c r="C1534" s="2">
        <v>29.388200000000001</v>
      </c>
      <c r="D1534" s="60">
        <v>25.938700000000001</v>
      </c>
      <c r="E1534" s="2">
        <v>12.8</v>
      </c>
    </row>
    <row r="1535" spans="1:10">
      <c r="A1535" s="2" t="s">
        <v>141</v>
      </c>
      <c r="B1535" s="2">
        <v>12.8</v>
      </c>
      <c r="C1535" s="2">
        <v>13.1</v>
      </c>
      <c r="D1535" s="60" t="s">
        <v>153</v>
      </c>
    </row>
    <row r="1536" spans="1:10">
      <c r="A1536" s="2" t="s">
        <v>141</v>
      </c>
      <c r="B1536" s="2">
        <v>12.8</v>
      </c>
      <c r="C1536" s="2">
        <v>20.7043</v>
      </c>
      <c r="D1536" s="60" t="s">
        <v>144</v>
      </c>
    </row>
    <row r="1537" spans="1:10">
      <c r="A1537" s="2" t="s">
        <v>141</v>
      </c>
      <c r="B1537" s="2">
        <v>12.8</v>
      </c>
      <c r="C1537" s="2">
        <v>20.7043</v>
      </c>
      <c r="D1537" s="60" t="s">
        <v>146</v>
      </c>
    </row>
    <row r="1538" spans="1:10">
      <c r="A1538" s="2" t="s">
        <v>148</v>
      </c>
      <c r="B1538" s="2" t="s">
        <v>100</v>
      </c>
      <c r="C1538" s="2">
        <v>2.1426299999999999E-2</v>
      </c>
      <c r="D1538" s="60">
        <v>0</v>
      </c>
      <c r="E1538" s="2">
        <v>18.863800000000001</v>
      </c>
      <c r="F1538" s="2">
        <v>7.0749399999999998</v>
      </c>
      <c r="G1538" s="2">
        <v>0</v>
      </c>
      <c r="H1538" s="2">
        <v>10</v>
      </c>
      <c r="I1538" s="2">
        <v>0</v>
      </c>
      <c r="J1538" s="2">
        <v>0</v>
      </c>
    </row>
    <row r="1539" spans="1:10">
      <c r="A1539" s="2" t="s">
        <v>148</v>
      </c>
      <c r="B1539" s="2" t="s">
        <v>101</v>
      </c>
      <c r="C1539" s="2">
        <v>5.0488599999999996E-4</v>
      </c>
      <c r="D1539" s="60">
        <v>0</v>
      </c>
      <c r="E1539" s="2">
        <v>18.8</v>
      </c>
      <c r="F1539" s="2">
        <v>6.3774999999999998E-2</v>
      </c>
      <c r="G1539" s="2">
        <v>10</v>
      </c>
      <c r="H1539" s="2">
        <v>10.079599999999999</v>
      </c>
      <c r="I1539" s="2">
        <v>0</v>
      </c>
      <c r="J1539" s="2">
        <v>0</v>
      </c>
    </row>
    <row r="1540" spans="1:10">
      <c r="A1540" s="2" t="s">
        <v>148</v>
      </c>
      <c r="B1540" s="2" t="s">
        <v>64</v>
      </c>
      <c r="C1540" s="2">
        <v>8.4113400000000005E-2</v>
      </c>
      <c r="D1540" s="60">
        <v>2.5234000000000001</v>
      </c>
      <c r="E1540" s="2">
        <v>13.1</v>
      </c>
      <c r="F1540" s="2">
        <v>5.7</v>
      </c>
      <c r="G1540" s="2">
        <v>10.079599999999999</v>
      </c>
      <c r="H1540" s="2">
        <v>16.891999999999999</v>
      </c>
      <c r="I1540" s="2">
        <v>0</v>
      </c>
      <c r="J1540" s="2">
        <v>0</v>
      </c>
    </row>
    <row r="1541" spans="1:10">
      <c r="A1541" s="2" t="s">
        <v>148</v>
      </c>
      <c r="B1541" s="2" t="s">
        <v>101</v>
      </c>
      <c r="C1541" s="2">
        <v>6.8533300000000004E-3</v>
      </c>
      <c r="D1541" s="60">
        <v>0</v>
      </c>
      <c r="E1541" s="2">
        <v>12.8</v>
      </c>
      <c r="F1541" s="2">
        <v>0.3</v>
      </c>
      <c r="G1541" s="2">
        <v>16.891999999999999</v>
      </c>
      <c r="H1541" s="2">
        <v>17.216200000000001</v>
      </c>
      <c r="I1541" s="2">
        <v>0</v>
      </c>
      <c r="J1541" s="2">
        <v>0</v>
      </c>
    </row>
    <row r="1542" spans="1:10">
      <c r="A1542" s="2" t="s">
        <v>138</v>
      </c>
      <c r="B1542" s="2">
        <v>3</v>
      </c>
      <c r="C1542" s="2">
        <v>19.593800000000002</v>
      </c>
      <c r="D1542" s="60" t="s">
        <v>129</v>
      </c>
      <c r="E1542" s="2" t="s">
        <v>139</v>
      </c>
    </row>
    <row r="1543" spans="1:10">
      <c r="A1543" s="2" t="s">
        <v>140</v>
      </c>
      <c r="B1543" s="2">
        <v>0</v>
      </c>
      <c r="C1543" s="2">
        <v>52.196199999999997</v>
      </c>
      <c r="D1543" s="60">
        <v>28.038599999999999</v>
      </c>
    </row>
    <row r="1544" spans="1:10">
      <c r="A1544" s="2" t="s">
        <v>141</v>
      </c>
      <c r="B1544" s="2">
        <v>0</v>
      </c>
      <c r="C1544" s="2">
        <v>1.2</v>
      </c>
      <c r="D1544" s="60" t="s">
        <v>158</v>
      </c>
    </row>
    <row r="1545" spans="1:10">
      <c r="A1545" s="2" t="s">
        <v>141</v>
      </c>
      <c r="B1545" s="2">
        <v>0</v>
      </c>
      <c r="C1545" s="2">
        <v>12.7</v>
      </c>
      <c r="D1545" s="60" t="s">
        <v>145</v>
      </c>
    </row>
    <row r="1546" spans="1:10">
      <c r="A1546" s="2" t="s">
        <v>141</v>
      </c>
      <c r="B1546" s="2">
        <v>0</v>
      </c>
      <c r="C1546" s="2">
        <v>22.3</v>
      </c>
      <c r="D1546" s="60" t="s">
        <v>146</v>
      </c>
    </row>
    <row r="1547" spans="1:10">
      <c r="A1547" s="2" t="s">
        <v>141</v>
      </c>
      <c r="B1547" s="2">
        <v>1.2</v>
      </c>
      <c r="C1547" s="2">
        <v>1.5</v>
      </c>
      <c r="D1547" s="60" t="s">
        <v>160</v>
      </c>
    </row>
    <row r="1548" spans="1:10">
      <c r="A1548" s="2" t="s">
        <v>141</v>
      </c>
      <c r="B1548" s="2">
        <v>1.5</v>
      </c>
      <c r="C1548" s="2">
        <v>3.4</v>
      </c>
      <c r="D1548" s="60" t="s">
        <v>158</v>
      </c>
    </row>
    <row r="1549" spans="1:10">
      <c r="A1549" s="2" t="s">
        <v>141</v>
      </c>
      <c r="B1549" s="2">
        <v>3.4</v>
      </c>
      <c r="C1549" s="2">
        <v>3.7</v>
      </c>
      <c r="D1549" s="60" t="s">
        <v>160</v>
      </c>
    </row>
    <row r="1550" spans="1:10">
      <c r="A1550" s="2" t="s">
        <v>141</v>
      </c>
      <c r="B1550" s="2">
        <v>12.7</v>
      </c>
      <c r="C1550" s="2">
        <v>22.3</v>
      </c>
      <c r="D1550" s="60" t="s">
        <v>144</v>
      </c>
    </row>
    <row r="1551" spans="1:10">
      <c r="A1551" s="2" t="s">
        <v>148</v>
      </c>
      <c r="B1551" s="2" t="s">
        <v>99</v>
      </c>
      <c r="C1551" s="2">
        <v>6.5183500000000005E-2</v>
      </c>
      <c r="D1551" s="60">
        <v>0</v>
      </c>
      <c r="E1551" s="2">
        <v>0</v>
      </c>
      <c r="F1551" s="2">
        <v>0.3</v>
      </c>
      <c r="G1551" s="2">
        <v>51.413600000000002</v>
      </c>
      <c r="H1551" s="2">
        <v>53.868499999999997</v>
      </c>
      <c r="I1551" s="2">
        <v>0</v>
      </c>
      <c r="J1551" s="2">
        <v>0</v>
      </c>
    </row>
    <row r="1552" spans="1:10">
      <c r="A1552" s="2" t="s">
        <v>148</v>
      </c>
      <c r="B1552" s="2" t="s">
        <v>100</v>
      </c>
      <c r="C1552" s="2">
        <v>1.3938000000000001E-2</v>
      </c>
      <c r="D1552" s="60">
        <v>0</v>
      </c>
      <c r="E1552" s="2">
        <v>23.963799999999999</v>
      </c>
      <c r="F1552" s="2">
        <v>4.0747900000000001</v>
      </c>
      <c r="G1552" s="2">
        <v>0</v>
      </c>
      <c r="H1552" s="2">
        <v>10</v>
      </c>
      <c r="I1552" s="2">
        <v>0</v>
      </c>
      <c r="J1552" s="2">
        <v>0</v>
      </c>
    </row>
    <row r="1553" spans="1:10">
      <c r="A1553" s="2" t="s">
        <v>148</v>
      </c>
      <c r="B1553" s="2" t="s">
        <v>98</v>
      </c>
      <c r="C1553" s="2">
        <v>0.162993</v>
      </c>
      <c r="D1553" s="60">
        <v>0</v>
      </c>
      <c r="E1553" s="2">
        <v>16.891300000000001</v>
      </c>
      <c r="F1553" s="2">
        <v>7.0724999999999998</v>
      </c>
      <c r="G1553" s="2">
        <v>10</v>
      </c>
      <c r="H1553" s="2">
        <v>23.418500000000002</v>
      </c>
      <c r="I1553" s="2">
        <v>0</v>
      </c>
      <c r="J1553" s="2">
        <v>0</v>
      </c>
    </row>
    <row r="1554" spans="1:10">
      <c r="A1554" s="2" t="s">
        <v>148</v>
      </c>
      <c r="B1554" s="2" t="s">
        <v>101</v>
      </c>
      <c r="C1554" s="2">
        <v>2.6676499999999999E-2</v>
      </c>
      <c r="D1554" s="60">
        <v>0</v>
      </c>
      <c r="E1554" s="2">
        <v>16.3</v>
      </c>
      <c r="F1554" s="2">
        <v>0.59134500000000001</v>
      </c>
      <c r="G1554" s="2">
        <v>23.418500000000002</v>
      </c>
      <c r="H1554" s="2">
        <v>24.506799999999998</v>
      </c>
      <c r="I1554" s="2">
        <v>0</v>
      </c>
      <c r="J1554" s="2">
        <v>0</v>
      </c>
    </row>
    <row r="1555" spans="1:10">
      <c r="A1555" s="2" t="s">
        <v>148</v>
      </c>
      <c r="B1555" s="2" t="s">
        <v>60</v>
      </c>
      <c r="C1555" s="2">
        <v>0.247228</v>
      </c>
      <c r="D1555" s="60">
        <v>22.250499999999999</v>
      </c>
      <c r="E1555" s="2">
        <v>12.3</v>
      </c>
      <c r="F1555" s="2">
        <v>4</v>
      </c>
      <c r="G1555" s="2">
        <v>24.506799999999998</v>
      </c>
      <c r="H1555" s="2">
        <v>31.268799999999999</v>
      </c>
      <c r="I1555" s="2">
        <v>0</v>
      </c>
      <c r="J1555" s="2">
        <v>0</v>
      </c>
    </row>
    <row r="1556" spans="1:10">
      <c r="A1556" s="2" t="s">
        <v>148</v>
      </c>
      <c r="B1556" s="2" t="s">
        <v>59</v>
      </c>
      <c r="C1556" s="2">
        <v>0.36652800000000002</v>
      </c>
      <c r="D1556" s="60">
        <v>36.652799999999999</v>
      </c>
      <c r="E1556" s="2">
        <v>8.3000000000000007</v>
      </c>
      <c r="F1556" s="2">
        <v>4</v>
      </c>
      <c r="G1556" s="2">
        <v>31.268799999999999</v>
      </c>
      <c r="H1556" s="2">
        <v>36.753100000000003</v>
      </c>
      <c r="I1556" s="2">
        <v>0</v>
      </c>
      <c r="J1556" s="2">
        <v>0</v>
      </c>
    </row>
    <row r="1557" spans="1:10">
      <c r="A1557" s="2" t="s">
        <v>148</v>
      </c>
      <c r="B1557" s="2" t="s">
        <v>59</v>
      </c>
      <c r="C1557" s="2">
        <v>0.47906900000000002</v>
      </c>
      <c r="D1557" s="60">
        <v>47.9069</v>
      </c>
      <c r="E1557" s="2">
        <v>4.3</v>
      </c>
      <c r="F1557" s="2">
        <v>4</v>
      </c>
      <c r="G1557" s="2">
        <v>36.753100000000003</v>
      </c>
      <c r="H1557" s="2">
        <v>41.221400000000003</v>
      </c>
      <c r="I1557" s="2">
        <v>0</v>
      </c>
      <c r="J1557" s="2">
        <v>0</v>
      </c>
    </row>
    <row r="1558" spans="1:10">
      <c r="A1558" s="2" t="s">
        <v>148</v>
      </c>
      <c r="B1558" s="2" t="s">
        <v>62</v>
      </c>
      <c r="C1558" s="2">
        <v>0.62791200000000003</v>
      </c>
      <c r="D1558" s="60">
        <v>50.232900000000001</v>
      </c>
      <c r="E1558" s="2">
        <v>0.3</v>
      </c>
      <c r="F1558" s="2">
        <v>4</v>
      </c>
      <c r="G1558" s="2">
        <v>41.221400000000003</v>
      </c>
      <c r="H1558" s="2">
        <v>51.413600000000002</v>
      </c>
      <c r="I1558" s="2">
        <v>0</v>
      </c>
      <c r="J1558" s="2">
        <v>0</v>
      </c>
    </row>
    <row r="1559" spans="1:10">
      <c r="A1559" s="2" t="s">
        <v>138</v>
      </c>
      <c r="B1559" s="2">
        <v>4</v>
      </c>
      <c r="C1559" s="2">
        <v>19.164100000000001</v>
      </c>
      <c r="D1559" s="60" t="s">
        <v>129</v>
      </c>
      <c r="E1559" s="2" t="s">
        <v>175</v>
      </c>
    </row>
    <row r="1560" spans="1:10">
      <c r="A1560" s="2" t="s">
        <v>140</v>
      </c>
      <c r="B1560" s="2">
        <v>0</v>
      </c>
      <c r="C1560" s="2">
        <v>43.1678</v>
      </c>
      <c r="D1560" s="60">
        <v>25.392199999999999</v>
      </c>
      <c r="E1560" s="2">
        <v>0</v>
      </c>
      <c r="F1560" s="2">
        <v>13.4</v>
      </c>
    </row>
    <row r="1561" spans="1:10">
      <c r="A1561" s="2" t="s">
        <v>141</v>
      </c>
      <c r="B1561" s="2">
        <v>0</v>
      </c>
      <c r="C1561" s="2">
        <v>9.8000000000000007</v>
      </c>
      <c r="D1561" s="60" t="s">
        <v>144</v>
      </c>
    </row>
    <row r="1562" spans="1:10">
      <c r="A1562" s="2" t="s">
        <v>141</v>
      </c>
      <c r="B1562" s="2">
        <v>0</v>
      </c>
      <c r="C1562" s="2">
        <v>20.289000000000001</v>
      </c>
      <c r="D1562" s="60" t="s">
        <v>146</v>
      </c>
    </row>
    <row r="1563" spans="1:10">
      <c r="A1563" s="2" t="s">
        <v>141</v>
      </c>
      <c r="B1563" s="2">
        <v>9.8000000000000007</v>
      </c>
      <c r="C1563" s="2">
        <v>11.1</v>
      </c>
      <c r="D1563" s="60" t="s">
        <v>145</v>
      </c>
    </row>
    <row r="1564" spans="1:10">
      <c r="A1564" s="2" t="s">
        <v>141</v>
      </c>
      <c r="B1564" s="2">
        <v>11.1</v>
      </c>
      <c r="C1564" s="2">
        <v>20.289000000000001</v>
      </c>
      <c r="D1564" s="60" t="s">
        <v>147</v>
      </c>
    </row>
    <row r="1565" spans="1:10">
      <c r="A1565" s="2" t="s">
        <v>148</v>
      </c>
      <c r="B1565" s="2" t="s">
        <v>99</v>
      </c>
      <c r="C1565" s="2">
        <v>4.6109600000000001E-2</v>
      </c>
      <c r="D1565" s="60">
        <v>0</v>
      </c>
      <c r="E1565" s="2">
        <v>0</v>
      </c>
      <c r="F1565" s="2">
        <v>0.3</v>
      </c>
      <c r="G1565" s="2">
        <v>43.152799999999999</v>
      </c>
      <c r="H1565" s="2">
        <v>45.411000000000001</v>
      </c>
      <c r="I1565" s="2">
        <v>0</v>
      </c>
      <c r="J1565" s="2">
        <v>0</v>
      </c>
    </row>
    <row r="1566" spans="1:10">
      <c r="A1566" s="2" t="s">
        <v>148</v>
      </c>
      <c r="B1566" s="2" t="s">
        <v>101</v>
      </c>
      <c r="C1566" s="2">
        <v>4.8900199999999998E-2</v>
      </c>
      <c r="D1566" s="60">
        <v>0</v>
      </c>
      <c r="E1566" s="2">
        <v>12.3</v>
      </c>
      <c r="F1566" s="2">
        <v>1.1000000000000001</v>
      </c>
      <c r="G1566" s="2">
        <v>22.9146</v>
      </c>
      <c r="H1566" s="2">
        <v>24.6417</v>
      </c>
      <c r="I1566" s="2">
        <v>0</v>
      </c>
      <c r="J1566" s="2">
        <v>0</v>
      </c>
    </row>
    <row r="1567" spans="1:10">
      <c r="A1567" s="2" t="s">
        <v>148</v>
      </c>
      <c r="B1567" s="2" t="s">
        <v>63</v>
      </c>
      <c r="C1567" s="2">
        <v>0.23788100000000001</v>
      </c>
      <c r="D1567" s="60">
        <v>16.651700000000002</v>
      </c>
      <c r="E1567" s="2">
        <v>8.3000000000000007</v>
      </c>
      <c r="F1567" s="2">
        <v>4</v>
      </c>
      <c r="G1567" s="2">
        <v>24.6417</v>
      </c>
      <c r="H1567" s="2">
        <v>30.075199999999999</v>
      </c>
      <c r="I1567" s="2">
        <v>0</v>
      </c>
      <c r="J1567" s="2">
        <v>0</v>
      </c>
    </row>
    <row r="1568" spans="1:10">
      <c r="A1568" s="2" t="s">
        <v>148</v>
      </c>
      <c r="B1568" s="2" t="s">
        <v>59</v>
      </c>
      <c r="C1568" s="2">
        <v>0.32764599999999999</v>
      </c>
      <c r="D1568" s="60">
        <v>32.764600000000002</v>
      </c>
      <c r="E1568" s="2">
        <v>4.3</v>
      </c>
      <c r="F1568" s="2">
        <v>4</v>
      </c>
      <c r="G1568" s="2">
        <v>30.075199999999999</v>
      </c>
      <c r="H1568" s="2">
        <v>34.335999999999999</v>
      </c>
      <c r="I1568" s="2">
        <v>0</v>
      </c>
      <c r="J1568" s="2">
        <v>0</v>
      </c>
    </row>
    <row r="1569" spans="1:10">
      <c r="A1569" s="2" t="s">
        <v>148</v>
      </c>
      <c r="B1569" s="2" t="s">
        <v>59</v>
      </c>
      <c r="C1569" s="2">
        <v>0.43797999999999998</v>
      </c>
      <c r="D1569" s="60">
        <v>43.798000000000002</v>
      </c>
      <c r="E1569" s="2">
        <v>0.3</v>
      </c>
      <c r="F1569" s="2">
        <v>4</v>
      </c>
      <c r="G1569" s="2">
        <v>34.335999999999999</v>
      </c>
      <c r="H1569" s="2">
        <v>43.152799999999999</v>
      </c>
      <c r="I1569" s="2">
        <v>0</v>
      </c>
      <c r="J1569" s="2">
        <v>0</v>
      </c>
    </row>
    <row r="1570" spans="1:10">
      <c r="A1570" s="2" t="s">
        <v>138</v>
      </c>
      <c r="B1570" s="2">
        <v>5</v>
      </c>
      <c r="C1570" s="2">
        <v>18.2135</v>
      </c>
      <c r="D1570" s="60" t="s">
        <v>129</v>
      </c>
      <c r="E1570" s="2" t="s">
        <v>149</v>
      </c>
    </row>
    <row r="1571" spans="1:10">
      <c r="A1571" s="2" t="s">
        <v>140</v>
      </c>
      <c r="B1571" s="2">
        <v>0</v>
      </c>
      <c r="C1571" s="2">
        <v>33.655799999999999</v>
      </c>
      <c r="D1571" s="60">
        <v>24.307700000000001</v>
      </c>
    </row>
    <row r="1572" spans="1:10">
      <c r="A1572" s="2" t="s">
        <v>141</v>
      </c>
      <c r="B1572" s="2">
        <v>0</v>
      </c>
      <c r="C1572" s="2">
        <v>6.5</v>
      </c>
      <c r="D1572" s="60" t="s">
        <v>142</v>
      </c>
    </row>
    <row r="1573" spans="1:10">
      <c r="A1573" s="2" t="s">
        <v>141</v>
      </c>
      <c r="B1573" s="2">
        <v>0</v>
      </c>
      <c r="C1573" s="2">
        <v>19.4649</v>
      </c>
      <c r="D1573" s="60" t="s">
        <v>146</v>
      </c>
    </row>
    <row r="1574" spans="1:10">
      <c r="A1574" s="2" t="s">
        <v>141</v>
      </c>
      <c r="B1574" s="2">
        <v>6.5</v>
      </c>
      <c r="C1574" s="2">
        <v>12.1</v>
      </c>
      <c r="D1574" s="60" t="s">
        <v>144</v>
      </c>
    </row>
    <row r="1575" spans="1:10">
      <c r="A1575" s="2" t="s">
        <v>141</v>
      </c>
      <c r="B1575" s="2">
        <v>12.1</v>
      </c>
      <c r="C1575" s="2">
        <v>12.4</v>
      </c>
      <c r="D1575" s="60" t="s">
        <v>145</v>
      </c>
    </row>
    <row r="1576" spans="1:10">
      <c r="A1576" s="2" t="s">
        <v>141</v>
      </c>
      <c r="B1576" s="2">
        <v>12.4</v>
      </c>
      <c r="C1576" s="2">
        <v>19.4649</v>
      </c>
      <c r="D1576" s="60" t="s">
        <v>144</v>
      </c>
    </row>
    <row r="1577" spans="1:10">
      <c r="A1577" s="2" t="s">
        <v>148</v>
      </c>
      <c r="B1577" s="2" t="s">
        <v>99</v>
      </c>
      <c r="C1577" s="2">
        <v>2.9449800000000002E-2</v>
      </c>
      <c r="D1577" s="60">
        <v>0</v>
      </c>
      <c r="E1577" s="2">
        <v>0</v>
      </c>
      <c r="F1577" s="2">
        <v>0.3</v>
      </c>
      <c r="G1577" s="2">
        <v>34.454000000000001</v>
      </c>
      <c r="H1577" s="2">
        <v>36.330800000000004</v>
      </c>
      <c r="I1577" s="2">
        <v>0</v>
      </c>
      <c r="J1577" s="2">
        <v>0</v>
      </c>
    </row>
    <row r="1578" spans="1:10">
      <c r="A1578" s="2" t="s">
        <v>148</v>
      </c>
      <c r="B1578" s="2" t="s">
        <v>100</v>
      </c>
      <c r="C1578" s="2">
        <v>1.79303E-2</v>
      </c>
      <c r="D1578" s="60">
        <v>0</v>
      </c>
      <c r="E1578" s="2">
        <v>18.536300000000001</v>
      </c>
      <c r="F1578" s="2">
        <v>5.7713599999999996</v>
      </c>
      <c r="G1578" s="2">
        <v>0</v>
      </c>
      <c r="H1578" s="2">
        <v>10</v>
      </c>
      <c r="I1578" s="2">
        <v>0</v>
      </c>
      <c r="J1578" s="2">
        <v>0</v>
      </c>
    </row>
    <row r="1579" spans="1:10">
      <c r="A1579" s="2" t="s">
        <v>148</v>
      </c>
      <c r="B1579" s="2" t="s">
        <v>98</v>
      </c>
      <c r="C1579" s="2">
        <v>1.7584200000000001E-2</v>
      </c>
      <c r="D1579" s="60">
        <v>0</v>
      </c>
      <c r="E1579" s="2">
        <v>16.792899999999999</v>
      </c>
      <c r="F1579" s="2">
        <v>1.74343</v>
      </c>
      <c r="G1579" s="2">
        <v>10</v>
      </c>
      <c r="H1579" s="2">
        <v>12.617000000000001</v>
      </c>
      <c r="I1579" s="2">
        <v>0</v>
      </c>
      <c r="J1579" s="2">
        <v>0</v>
      </c>
    </row>
    <row r="1580" spans="1:10">
      <c r="A1580" s="2" t="s">
        <v>148</v>
      </c>
      <c r="B1580" s="2" t="s">
        <v>101</v>
      </c>
      <c r="C1580" s="2">
        <v>4.1202599999999999E-2</v>
      </c>
      <c r="D1580" s="60">
        <v>0</v>
      </c>
      <c r="E1580" s="2">
        <v>14.3</v>
      </c>
      <c r="F1580" s="2">
        <v>2.4928900000000001</v>
      </c>
      <c r="G1580" s="2">
        <v>12.617000000000001</v>
      </c>
      <c r="H1580" s="2">
        <v>16.287700000000001</v>
      </c>
      <c r="I1580" s="2">
        <v>0</v>
      </c>
      <c r="J1580" s="2">
        <v>0</v>
      </c>
    </row>
    <row r="1581" spans="1:10">
      <c r="A1581" s="2" t="s">
        <v>148</v>
      </c>
      <c r="B1581" s="2" t="s">
        <v>61</v>
      </c>
      <c r="C1581" s="2">
        <v>0.19456699999999999</v>
      </c>
      <c r="D1581" s="60">
        <v>16.5382</v>
      </c>
      <c r="E1581" s="2">
        <v>8.3000000000000007</v>
      </c>
      <c r="F1581" s="2">
        <v>6</v>
      </c>
      <c r="G1581" s="2">
        <v>16.287700000000001</v>
      </c>
      <c r="H1581" s="2">
        <v>23.704799999999999</v>
      </c>
      <c r="I1581" s="2">
        <v>0</v>
      </c>
      <c r="J1581" s="2">
        <v>0</v>
      </c>
    </row>
    <row r="1582" spans="1:10">
      <c r="A1582" s="2" t="s">
        <v>148</v>
      </c>
      <c r="B1582" s="2" t="s">
        <v>60</v>
      </c>
      <c r="C1582" s="2">
        <v>0.205818</v>
      </c>
      <c r="D1582" s="60">
        <v>18.523599999999998</v>
      </c>
      <c r="E1582" s="2">
        <v>4.3</v>
      </c>
      <c r="F1582" s="2">
        <v>4</v>
      </c>
      <c r="G1582" s="2">
        <v>23.704799999999999</v>
      </c>
      <c r="H1582" s="2">
        <v>27.315899999999999</v>
      </c>
      <c r="I1582" s="2">
        <v>0</v>
      </c>
      <c r="J1582" s="2">
        <v>0</v>
      </c>
    </row>
    <row r="1583" spans="1:10">
      <c r="A1583" s="2" t="s">
        <v>148</v>
      </c>
      <c r="B1583" s="2" t="s">
        <v>60</v>
      </c>
      <c r="C1583" s="2">
        <v>0.27799099999999999</v>
      </c>
      <c r="D1583" s="60">
        <v>25.019200000000001</v>
      </c>
      <c r="E1583" s="2">
        <v>0.3</v>
      </c>
      <c r="F1583" s="2">
        <v>4</v>
      </c>
      <c r="G1583" s="2">
        <v>27.315899999999999</v>
      </c>
      <c r="H1583" s="2">
        <v>34.454000000000001</v>
      </c>
      <c r="I1583" s="2">
        <v>0</v>
      </c>
      <c r="J1583" s="2">
        <v>0</v>
      </c>
    </row>
    <row r="1584" spans="1:10">
      <c r="A1584" s="2" t="s">
        <v>138</v>
      </c>
      <c r="B1584" s="2">
        <v>6</v>
      </c>
      <c r="C1584" s="2">
        <v>19.6159</v>
      </c>
      <c r="D1584" s="60" t="s">
        <v>129</v>
      </c>
      <c r="E1584" s="2" t="s">
        <v>139</v>
      </c>
    </row>
    <row r="1585" spans="1:10">
      <c r="A1585" s="2" t="s">
        <v>140</v>
      </c>
      <c r="B1585" s="2">
        <v>0</v>
      </c>
      <c r="C1585" s="2">
        <v>55.2791</v>
      </c>
      <c r="D1585" s="60">
        <v>26.064699999999998</v>
      </c>
    </row>
    <row r="1586" spans="1:10">
      <c r="A1586" s="2" t="s">
        <v>141</v>
      </c>
      <c r="B1586" s="2">
        <v>0</v>
      </c>
      <c r="C1586" s="2">
        <v>2.9</v>
      </c>
      <c r="D1586" s="60" t="s">
        <v>142</v>
      </c>
    </row>
    <row r="1587" spans="1:10">
      <c r="A1587" s="2" t="s">
        <v>141</v>
      </c>
      <c r="B1587" s="2">
        <v>0</v>
      </c>
      <c r="C1587" s="2">
        <v>8.4</v>
      </c>
      <c r="D1587" s="60" t="s">
        <v>146</v>
      </c>
    </row>
    <row r="1588" spans="1:10">
      <c r="A1588" s="2" t="s">
        <v>141</v>
      </c>
      <c r="B1588" s="2">
        <v>2.9</v>
      </c>
      <c r="C1588" s="2">
        <v>6</v>
      </c>
      <c r="D1588" s="60" t="s">
        <v>144</v>
      </c>
    </row>
    <row r="1589" spans="1:10">
      <c r="A1589" s="2" t="s">
        <v>141</v>
      </c>
      <c r="B1589" s="2">
        <v>6</v>
      </c>
      <c r="C1589" s="2">
        <v>6.3</v>
      </c>
      <c r="D1589" s="60" t="s">
        <v>151</v>
      </c>
    </row>
    <row r="1590" spans="1:10">
      <c r="A1590" s="2" t="s">
        <v>141</v>
      </c>
      <c r="B1590" s="2">
        <v>6.3</v>
      </c>
      <c r="C1590" s="2">
        <v>11</v>
      </c>
      <c r="D1590" s="60" t="s">
        <v>147</v>
      </c>
    </row>
    <row r="1591" spans="1:10">
      <c r="A1591" s="2" t="s">
        <v>141</v>
      </c>
      <c r="B1591" s="2">
        <v>8.4</v>
      </c>
      <c r="C1591" s="2">
        <v>11.6</v>
      </c>
      <c r="D1591" s="60" t="s">
        <v>152</v>
      </c>
    </row>
    <row r="1592" spans="1:10">
      <c r="A1592" s="2" t="s">
        <v>141</v>
      </c>
      <c r="B1592" s="2">
        <v>11</v>
      </c>
      <c r="C1592" s="2">
        <v>13.1</v>
      </c>
      <c r="D1592" s="60" t="s">
        <v>145</v>
      </c>
    </row>
    <row r="1593" spans="1:10">
      <c r="A1593" s="2" t="s">
        <v>141</v>
      </c>
      <c r="B1593" s="2">
        <v>11.6</v>
      </c>
      <c r="C1593" s="2">
        <v>20.8</v>
      </c>
      <c r="D1593" s="60" t="s">
        <v>146</v>
      </c>
    </row>
    <row r="1594" spans="1:10">
      <c r="A1594" s="2" t="s">
        <v>141</v>
      </c>
      <c r="B1594" s="2">
        <v>13.1</v>
      </c>
      <c r="C1594" s="2">
        <v>20.8</v>
      </c>
      <c r="D1594" s="60" t="s">
        <v>144</v>
      </c>
    </row>
    <row r="1595" spans="1:10">
      <c r="A1595" s="2" t="s">
        <v>148</v>
      </c>
      <c r="B1595" s="2" t="s">
        <v>99</v>
      </c>
      <c r="C1595" s="2">
        <v>7.1912100000000007E-2</v>
      </c>
      <c r="D1595" s="60">
        <v>0</v>
      </c>
      <c r="E1595" s="2">
        <v>0</v>
      </c>
      <c r="F1595" s="2">
        <v>0.3</v>
      </c>
      <c r="G1595" s="2">
        <v>53.920900000000003</v>
      </c>
      <c r="H1595" s="2">
        <v>56.675400000000003</v>
      </c>
      <c r="I1595" s="2">
        <v>0</v>
      </c>
      <c r="J1595" s="2">
        <v>0</v>
      </c>
    </row>
    <row r="1596" spans="1:10">
      <c r="A1596" s="2" t="s">
        <v>148</v>
      </c>
      <c r="B1596" s="2" t="s">
        <v>100</v>
      </c>
      <c r="C1596" s="2">
        <v>1.22337E-2</v>
      </c>
      <c r="D1596" s="60">
        <v>0</v>
      </c>
      <c r="E1596" s="2">
        <v>22.531700000000001</v>
      </c>
      <c r="F1596" s="2">
        <v>3.53295</v>
      </c>
      <c r="G1596" s="2">
        <v>0</v>
      </c>
      <c r="H1596" s="2">
        <v>10</v>
      </c>
      <c r="I1596" s="2">
        <v>0</v>
      </c>
      <c r="J1596" s="2">
        <v>0</v>
      </c>
    </row>
    <row r="1597" spans="1:10">
      <c r="A1597" s="2" t="s">
        <v>148</v>
      </c>
      <c r="B1597" s="2" t="s">
        <v>98</v>
      </c>
      <c r="C1597" s="2">
        <v>0.162553</v>
      </c>
      <c r="D1597" s="60">
        <v>0</v>
      </c>
      <c r="E1597" s="2">
        <v>15.8568</v>
      </c>
      <c r="F1597" s="2">
        <v>6.6749200000000002</v>
      </c>
      <c r="G1597" s="2">
        <v>10</v>
      </c>
      <c r="H1597" s="2">
        <v>24.313400000000001</v>
      </c>
      <c r="I1597" s="2">
        <v>0</v>
      </c>
      <c r="J1597" s="2">
        <v>0</v>
      </c>
    </row>
    <row r="1598" spans="1:10">
      <c r="A1598" s="2" t="s">
        <v>148</v>
      </c>
      <c r="B1598" s="2" t="s">
        <v>101</v>
      </c>
      <c r="C1598" s="2">
        <v>1.21888E-2</v>
      </c>
      <c r="D1598" s="60">
        <v>0</v>
      </c>
      <c r="E1598" s="2">
        <v>15.6</v>
      </c>
      <c r="F1598" s="2">
        <v>0.25678200000000001</v>
      </c>
      <c r="G1598" s="2">
        <v>24.313400000000001</v>
      </c>
      <c r="H1598" s="2">
        <v>24.852900000000002</v>
      </c>
      <c r="I1598" s="2">
        <v>0</v>
      </c>
      <c r="J1598" s="2">
        <v>0</v>
      </c>
    </row>
    <row r="1599" spans="1:10">
      <c r="A1599" s="2" t="s">
        <v>148</v>
      </c>
      <c r="B1599" s="2" t="s">
        <v>60</v>
      </c>
      <c r="C1599" s="2">
        <v>0.26295200000000002</v>
      </c>
      <c r="D1599" s="60">
        <v>23.665700000000001</v>
      </c>
      <c r="E1599" s="2">
        <v>11.6</v>
      </c>
      <c r="F1599" s="2">
        <v>4</v>
      </c>
      <c r="G1599" s="2">
        <v>24.852900000000002</v>
      </c>
      <c r="H1599" s="2">
        <v>32.6081</v>
      </c>
      <c r="I1599" s="2">
        <v>0</v>
      </c>
      <c r="J1599" s="2">
        <v>0</v>
      </c>
    </row>
    <row r="1600" spans="1:10">
      <c r="A1600" s="2" t="s">
        <v>148</v>
      </c>
      <c r="B1600" s="2" t="s">
        <v>101</v>
      </c>
      <c r="C1600" s="2">
        <v>0.32394800000000001</v>
      </c>
      <c r="D1600" s="60">
        <v>0</v>
      </c>
      <c r="E1600" s="2">
        <v>8.3000000000000007</v>
      </c>
      <c r="F1600" s="2">
        <v>3.3</v>
      </c>
      <c r="G1600" s="2">
        <v>32.6081</v>
      </c>
      <c r="H1600" s="2">
        <v>37.850999999999999</v>
      </c>
      <c r="I1600" s="2">
        <v>0</v>
      </c>
      <c r="J1600" s="2">
        <v>0</v>
      </c>
    </row>
    <row r="1601" spans="1:10">
      <c r="A1601" s="2" t="s">
        <v>148</v>
      </c>
      <c r="B1601" s="2" t="s">
        <v>62</v>
      </c>
      <c r="C1601" s="2">
        <v>0.51581999999999995</v>
      </c>
      <c r="D1601" s="60">
        <v>41.265599999999999</v>
      </c>
      <c r="E1601" s="2">
        <v>4.3</v>
      </c>
      <c r="F1601" s="2">
        <v>4</v>
      </c>
      <c r="G1601" s="2">
        <v>37.850999999999999</v>
      </c>
      <c r="H1601" s="2">
        <v>42.993200000000002</v>
      </c>
      <c r="I1601" s="2">
        <v>0</v>
      </c>
      <c r="J1601" s="2">
        <v>0</v>
      </c>
    </row>
    <row r="1602" spans="1:10">
      <c r="A1602" s="2" t="s">
        <v>148</v>
      </c>
      <c r="B1602" s="2" t="s">
        <v>57</v>
      </c>
      <c r="C1602" s="2">
        <v>0.68561499999999997</v>
      </c>
      <c r="D1602" s="60">
        <v>82.273899999999998</v>
      </c>
      <c r="E1602" s="2">
        <v>0.3</v>
      </c>
      <c r="F1602" s="2">
        <v>4</v>
      </c>
      <c r="G1602" s="2">
        <v>42.993200000000002</v>
      </c>
      <c r="H1602" s="2">
        <v>53.920900000000003</v>
      </c>
      <c r="I1602" s="2">
        <v>0</v>
      </c>
      <c r="J1602" s="2">
        <v>0</v>
      </c>
    </row>
    <row r="1603" spans="1:10">
      <c r="A1603" s="2" t="s">
        <v>138</v>
      </c>
      <c r="B1603" s="2">
        <v>7</v>
      </c>
      <c r="C1603" s="2">
        <v>19.517800000000001</v>
      </c>
      <c r="D1603" s="60" t="s">
        <v>129</v>
      </c>
      <c r="E1603" s="2" t="s">
        <v>149</v>
      </c>
    </row>
    <row r="1604" spans="1:10">
      <c r="A1604" s="2" t="s">
        <v>140</v>
      </c>
      <c r="B1604" s="2">
        <v>0</v>
      </c>
      <c r="C1604" s="2">
        <v>51.2089</v>
      </c>
      <c r="D1604" s="60">
        <v>26.133500000000002</v>
      </c>
    </row>
    <row r="1605" spans="1:10">
      <c r="A1605" s="2" t="s">
        <v>141</v>
      </c>
      <c r="B1605" s="2">
        <v>0</v>
      </c>
      <c r="C1605" s="2">
        <v>6.2</v>
      </c>
      <c r="D1605" s="60" t="s">
        <v>142</v>
      </c>
    </row>
    <row r="1606" spans="1:10">
      <c r="A1606" s="2" t="s">
        <v>141</v>
      </c>
      <c r="B1606" s="2">
        <v>0</v>
      </c>
      <c r="C1606" s="2">
        <v>20.8523</v>
      </c>
      <c r="D1606" s="60" t="s">
        <v>146</v>
      </c>
    </row>
    <row r="1607" spans="1:10">
      <c r="A1607" s="2" t="s">
        <v>141</v>
      </c>
      <c r="B1607" s="2">
        <v>6.2</v>
      </c>
      <c r="C1607" s="2">
        <v>9.1</v>
      </c>
      <c r="D1607" s="60" t="s">
        <v>144</v>
      </c>
    </row>
    <row r="1608" spans="1:10">
      <c r="A1608" s="2" t="s">
        <v>141</v>
      </c>
      <c r="B1608" s="2">
        <v>9.1</v>
      </c>
      <c r="C1608" s="2">
        <v>11.5</v>
      </c>
      <c r="D1608" s="60" t="s">
        <v>145</v>
      </c>
    </row>
    <row r="1609" spans="1:10">
      <c r="A1609" s="2" t="s">
        <v>141</v>
      </c>
      <c r="B1609" s="2">
        <v>11.5</v>
      </c>
      <c r="C1609" s="2">
        <v>15</v>
      </c>
      <c r="D1609" s="60" t="s">
        <v>147</v>
      </c>
    </row>
    <row r="1610" spans="1:10">
      <c r="A1610" s="2" t="s">
        <v>141</v>
      </c>
      <c r="B1610" s="2">
        <v>15</v>
      </c>
      <c r="C1610" s="2">
        <v>20.8523</v>
      </c>
      <c r="D1610" s="60" t="s">
        <v>144</v>
      </c>
    </row>
    <row r="1611" spans="1:10">
      <c r="A1611" s="2" t="s">
        <v>148</v>
      </c>
      <c r="B1611" s="2" t="s">
        <v>99</v>
      </c>
      <c r="C1611" s="2">
        <v>6.2717999999999996E-2</v>
      </c>
      <c r="D1611" s="60">
        <v>0</v>
      </c>
      <c r="E1611" s="2">
        <v>0</v>
      </c>
      <c r="F1611" s="2">
        <v>0.3</v>
      </c>
      <c r="G1611" s="2">
        <v>50.358899999999998</v>
      </c>
      <c r="H1611" s="2">
        <v>52.9253</v>
      </c>
      <c r="I1611" s="2">
        <v>0</v>
      </c>
      <c r="J1611" s="2">
        <v>0</v>
      </c>
    </row>
    <row r="1612" spans="1:10">
      <c r="A1612" s="2" t="s">
        <v>148</v>
      </c>
      <c r="B1612" s="2" t="s">
        <v>100</v>
      </c>
      <c r="C1612" s="2">
        <v>1.32467E-2</v>
      </c>
      <c r="D1612" s="60">
        <v>0</v>
      </c>
      <c r="E1612" s="2">
        <v>22.244</v>
      </c>
      <c r="F1612" s="2">
        <v>3.8895</v>
      </c>
      <c r="G1612" s="2">
        <v>0</v>
      </c>
      <c r="H1612" s="2">
        <v>10</v>
      </c>
      <c r="I1612" s="2">
        <v>0</v>
      </c>
      <c r="J1612" s="2">
        <v>0</v>
      </c>
    </row>
    <row r="1613" spans="1:10">
      <c r="A1613" s="2" t="s">
        <v>148</v>
      </c>
      <c r="B1613" s="2" t="s">
        <v>98</v>
      </c>
      <c r="C1613" s="2">
        <v>3.67269E-2</v>
      </c>
      <c r="D1613" s="60">
        <v>0</v>
      </c>
      <c r="E1613" s="2">
        <v>19.421399999999998</v>
      </c>
      <c r="F1613" s="2">
        <v>2.8226100000000001</v>
      </c>
      <c r="G1613" s="2">
        <v>10</v>
      </c>
      <c r="H1613" s="2">
        <v>15.595599999999999</v>
      </c>
      <c r="I1613" s="2">
        <v>0</v>
      </c>
      <c r="J1613" s="2">
        <v>0</v>
      </c>
    </row>
    <row r="1614" spans="1:10">
      <c r="A1614" s="2" t="s">
        <v>148</v>
      </c>
      <c r="B1614" s="2" t="s">
        <v>101</v>
      </c>
      <c r="C1614" s="2">
        <v>8.4997800000000002E-3</v>
      </c>
      <c r="D1614" s="60">
        <v>0</v>
      </c>
      <c r="E1614" s="2">
        <v>19</v>
      </c>
      <c r="F1614" s="2">
        <v>0.421371</v>
      </c>
      <c r="G1614" s="2">
        <v>15.595599999999999</v>
      </c>
      <c r="H1614" s="2">
        <v>16.452999999999999</v>
      </c>
      <c r="I1614" s="2">
        <v>0</v>
      </c>
      <c r="J1614" s="2">
        <v>0</v>
      </c>
    </row>
    <row r="1615" spans="1:10">
      <c r="A1615" s="2" t="s">
        <v>148</v>
      </c>
      <c r="B1615" s="2" t="s">
        <v>61</v>
      </c>
      <c r="C1615" s="2">
        <v>0.13361000000000001</v>
      </c>
      <c r="D1615" s="60">
        <v>11.3569</v>
      </c>
      <c r="E1615" s="2">
        <v>15</v>
      </c>
      <c r="F1615" s="2">
        <v>4</v>
      </c>
      <c r="G1615" s="2">
        <v>16.452999999999999</v>
      </c>
      <c r="H1615" s="2">
        <v>24.4467</v>
      </c>
      <c r="I1615" s="2">
        <v>0</v>
      </c>
      <c r="J1615" s="2">
        <v>0</v>
      </c>
    </row>
    <row r="1616" spans="1:10">
      <c r="A1616" s="2" t="s">
        <v>148</v>
      </c>
      <c r="B1616" s="2" t="s">
        <v>101</v>
      </c>
      <c r="C1616" s="2">
        <v>3.9925599999999999E-2</v>
      </c>
      <c r="D1616" s="60">
        <v>0</v>
      </c>
      <c r="E1616" s="2">
        <v>14.2</v>
      </c>
      <c r="F1616" s="2">
        <v>0.8</v>
      </c>
      <c r="G1616" s="2">
        <v>24.4467</v>
      </c>
      <c r="H1616" s="2">
        <v>25.9541</v>
      </c>
      <c r="I1616" s="2">
        <v>0</v>
      </c>
      <c r="J1616" s="2">
        <v>0</v>
      </c>
    </row>
    <row r="1617" spans="1:10">
      <c r="A1617" s="2" t="s">
        <v>148</v>
      </c>
      <c r="B1617" s="2" t="s">
        <v>63</v>
      </c>
      <c r="C1617" s="2">
        <v>0.27354600000000001</v>
      </c>
      <c r="D1617" s="60">
        <v>19.148199999999999</v>
      </c>
      <c r="E1617" s="2">
        <v>10.199999999999999</v>
      </c>
      <c r="F1617" s="2">
        <v>4</v>
      </c>
      <c r="G1617" s="2">
        <v>25.9541</v>
      </c>
      <c r="H1617" s="2">
        <v>32.694000000000003</v>
      </c>
      <c r="I1617" s="2">
        <v>0</v>
      </c>
      <c r="J1617" s="2">
        <v>0</v>
      </c>
    </row>
    <row r="1618" spans="1:10">
      <c r="A1618" s="2" t="s">
        <v>148</v>
      </c>
      <c r="B1618" s="2" t="s">
        <v>59</v>
      </c>
      <c r="C1618" s="2">
        <v>0.39556799999999998</v>
      </c>
      <c r="D1618" s="60">
        <v>39.556800000000003</v>
      </c>
      <c r="E1618" s="2">
        <v>6.2</v>
      </c>
      <c r="F1618" s="2">
        <v>4</v>
      </c>
      <c r="G1618" s="2">
        <v>32.694000000000003</v>
      </c>
      <c r="H1618" s="2">
        <v>37.986899999999999</v>
      </c>
      <c r="I1618" s="2">
        <v>0</v>
      </c>
      <c r="J1618" s="2">
        <v>0</v>
      </c>
    </row>
    <row r="1619" spans="1:10">
      <c r="A1619" s="2" t="s">
        <v>148</v>
      </c>
      <c r="B1619" s="2" t="s">
        <v>56</v>
      </c>
      <c r="C1619" s="2">
        <v>0.82613199999999998</v>
      </c>
      <c r="D1619" s="60">
        <v>115.65900000000001</v>
      </c>
      <c r="E1619" s="2">
        <v>0.3</v>
      </c>
      <c r="F1619" s="2">
        <v>5.9</v>
      </c>
      <c r="G1619" s="2">
        <v>37.986899999999999</v>
      </c>
      <c r="H1619" s="2">
        <v>50.358899999999998</v>
      </c>
      <c r="I1619" s="2">
        <v>0</v>
      </c>
      <c r="J1619" s="2">
        <v>0</v>
      </c>
    </row>
    <row r="1620" spans="1:10">
      <c r="A1620" s="2" t="s">
        <v>138</v>
      </c>
      <c r="B1620" s="2">
        <v>8</v>
      </c>
      <c r="C1620" s="2">
        <v>19.649100000000001</v>
      </c>
      <c r="D1620" s="60" t="s">
        <v>129</v>
      </c>
      <c r="E1620" s="2" t="s">
        <v>175</v>
      </c>
    </row>
    <row r="1621" spans="1:10">
      <c r="A1621" s="2" t="s">
        <v>140</v>
      </c>
      <c r="B1621" s="2">
        <v>0</v>
      </c>
      <c r="C1621" s="2">
        <v>56.393300000000004</v>
      </c>
      <c r="D1621" s="60">
        <v>26.540600000000001</v>
      </c>
      <c r="E1621" s="2">
        <v>0</v>
      </c>
      <c r="F1621" s="2">
        <v>13</v>
      </c>
    </row>
    <row r="1622" spans="1:10">
      <c r="A1622" s="2" t="s">
        <v>141</v>
      </c>
      <c r="B1622" s="2">
        <v>0</v>
      </c>
      <c r="C1622" s="2">
        <v>2</v>
      </c>
      <c r="D1622" s="60" t="s">
        <v>144</v>
      </c>
    </row>
    <row r="1623" spans="1:10">
      <c r="A1623" s="2" t="s">
        <v>141</v>
      </c>
      <c r="B1623" s="2">
        <v>0</v>
      </c>
      <c r="C1623" s="2">
        <v>21.1617</v>
      </c>
      <c r="D1623" s="60" t="s">
        <v>146</v>
      </c>
    </row>
    <row r="1624" spans="1:10">
      <c r="A1624" s="2" t="s">
        <v>141</v>
      </c>
      <c r="B1624" s="2">
        <v>2</v>
      </c>
      <c r="C1624" s="2">
        <v>2.2999999999999998</v>
      </c>
      <c r="D1624" s="60" t="s">
        <v>145</v>
      </c>
    </row>
    <row r="1625" spans="1:10">
      <c r="A1625" s="2" t="s">
        <v>141</v>
      </c>
      <c r="B1625" s="2">
        <v>2.2999999999999998</v>
      </c>
      <c r="C1625" s="2">
        <v>5</v>
      </c>
      <c r="D1625" s="60" t="s">
        <v>144</v>
      </c>
    </row>
    <row r="1626" spans="1:10">
      <c r="A1626" s="2" t="s">
        <v>141</v>
      </c>
      <c r="B1626" s="2">
        <v>5</v>
      </c>
      <c r="C1626" s="2">
        <v>8.1</v>
      </c>
      <c r="D1626" s="60" t="s">
        <v>145</v>
      </c>
    </row>
    <row r="1627" spans="1:10">
      <c r="A1627" s="2" t="s">
        <v>141</v>
      </c>
      <c r="B1627" s="2">
        <v>8.1</v>
      </c>
      <c r="C1627" s="2">
        <v>9</v>
      </c>
      <c r="D1627" s="60" t="s">
        <v>151</v>
      </c>
    </row>
    <row r="1628" spans="1:10">
      <c r="A1628" s="2" t="s">
        <v>141</v>
      </c>
      <c r="B1628" s="2">
        <v>9</v>
      </c>
      <c r="C1628" s="2">
        <v>9.3000000000000007</v>
      </c>
      <c r="D1628" s="60" t="s">
        <v>154</v>
      </c>
    </row>
    <row r="1629" spans="1:10">
      <c r="A1629" s="2" t="s">
        <v>141</v>
      </c>
      <c r="B1629" s="2">
        <v>9</v>
      </c>
      <c r="C1629" s="2">
        <v>11.8</v>
      </c>
      <c r="D1629" s="60" t="s">
        <v>147</v>
      </c>
    </row>
    <row r="1630" spans="1:10">
      <c r="A1630" s="2" t="s">
        <v>141</v>
      </c>
      <c r="B1630" s="2">
        <v>11.8</v>
      </c>
      <c r="C1630" s="2">
        <v>21.1617</v>
      </c>
      <c r="D1630" s="60" t="s">
        <v>151</v>
      </c>
    </row>
    <row r="1631" spans="1:10">
      <c r="A1631" s="2" t="s">
        <v>156</v>
      </c>
      <c r="B1631" s="2">
        <v>9</v>
      </c>
      <c r="C1631" s="2">
        <v>48.564100000000003</v>
      </c>
    </row>
    <row r="1632" spans="1:10">
      <c r="A1632" s="2" t="s">
        <v>148</v>
      </c>
      <c r="B1632" s="2" t="s">
        <v>99</v>
      </c>
      <c r="C1632" s="2">
        <v>7.4610999999999997E-2</v>
      </c>
      <c r="D1632" s="60">
        <v>0</v>
      </c>
      <c r="E1632" s="2">
        <v>0</v>
      </c>
      <c r="F1632" s="2">
        <v>0.3</v>
      </c>
      <c r="G1632" s="2">
        <v>54.944299999999998</v>
      </c>
      <c r="H1632" s="2">
        <v>57.704599999999999</v>
      </c>
      <c r="I1632" s="2">
        <v>0</v>
      </c>
      <c r="J1632" s="2">
        <v>0</v>
      </c>
    </row>
    <row r="1633" spans="1:10">
      <c r="A1633" s="2" t="s">
        <v>148</v>
      </c>
      <c r="B1633" s="2" t="s">
        <v>98</v>
      </c>
      <c r="C1633" s="2">
        <v>0.19397500000000001</v>
      </c>
      <c r="D1633" s="60">
        <v>0</v>
      </c>
      <c r="E1633" s="2">
        <v>10.143599999999999</v>
      </c>
      <c r="F1633" s="2">
        <v>2.85636</v>
      </c>
      <c r="G1633" s="2">
        <v>27.156400000000001</v>
      </c>
      <c r="H1633" s="2">
        <v>31.482800000000001</v>
      </c>
      <c r="I1633" s="2">
        <v>0</v>
      </c>
      <c r="J1633" s="2">
        <v>0</v>
      </c>
    </row>
    <row r="1634" spans="1:10">
      <c r="A1634" s="2" t="s">
        <v>148</v>
      </c>
      <c r="B1634" s="2" t="s">
        <v>101</v>
      </c>
      <c r="C1634" s="2">
        <v>0.17393500000000001</v>
      </c>
      <c r="D1634" s="60">
        <v>0</v>
      </c>
      <c r="E1634" s="2">
        <v>8.3000000000000007</v>
      </c>
      <c r="F1634" s="2">
        <v>1.8436399999999999</v>
      </c>
      <c r="G1634" s="2">
        <v>31.482800000000001</v>
      </c>
      <c r="H1634" s="2">
        <v>38.753300000000003</v>
      </c>
      <c r="I1634" s="2">
        <v>0</v>
      </c>
      <c r="J1634" s="2">
        <v>0</v>
      </c>
    </row>
    <row r="1635" spans="1:10">
      <c r="A1635" s="2" t="s">
        <v>148</v>
      </c>
      <c r="B1635" s="2" t="s">
        <v>62</v>
      </c>
      <c r="C1635" s="2">
        <v>0.53855299999999995</v>
      </c>
      <c r="D1635" s="60">
        <v>43.084200000000003</v>
      </c>
      <c r="E1635" s="2">
        <v>4.3</v>
      </c>
      <c r="F1635" s="2">
        <v>4</v>
      </c>
      <c r="G1635" s="2">
        <v>38.753300000000003</v>
      </c>
      <c r="H1635" s="2">
        <v>43.870800000000003</v>
      </c>
      <c r="I1635" s="2">
        <v>0</v>
      </c>
      <c r="J1635" s="2">
        <v>0</v>
      </c>
    </row>
    <row r="1636" spans="1:10">
      <c r="A1636" s="2" t="s">
        <v>148</v>
      </c>
      <c r="B1636" s="2" t="s">
        <v>58</v>
      </c>
      <c r="C1636" s="2">
        <v>0.713175</v>
      </c>
      <c r="D1636" s="60">
        <v>74.883399999999995</v>
      </c>
      <c r="E1636" s="2">
        <v>0.3</v>
      </c>
      <c r="F1636" s="2">
        <v>4</v>
      </c>
      <c r="G1636" s="2">
        <v>43.870800000000003</v>
      </c>
      <c r="H1636" s="2">
        <v>54.944299999999998</v>
      </c>
      <c r="I1636" s="2">
        <v>0</v>
      </c>
      <c r="J1636" s="2">
        <v>0</v>
      </c>
    </row>
    <row r="1637" spans="1:10">
      <c r="A1637" s="2" t="s">
        <v>138</v>
      </c>
      <c r="B1637" s="2">
        <v>9</v>
      </c>
      <c r="C1637" s="2">
        <v>19.759499999999999</v>
      </c>
      <c r="D1637" s="60" t="s">
        <v>129</v>
      </c>
      <c r="E1637" s="2" t="s">
        <v>149</v>
      </c>
    </row>
    <row r="1638" spans="1:10">
      <c r="A1638" s="2" t="s">
        <v>140</v>
      </c>
      <c r="B1638" s="2">
        <v>0</v>
      </c>
      <c r="C1638" s="2">
        <v>63.151600000000002</v>
      </c>
      <c r="D1638" s="60">
        <v>27.002600000000001</v>
      </c>
    </row>
    <row r="1639" spans="1:10">
      <c r="A1639" s="2" t="s">
        <v>141</v>
      </c>
      <c r="B1639" s="2">
        <v>0</v>
      </c>
      <c r="C1639" s="2">
        <v>2.8</v>
      </c>
      <c r="D1639" s="60" t="s">
        <v>142</v>
      </c>
    </row>
    <row r="1640" spans="1:10">
      <c r="A1640" s="2" t="s">
        <v>141</v>
      </c>
      <c r="B1640" s="2">
        <v>0</v>
      </c>
      <c r="C1640" s="2">
        <v>2.8</v>
      </c>
      <c r="D1640" s="60" t="s">
        <v>158</v>
      </c>
    </row>
    <row r="1641" spans="1:10">
      <c r="A1641" s="2" t="s">
        <v>141</v>
      </c>
      <c r="B1641" s="2">
        <v>0</v>
      </c>
      <c r="C1641" s="2">
        <v>21.512699999999999</v>
      </c>
      <c r="D1641" s="60" t="s">
        <v>146</v>
      </c>
    </row>
    <row r="1642" spans="1:10">
      <c r="A1642" s="2" t="s">
        <v>141</v>
      </c>
      <c r="B1642" s="2">
        <v>2.8</v>
      </c>
      <c r="C1642" s="2">
        <v>3.1</v>
      </c>
      <c r="D1642" s="60" t="s">
        <v>147</v>
      </c>
    </row>
    <row r="1643" spans="1:10">
      <c r="A1643" s="2" t="s">
        <v>141</v>
      </c>
      <c r="B1643" s="2">
        <v>2.8</v>
      </c>
      <c r="C1643" s="2">
        <v>3.1</v>
      </c>
      <c r="D1643" s="60" t="s">
        <v>160</v>
      </c>
    </row>
    <row r="1644" spans="1:10">
      <c r="A1644" s="2" t="s">
        <v>141</v>
      </c>
      <c r="B1644" s="2">
        <v>3.1</v>
      </c>
      <c r="C1644" s="2">
        <v>9.9</v>
      </c>
      <c r="D1644" s="60" t="s">
        <v>144</v>
      </c>
    </row>
    <row r="1645" spans="1:10">
      <c r="A1645" s="2" t="s">
        <v>141</v>
      </c>
      <c r="B1645" s="2">
        <v>9.9</v>
      </c>
      <c r="C1645" s="2">
        <v>11.5</v>
      </c>
      <c r="D1645" s="60" t="s">
        <v>145</v>
      </c>
    </row>
    <row r="1646" spans="1:10">
      <c r="A1646" s="2" t="s">
        <v>141</v>
      </c>
      <c r="B1646" s="2">
        <v>11.5</v>
      </c>
      <c r="C1646" s="2">
        <v>11.8</v>
      </c>
      <c r="D1646" s="60" t="s">
        <v>151</v>
      </c>
    </row>
    <row r="1647" spans="1:10">
      <c r="A1647" s="2" t="s">
        <v>141</v>
      </c>
      <c r="B1647" s="2">
        <v>11.8</v>
      </c>
      <c r="C1647" s="2">
        <v>13</v>
      </c>
      <c r="D1647" s="60" t="s">
        <v>145</v>
      </c>
    </row>
    <row r="1648" spans="1:10">
      <c r="A1648" s="2" t="s">
        <v>141</v>
      </c>
      <c r="B1648" s="2">
        <v>13</v>
      </c>
      <c r="C1648" s="2">
        <v>21.512699999999999</v>
      </c>
      <c r="D1648" s="60" t="s">
        <v>144</v>
      </c>
    </row>
    <row r="1649" spans="1:10">
      <c r="A1649" s="2" t="s">
        <v>148</v>
      </c>
      <c r="B1649" s="2" t="s">
        <v>99</v>
      </c>
      <c r="C1649" s="2">
        <v>9.1472300000000006E-2</v>
      </c>
      <c r="D1649" s="60">
        <v>0</v>
      </c>
      <c r="E1649" s="2">
        <v>0</v>
      </c>
      <c r="F1649" s="2">
        <v>0.3</v>
      </c>
      <c r="G1649" s="2">
        <v>60.858499999999999</v>
      </c>
      <c r="H1649" s="2">
        <v>63.867600000000003</v>
      </c>
      <c r="I1649" s="2">
        <v>0</v>
      </c>
      <c r="J1649" s="2">
        <v>0</v>
      </c>
    </row>
    <row r="1650" spans="1:10">
      <c r="A1650" s="2" t="s">
        <v>148</v>
      </c>
      <c r="B1650" s="2" t="s">
        <v>100</v>
      </c>
      <c r="C1650" s="2">
        <v>1.09763E-2</v>
      </c>
      <c r="D1650" s="60">
        <v>0</v>
      </c>
      <c r="E1650" s="2">
        <v>23.918099999999999</v>
      </c>
      <c r="F1650" s="2">
        <v>3.0844299999999998</v>
      </c>
      <c r="G1650" s="2">
        <v>0</v>
      </c>
      <c r="H1650" s="2">
        <v>10.000400000000001</v>
      </c>
      <c r="I1650" s="2">
        <v>0</v>
      </c>
      <c r="J1650" s="2">
        <v>0</v>
      </c>
    </row>
    <row r="1651" spans="1:10">
      <c r="A1651" s="2" t="s">
        <v>148</v>
      </c>
      <c r="B1651" s="2" t="s">
        <v>98</v>
      </c>
      <c r="C1651" s="2">
        <v>5.4485899999999997E-2</v>
      </c>
      <c r="D1651" s="60">
        <v>0</v>
      </c>
      <c r="E1651" s="2">
        <v>20.433700000000002</v>
      </c>
      <c r="F1651" s="2">
        <v>3.4843999999999999</v>
      </c>
      <c r="G1651" s="2">
        <v>10.000400000000001</v>
      </c>
      <c r="H1651" s="2">
        <v>17.951799999999999</v>
      </c>
      <c r="I1651" s="2">
        <v>0</v>
      </c>
      <c r="J1651" s="2">
        <v>0</v>
      </c>
    </row>
    <row r="1652" spans="1:10">
      <c r="A1652" s="2" t="s">
        <v>148</v>
      </c>
      <c r="B1652" s="2" t="s">
        <v>101</v>
      </c>
      <c r="C1652" s="2">
        <v>3.4447800000000002E-3</v>
      </c>
      <c r="D1652" s="60">
        <v>0</v>
      </c>
      <c r="E1652" s="2">
        <v>20.3</v>
      </c>
      <c r="F1652" s="2">
        <v>0.13372800000000001</v>
      </c>
      <c r="G1652" s="2">
        <v>17.951799999999999</v>
      </c>
      <c r="H1652" s="2">
        <v>18.2683</v>
      </c>
      <c r="I1652" s="2">
        <v>0</v>
      </c>
      <c r="J1652" s="2">
        <v>0</v>
      </c>
    </row>
    <row r="1653" spans="1:10">
      <c r="A1653" s="2" t="s">
        <v>148</v>
      </c>
      <c r="B1653" s="2" t="s">
        <v>61</v>
      </c>
      <c r="C1653" s="2">
        <v>0.168632</v>
      </c>
      <c r="D1653" s="60">
        <v>14.3337</v>
      </c>
      <c r="E1653" s="2">
        <v>16.3</v>
      </c>
      <c r="F1653" s="2">
        <v>4</v>
      </c>
      <c r="G1653" s="2">
        <v>18.2683</v>
      </c>
      <c r="H1653" s="2">
        <v>27.6904</v>
      </c>
      <c r="I1653" s="2">
        <v>0</v>
      </c>
      <c r="J1653" s="2">
        <v>0</v>
      </c>
    </row>
    <row r="1654" spans="1:10">
      <c r="A1654" s="2" t="s">
        <v>148</v>
      </c>
      <c r="B1654" s="2" t="s">
        <v>60</v>
      </c>
      <c r="C1654" s="2">
        <v>0.32485799999999998</v>
      </c>
      <c r="D1654" s="60">
        <v>29.237200000000001</v>
      </c>
      <c r="E1654" s="2">
        <v>12.3</v>
      </c>
      <c r="F1654" s="2">
        <v>4</v>
      </c>
      <c r="G1654" s="2">
        <v>27.6904</v>
      </c>
      <c r="H1654" s="2">
        <v>36.201900000000002</v>
      </c>
      <c r="I1654" s="2">
        <v>0</v>
      </c>
      <c r="J1654" s="2">
        <v>0</v>
      </c>
    </row>
    <row r="1655" spans="1:10">
      <c r="A1655" s="2" t="s">
        <v>148</v>
      </c>
      <c r="B1655" s="2" t="s">
        <v>62</v>
      </c>
      <c r="C1655" s="2">
        <v>0.49885499999999999</v>
      </c>
      <c r="D1655" s="60">
        <v>39.9084</v>
      </c>
      <c r="E1655" s="2">
        <v>8.3000000000000007</v>
      </c>
      <c r="F1655" s="2">
        <v>4</v>
      </c>
      <c r="G1655" s="2">
        <v>36.201900000000002</v>
      </c>
      <c r="H1655" s="2">
        <v>43.113</v>
      </c>
      <c r="I1655" s="2">
        <v>0</v>
      </c>
      <c r="J1655" s="2">
        <v>0</v>
      </c>
    </row>
    <row r="1656" spans="1:10">
      <c r="A1656" s="2" t="s">
        <v>148</v>
      </c>
      <c r="B1656" s="2" t="s">
        <v>58</v>
      </c>
      <c r="C1656" s="2">
        <v>0.66412199999999999</v>
      </c>
      <c r="D1656" s="60">
        <v>69.732799999999997</v>
      </c>
      <c r="E1656" s="2">
        <v>4.3</v>
      </c>
      <c r="F1656" s="2">
        <v>4</v>
      </c>
      <c r="G1656" s="2">
        <v>43.113</v>
      </c>
      <c r="H1656" s="2">
        <v>48.657200000000003</v>
      </c>
      <c r="I1656" s="2">
        <v>0</v>
      </c>
      <c r="J1656" s="2">
        <v>0</v>
      </c>
    </row>
    <row r="1657" spans="1:10">
      <c r="A1657" s="2" t="s">
        <v>148</v>
      </c>
      <c r="B1657" s="2" t="s">
        <v>62</v>
      </c>
      <c r="C1657" s="2">
        <v>0.87648400000000004</v>
      </c>
      <c r="D1657" s="60">
        <v>70.118700000000004</v>
      </c>
      <c r="E1657" s="2">
        <v>0.3</v>
      </c>
      <c r="F1657" s="2">
        <v>4</v>
      </c>
      <c r="G1657" s="2">
        <v>48.657200000000003</v>
      </c>
      <c r="H1657" s="2">
        <v>60.858499999999999</v>
      </c>
      <c r="I1657" s="2">
        <v>0</v>
      </c>
      <c r="J1657" s="2">
        <v>0</v>
      </c>
    </row>
    <row r="1658" spans="1:10">
      <c r="A1658" s="2" t="s">
        <v>138</v>
      </c>
      <c r="B1658" s="2">
        <v>10</v>
      </c>
      <c r="C1658" s="2">
        <v>19.263100000000001</v>
      </c>
      <c r="D1658" s="60" t="s">
        <v>129</v>
      </c>
      <c r="E1658" s="2" t="s">
        <v>149</v>
      </c>
    </row>
    <row r="1659" spans="1:10">
      <c r="A1659" s="2" t="s">
        <v>140</v>
      </c>
      <c r="B1659" s="2">
        <v>0</v>
      </c>
      <c r="C1659" s="2">
        <v>44.915700000000001</v>
      </c>
      <c r="D1659" s="60">
        <v>25.565899999999999</v>
      </c>
    </row>
    <row r="1660" spans="1:10">
      <c r="A1660" s="2" t="s">
        <v>141</v>
      </c>
      <c r="B1660" s="2">
        <v>0</v>
      </c>
      <c r="C1660" s="2">
        <v>6.7</v>
      </c>
      <c r="D1660" s="60" t="s">
        <v>142</v>
      </c>
    </row>
    <row r="1661" spans="1:10">
      <c r="A1661" s="2" t="s">
        <v>141</v>
      </c>
      <c r="B1661" s="2">
        <v>0</v>
      </c>
      <c r="C1661" s="2">
        <v>20.420999999999999</v>
      </c>
      <c r="D1661" s="60" t="s">
        <v>146</v>
      </c>
    </row>
    <row r="1662" spans="1:10">
      <c r="A1662" s="2" t="s">
        <v>141</v>
      </c>
      <c r="B1662" s="2">
        <v>6.7</v>
      </c>
      <c r="C1662" s="2">
        <v>13.2</v>
      </c>
      <c r="D1662" s="60" t="s">
        <v>144</v>
      </c>
    </row>
    <row r="1663" spans="1:10">
      <c r="A1663" s="2" t="s">
        <v>141</v>
      </c>
      <c r="B1663" s="2">
        <v>13.2</v>
      </c>
      <c r="C1663" s="2">
        <v>14</v>
      </c>
      <c r="D1663" s="60" t="s">
        <v>145</v>
      </c>
    </row>
    <row r="1664" spans="1:10">
      <c r="A1664" s="2" t="s">
        <v>141</v>
      </c>
      <c r="B1664" s="2">
        <v>14</v>
      </c>
      <c r="C1664" s="2">
        <v>14.3</v>
      </c>
      <c r="D1664" s="60" t="s">
        <v>153</v>
      </c>
    </row>
    <row r="1665" spans="1:10">
      <c r="A1665" s="2" t="s">
        <v>141</v>
      </c>
      <c r="B1665" s="2">
        <v>14</v>
      </c>
      <c r="C1665" s="2">
        <v>14.3</v>
      </c>
      <c r="D1665" s="60" t="s">
        <v>154</v>
      </c>
    </row>
    <row r="1666" spans="1:10">
      <c r="A1666" s="2" t="s">
        <v>141</v>
      </c>
      <c r="B1666" s="2">
        <v>14</v>
      </c>
      <c r="C1666" s="2">
        <v>20.420999999999999</v>
      </c>
      <c r="D1666" s="60" t="s">
        <v>144</v>
      </c>
    </row>
    <row r="1667" spans="1:10">
      <c r="A1667" s="2" t="s">
        <v>156</v>
      </c>
      <c r="B1667" s="2">
        <v>14</v>
      </c>
      <c r="C1667" s="2">
        <v>29.2623</v>
      </c>
    </row>
    <row r="1668" spans="1:10">
      <c r="A1668" s="2" t="s">
        <v>148</v>
      </c>
      <c r="B1668" s="2" t="s">
        <v>99</v>
      </c>
      <c r="C1668" s="2">
        <v>4.9526500000000001E-2</v>
      </c>
      <c r="D1668" s="60">
        <v>0</v>
      </c>
      <c r="E1668" s="2">
        <v>0</v>
      </c>
      <c r="F1668" s="2">
        <v>0.3</v>
      </c>
      <c r="G1668" s="2">
        <v>44.729700000000001</v>
      </c>
      <c r="H1668" s="2">
        <v>47.055799999999998</v>
      </c>
      <c r="I1668" s="2">
        <v>0</v>
      </c>
      <c r="J1668" s="2">
        <v>0</v>
      </c>
    </row>
    <row r="1669" spans="1:10">
      <c r="A1669" s="2" t="s">
        <v>148</v>
      </c>
      <c r="B1669" s="2" t="s">
        <v>100</v>
      </c>
      <c r="C1669" s="2">
        <v>2.1196300000000001E-2</v>
      </c>
      <c r="D1669" s="60">
        <v>0</v>
      </c>
      <c r="E1669" s="2">
        <v>18.561499999999999</v>
      </c>
      <c r="F1669" s="2">
        <v>7.0043899999999999</v>
      </c>
      <c r="G1669" s="2">
        <v>0</v>
      </c>
      <c r="H1669" s="2">
        <v>10</v>
      </c>
      <c r="I1669" s="2">
        <v>0</v>
      </c>
      <c r="J1669" s="2">
        <v>0</v>
      </c>
    </row>
    <row r="1670" spans="1:10">
      <c r="A1670" s="2" t="s">
        <v>148</v>
      </c>
      <c r="B1670" s="2" t="s">
        <v>101</v>
      </c>
      <c r="C1670" s="2">
        <v>4.8679700000000002E-4</v>
      </c>
      <c r="D1670" s="60">
        <v>0</v>
      </c>
      <c r="E1670" s="2">
        <v>18.5</v>
      </c>
      <c r="F1670" s="2">
        <v>6.1502399999999999E-2</v>
      </c>
      <c r="G1670" s="2">
        <v>10</v>
      </c>
      <c r="H1670" s="2">
        <v>10.0776</v>
      </c>
      <c r="I1670" s="2">
        <v>0</v>
      </c>
      <c r="J1670" s="2">
        <v>0</v>
      </c>
    </row>
    <row r="1671" spans="1:10">
      <c r="A1671" s="2" t="s">
        <v>148</v>
      </c>
      <c r="B1671" s="2" t="s">
        <v>64</v>
      </c>
      <c r="C1671" s="2">
        <v>5.3922100000000001E-2</v>
      </c>
      <c r="D1671" s="60">
        <v>1.6176600000000001</v>
      </c>
      <c r="E1671" s="2">
        <v>14.3</v>
      </c>
      <c r="F1671" s="2">
        <v>4.2</v>
      </c>
      <c r="G1671" s="2">
        <v>10.0776</v>
      </c>
      <c r="H1671" s="2">
        <v>15.2501</v>
      </c>
      <c r="I1671" s="2">
        <v>0</v>
      </c>
      <c r="J1671" s="2">
        <v>0</v>
      </c>
    </row>
    <row r="1672" spans="1:10">
      <c r="A1672" s="2" t="s">
        <v>148</v>
      </c>
      <c r="B1672" s="2" t="s">
        <v>101</v>
      </c>
      <c r="C1672" s="2">
        <v>8.4517200000000001E-2</v>
      </c>
      <c r="D1672" s="60">
        <v>0</v>
      </c>
      <c r="E1672" s="2">
        <v>12.3</v>
      </c>
      <c r="F1672" s="2">
        <v>2</v>
      </c>
      <c r="G1672" s="2">
        <v>15.2501</v>
      </c>
      <c r="H1672" s="2">
        <v>25.6662</v>
      </c>
      <c r="I1672" s="2">
        <v>0</v>
      </c>
      <c r="J1672" s="2">
        <v>0</v>
      </c>
    </row>
    <row r="1673" spans="1:10">
      <c r="A1673" s="2" t="s">
        <v>148</v>
      </c>
      <c r="B1673" s="2" t="s">
        <v>60</v>
      </c>
      <c r="C1673" s="2">
        <v>0.25718200000000002</v>
      </c>
      <c r="D1673" s="60">
        <v>23.1464</v>
      </c>
      <c r="E1673" s="2">
        <v>8.3000000000000007</v>
      </c>
      <c r="F1673" s="2">
        <v>4</v>
      </c>
      <c r="G1673" s="2">
        <v>25.6662</v>
      </c>
      <c r="H1673" s="2">
        <v>31.233899999999998</v>
      </c>
      <c r="I1673" s="2">
        <v>0</v>
      </c>
      <c r="J1673" s="2">
        <v>0</v>
      </c>
    </row>
    <row r="1674" spans="1:10">
      <c r="A1674" s="2" t="s">
        <v>148</v>
      </c>
      <c r="B1674" s="2" t="s">
        <v>59</v>
      </c>
      <c r="C1674" s="2">
        <v>0.35280299999999998</v>
      </c>
      <c r="D1674" s="60">
        <v>35.280299999999997</v>
      </c>
      <c r="E1674" s="2">
        <v>4.3</v>
      </c>
      <c r="F1674" s="2">
        <v>4</v>
      </c>
      <c r="G1674" s="2">
        <v>31.233899999999998</v>
      </c>
      <c r="H1674" s="2">
        <v>35.610199999999999</v>
      </c>
      <c r="I1674" s="2">
        <v>0</v>
      </c>
      <c r="J1674" s="2">
        <v>0</v>
      </c>
    </row>
    <row r="1675" spans="1:10">
      <c r="A1675" s="2" t="s">
        <v>148</v>
      </c>
      <c r="B1675" s="2" t="s">
        <v>56</v>
      </c>
      <c r="C1675" s="2">
        <v>0.47089300000000001</v>
      </c>
      <c r="D1675" s="60">
        <v>65.924999999999997</v>
      </c>
      <c r="E1675" s="2">
        <v>0.3</v>
      </c>
      <c r="F1675" s="2">
        <v>4</v>
      </c>
      <c r="G1675" s="2">
        <v>35.610199999999999</v>
      </c>
      <c r="H1675" s="2">
        <v>44.729700000000001</v>
      </c>
      <c r="I1675" s="2">
        <v>0</v>
      </c>
      <c r="J1675" s="2">
        <v>0</v>
      </c>
    </row>
    <row r="1676" spans="1:10">
      <c r="A1676" s="2" t="s">
        <v>140</v>
      </c>
      <c r="B1676" s="2">
        <v>1</v>
      </c>
      <c r="C1676" s="2">
        <v>27.192499999999999</v>
      </c>
      <c r="D1676" s="60">
        <v>25.565899999999999</v>
      </c>
      <c r="E1676" s="2">
        <v>14</v>
      </c>
    </row>
    <row r="1677" spans="1:10">
      <c r="A1677" s="2" t="s">
        <v>141</v>
      </c>
      <c r="B1677" s="2">
        <v>14</v>
      </c>
      <c r="C1677" s="2">
        <v>14.3</v>
      </c>
      <c r="D1677" s="60" t="s">
        <v>153</v>
      </c>
    </row>
    <row r="1678" spans="1:10">
      <c r="A1678" s="2" t="s">
        <v>141</v>
      </c>
      <c r="B1678" s="2">
        <v>14</v>
      </c>
      <c r="C1678" s="2">
        <v>20.420999999999999</v>
      </c>
      <c r="D1678" s="60" t="s">
        <v>144</v>
      </c>
    </row>
    <row r="1679" spans="1:10">
      <c r="A1679" s="2" t="s">
        <v>141</v>
      </c>
      <c r="B1679" s="2">
        <v>14</v>
      </c>
      <c r="C1679" s="2">
        <v>20.420999999999999</v>
      </c>
      <c r="D1679" s="60" t="s">
        <v>146</v>
      </c>
    </row>
    <row r="1680" spans="1:10">
      <c r="A1680" s="2" t="s">
        <v>148</v>
      </c>
      <c r="B1680" s="2" t="s">
        <v>100</v>
      </c>
      <c r="C1680" s="2">
        <v>2.2548800000000001E-2</v>
      </c>
      <c r="D1680" s="60">
        <v>0</v>
      </c>
      <c r="E1680" s="2">
        <v>18.023599999999998</v>
      </c>
      <c r="F1680" s="2">
        <v>7.5422900000000004</v>
      </c>
      <c r="G1680" s="2">
        <v>0</v>
      </c>
      <c r="H1680" s="2">
        <v>10</v>
      </c>
      <c r="I1680" s="2">
        <v>0</v>
      </c>
      <c r="J1680" s="2">
        <v>0</v>
      </c>
    </row>
    <row r="1681" spans="1:10">
      <c r="A1681" s="2" t="s">
        <v>148</v>
      </c>
      <c r="B1681" s="2" t="s">
        <v>101</v>
      </c>
      <c r="C1681" s="2">
        <v>1.8590600000000001E-4</v>
      </c>
      <c r="D1681" s="60">
        <v>0</v>
      </c>
      <c r="E1681" s="2">
        <v>18</v>
      </c>
      <c r="F1681" s="2">
        <v>2.3604300000000002E-2</v>
      </c>
      <c r="G1681" s="2">
        <v>10</v>
      </c>
      <c r="H1681" s="2">
        <v>10.027900000000001</v>
      </c>
      <c r="I1681" s="2">
        <v>0</v>
      </c>
      <c r="J1681" s="2">
        <v>0</v>
      </c>
    </row>
    <row r="1682" spans="1:10">
      <c r="A1682" s="2" t="s">
        <v>148</v>
      </c>
      <c r="B1682" s="2" t="s">
        <v>64</v>
      </c>
      <c r="C1682" s="2">
        <v>4.3563400000000002E-2</v>
      </c>
      <c r="D1682" s="60">
        <v>1.3069</v>
      </c>
      <c r="E1682" s="2">
        <v>14.3</v>
      </c>
      <c r="F1682" s="2">
        <v>3.7</v>
      </c>
      <c r="G1682" s="2">
        <v>10.027900000000001</v>
      </c>
      <c r="H1682" s="2">
        <v>14.2806</v>
      </c>
      <c r="I1682" s="2">
        <v>0</v>
      </c>
      <c r="J1682" s="2">
        <v>0</v>
      </c>
    </row>
    <row r="1683" spans="1:10">
      <c r="A1683" s="2" t="s">
        <v>148</v>
      </c>
      <c r="B1683" s="2" t="s">
        <v>101</v>
      </c>
      <c r="C1683" s="2">
        <v>4.9159299999999998E-3</v>
      </c>
      <c r="D1683" s="60">
        <v>0</v>
      </c>
      <c r="E1683" s="2">
        <v>14</v>
      </c>
      <c r="F1683" s="2">
        <v>0.3</v>
      </c>
      <c r="G1683" s="2">
        <v>14.2806</v>
      </c>
      <c r="H1683" s="2">
        <v>14.6068</v>
      </c>
      <c r="I1683" s="2">
        <v>0</v>
      </c>
      <c r="J1683" s="2">
        <v>0</v>
      </c>
    </row>
    <row r="1684" spans="1:10">
      <c r="A1684" s="2" t="s">
        <v>138</v>
      </c>
      <c r="B1684" s="2">
        <v>11</v>
      </c>
      <c r="C1684" s="2">
        <v>18.307500000000001</v>
      </c>
      <c r="D1684" s="60" t="s">
        <v>129</v>
      </c>
      <c r="E1684" s="2" t="s">
        <v>149</v>
      </c>
    </row>
    <row r="1685" spans="1:10">
      <c r="A1685" s="2" t="s">
        <v>140</v>
      </c>
      <c r="B1685" s="2">
        <v>0</v>
      </c>
      <c r="C1685" s="2">
        <v>34.281700000000001</v>
      </c>
      <c r="D1685" s="60">
        <v>24.386600000000001</v>
      </c>
    </row>
    <row r="1686" spans="1:10">
      <c r="A1686" s="2" t="s">
        <v>141</v>
      </c>
      <c r="B1686" s="2">
        <v>0</v>
      </c>
      <c r="C1686" s="2">
        <v>7.2</v>
      </c>
      <c r="D1686" s="60" t="s">
        <v>142</v>
      </c>
    </row>
    <row r="1687" spans="1:10">
      <c r="A1687" s="2" t="s">
        <v>141</v>
      </c>
      <c r="B1687" s="2">
        <v>0</v>
      </c>
      <c r="C1687" s="2">
        <v>14</v>
      </c>
      <c r="D1687" s="60" t="s">
        <v>146</v>
      </c>
    </row>
    <row r="1688" spans="1:10">
      <c r="A1688" s="2" t="s">
        <v>141</v>
      </c>
      <c r="B1688" s="2">
        <v>0</v>
      </c>
      <c r="C1688" s="2">
        <v>14</v>
      </c>
      <c r="D1688" s="60" t="s">
        <v>158</v>
      </c>
    </row>
    <row r="1689" spans="1:10">
      <c r="A1689" s="2" t="s">
        <v>141</v>
      </c>
      <c r="B1689" s="2">
        <v>7.2</v>
      </c>
      <c r="C1689" s="2">
        <v>7.5</v>
      </c>
      <c r="D1689" s="60" t="s">
        <v>153</v>
      </c>
    </row>
    <row r="1690" spans="1:10">
      <c r="A1690" s="2" t="s">
        <v>141</v>
      </c>
      <c r="B1690" s="2">
        <v>7.2</v>
      </c>
      <c r="C1690" s="2">
        <v>7.5</v>
      </c>
      <c r="D1690" s="60" t="s">
        <v>154</v>
      </c>
    </row>
    <row r="1691" spans="1:10">
      <c r="A1691" s="2" t="s">
        <v>141</v>
      </c>
      <c r="B1691" s="2">
        <v>7.2</v>
      </c>
      <c r="C1691" s="2">
        <v>14</v>
      </c>
      <c r="D1691" s="60" t="s">
        <v>144</v>
      </c>
    </row>
    <row r="1692" spans="1:10">
      <c r="A1692" s="2" t="s">
        <v>141</v>
      </c>
      <c r="B1692" s="2">
        <v>14</v>
      </c>
      <c r="C1692" s="2">
        <v>14.4</v>
      </c>
      <c r="D1692" s="60" t="s">
        <v>160</v>
      </c>
    </row>
    <row r="1693" spans="1:10">
      <c r="A1693" s="2" t="s">
        <v>141</v>
      </c>
      <c r="B1693" s="2">
        <v>14</v>
      </c>
      <c r="C1693" s="2">
        <v>19.524899999999999</v>
      </c>
      <c r="D1693" s="60" t="s">
        <v>145</v>
      </c>
    </row>
    <row r="1694" spans="1:10">
      <c r="A1694" s="2" t="s">
        <v>141</v>
      </c>
      <c r="B1694" s="2">
        <v>14</v>
      </c>
      <c r="C1694" s="2">
        <v>19.524899999999999</v>
      </c>
      <c r="D1694" s="60" t="s">
        <v>152</v>
      </c>
    </row>
    <row r="1695" spans="1:10">
      <c r="A1695" s="2" t="s">
        <v>141</v>
      </c>
      <c r="B1695" s="2">
        <v>14.4</v>
      </c>
      <c r="C1695" s="2">
        <v>19.524899999999999</v>
      </c>
      <c r="D1695" s="60" t="s">
        <v>158</v>
      </c>
    </row>
    <row r="1696" spans="1:10">
      <c r="A1696" s="2" t="s">
        <v>156</v>
      </c>
      <c r="B1696" s="2">
        <v>7.2</v>
      </c>
      <c r="C1696" s="2">
        <v>24.174099999999999</v>
      </c>
    </row>
    <row r="1697" spans="1:10">
      <c r="A1697" s="2" t="s">
        <v>148</v>
      </c>
      <c r="B1697" s="2" t="s">
        <v>99</v>
      </c>
      <c r="C1697" s="2">
        <v>3.0443700000000001E-2</v>
      </c>
      <c r="D1697" s="60">
        <v>0</v>
      </c>
      <c r="E1697" s="2">
        <v>0</v>
      </c>
      <c r="F1697" s="2">
        <v>0.3</v>
      </c>
      <c r="G1697" s="2">
        <v>35.033099999999997</v>
      </c>
      <c r="H1697" s="2">
        <v>36.935699999999997</v>
      </c>
      <c r="I1697" s="2">
        <v>0</v>
      </c>
      <c r="J1697" s="2">
        <v>0</v>
      </c>
    </row>
    <row r="1698" spans="1:10">
      <c r="A1698" s="2" t="s">
        <v>148</v>
      </c>
      <c r="B1698" s="2" t="s">
        <v>100</v>
      </c>
      <c r="C1698" s="2">
        <v>2.3808699999999999E-2</v>
      </c>
      <c r="D1698" s="60">
        <v>0</v>
      </c>
      <c r="E1698" s="2">
        <v>16.290800000000001</v>
      </c>
      <c r="F1698" s="2">
        <v>8.0958600000000001</v>
      </c>
      <c r="G1698" s="2">
        <v>0</v>
      </c>
      <c r="H1698" s="2">
        <v>10</v>
      </c>
      <c r="I1698" s="2">
        <v>0</v>
      </c>
      <c r="J1698" s="2">
        <v>0</v>
      </c>
    </row>
    <row r="1699" spans="1:10">
      <c r="A1699" s="2" t="s">
        <v>148</v>
      </c>
      <c r="B1699" s="2" t="s">
        <v>101</v>
      </c>
      <c r="C1699" s="2">
        <v>7.2011299999999998E-4</v>
      </c>
      <c r="D1699" s="60">
        <v>0</v>
      </c>
      <c r="E1699" s="2">
        <v>16.2</v>
      </c>
      <c r="F1699" s="2">
        <v>9.0772800000000001E-2</v>
      </c>
      <c r="G1699" s="2">
        <v>10</v>
      </c>
      <c r="H1699" s="2">
        <v>10.1004</v>
      </c>
      <c r="I1699" s="2">
        <v>0</v>
      </c>
      <c r="J1699" s="2">
        <v>0</v>
      </c>
    </row>
    <row r="1700" spans="1:10">
      <c r="A1700" s="2" t="s">
        <v>148</v>
      </c>
      <c r="B1700" s="2" t="s">
        <v>64</v>
      </c>
      <c r="C1700" s="2">
        <v>5.93039E-2</v>
      </c>
      <c r="D1700" s="60">
        <v>1.77912</v>
      </c>
      <c r="E1700" s="2">
        <v>11.5</v>
      </c>
      <c r="F1700" s="2">
        <v>4.7</v>
      </c>
      <c r="G1700" s="2">
        <v>10.1004</v>
      </c>
      <c r="H1700" s="2">
        <v>14.953099999999999</v>
      </c>
      <c r="I1700" s="2">
        <v>0</v>
      </c>
      <c r="J1700" s="2">
        <v>0</v>
      </c>
    </row>
    <row r="1701" spans="1:10">
      <c r="A1701" s="2" t="s">
        <v>148</v>
      </c>
      <c r="B1701" s="2" t="s">
        <v>63</v>
      </c>
      <c r="C1701" s="2">
        <v>8.7546899999999997E-2</v>
      </c>
      <c r="D1701" s="60">
        <v>6.1282800000000002</v>
      </c>
      <c r="E1701" s="2">
        <v>7.5</v>
      </c>
      <c r="F1701" s="2">
        <v>4</v>
      </c>
      <c r="G1701" s="2">
        <v>14.953099999999999</v>
      </c>
      <c r="H1701" s="2">
        <v>18.233499999999999</v>
      </c>
      <c r="I1701" s="2">
        <v>0</v>
      </c>
      <c r="J1701" s="2">
        <v>0</v>
      </c>
    </row>
    <row r="1702" spans="1:10">
      <c r="A1702" s="2" t="s">
        <v>148</v>
      </c>
      <c r="B1702" s="2" t="s">
        <v>101</v>
      </c>
      <c r="C1702" s="2">
        <v>5.43977E-2</v>
      </c>
      <c r="D1702" s="60">
        <v>0</v>
      </c>
      <c r="E1702" s="2">
        <v>6.3</v>
      </c>
      <c r="F1702" s="2">
        <v>1.2</v>
      </c>
      <c r="G1702" s="2">
        <v>18.233499999999999</v>
      </c>
      <c r="H1702" s="2">
        <v>26.053100000000001</v>
      </c>
      <c r="I1702" s="2">
        <v>0</v>
      </c>
      <c r="J1702" s="2">
        <v>0</v>
      </c>
    </row>
    <row r="1703" spans="1:10">
      <c r="A1703" s="2" t="s">
        <v>148</v>
      </c>
      <c r="B1703" s="2" t="s">
        <v>60</v>
      </c>
      <c r="C1703" s="2">
        <v>0.40143800000000002</v>
      </c>
      <c r="D1703" s="60">
        <v>36.1295</v>
      </c>
      <c r="E1703" s="2">
        <v>0.3</v>
      </c>
      <c r="F1703" s="2">
        <v>6</v>
      </c>
      <c r="G1703" s="2">
        <v>26.053100000000001</v>
      </c>
      <c r="H1703" s="2">
        <v>35.033099999999997</v>
      </c>
      <c r="I1703" s="2">
        <v>0</v>
      </c>
      <c r="J1703" s="2">
        <v>0</v>
      </c>
    </row>
    <row r="1704" spans="1:10">
      <c r="A1704" s="2" t="s">
        <v>140</v>
      </c>
      <c r="B1704" s="2">
        <v>1</v>
      </c>
      <c r="C1704" s="2">
        <v>21.8718</v>
      </c>
      <c r="D1704" s="60">
        <v>24.386600000000001</v>
      </c>
      <c r="E1704" s="2">
        <v>7.2</v>
      </c>
    </row>
    <row r="1705" spans="1:10">
      <c r="A1705" s="2" t="s">
        <v>141</v>
      </c>
      <c r="B1705" s="2">
        <v>7.2</v>
      </c>
      <c r="C1705" s="2">
        <v>7.5</v>
      </c>
      <c r="D1705" s="60" t="s">
        <v>153</v>
      </c>
    </row>
    <row r="1706" spans="1:10">
      <c r="A1706" s="2" t="s">
        <v>141</v>
      </c>
      <c r="B1706" s="2">
        <v>7.2</v>
      </c>
      <c r="C1706" s="2">
        <v>19.524899999999999</v>
      </c>
      <c r="D1706" s="60" t="s">
        <v>144</v>
      </c>
    </row>
    <row r="1707" spans="1:10">
      <c r="A1707" s="2" t="s">
        <v>141</v>
      </c>
      <c r="B1707" s="2">
        <v>7.2</v>
      </c>
      <c r="C1707" s="2">
        <v>19.524899999999999</v>
      </c>
      <c r="D1707" s="60" t="s">
        <v>146</v>
      </c>
    </row>
    <row r="1708" spans="1:10">
      <c r="A1708" s="2" t="s">
        <v>148</v>
      </c>
      <c r="B1708" s="2" t="s">
        <v>100</v>
      </c>
      <c r="C1708" s="2">
        <v>2.6042699999999998E-2</v>
      </c>
      <c r="D1708" s="60">
        <v>0</v>
      </c>
      <c r="E1708" s="2">
        <v>15.4381</v>
      </c>
      <c r="F1708" s="2">
        <v>8.9485100000000006</v>
      </c>
      <c r="G1708" s="2">
        <v>0</v>
      </c>
      <c r="H1708" s="2">
        <v>10</v>
      </c>
      <c r="I1708" s="2">
        <v>0</v>
      </c>
      <c r="J1708" s="2">
        <v>0</v>
      </c>
    </row>
    <row r="1709" spans="1:10">
      <c r="A1709" s="2" t="s">
        <v>148</v>
      </c>
      <c r="B1709" s="2" t="s">
        <v>101</v>
      </c>
      <c r="C1709" s="2">
        <v>3.0059999999999999E-4</v>
      </c>
      <c r="D1709" s="60">
        <v>0</v>
      </c>
      <c r="E1709" s="2">
        <v>15.4</v>
      </c>
      <c r="F1709" s="2">
        <v>3.81284E-2</v>
      </c>
      <c r="G1709" s="2">
        <v>10</v>
      </c>
      <c r="H1709" s="2">
        <v>10.038</v>
      </c>
      <c r="I1709" s="2">
        <v>0</v>
      </c>
      <c r="J1709" s="2">
        <v>0</v>
      </c>
    </row>
    <row r="1710" spans="1:10">
      <c r="A1710" s="2" t="s">
        <v>148</v>
      </c>
      <c r="B1710" s="2" t="s">
        <v>64</v>
      </c>
      <c r="C1710" s="2">
        <v>3.9412599999999999E-2</v>
      </c>
      <c r="D1710" s="60">
        <v>1.18238</v>
      </c>
      <c r="E1710" s="2">
        <v>11.8</v>
      </c>
      <c r="F1710" s="2">
        <v>3.6</v>
      </c>
      <c r="G1710" s="2">
        <v>10.038</v>
      </c>
      <c r="H1710" s="2">
        <v>13.414300000000001</v>
      </c>
      <c r="I1710" s="2">
        <v>0</v>
      </c>
      <c r="J1710" s="2">
        <v>0</v>
      </c>
    </row>
    <row r="1711" spans="1:10">
      <c r="A1711" s="2" t="s">
        <v>148</v>
      </c>
      <c r="B1711" s="2" t="s">
        <v>64</v>
      </c>
      <c r="C1711" s="2">
        <v>7.7504400000000001E-2</v>
      </c>
      <c r="D1711" s="60">
        <v>2.3251300000000001</v>
      </c>
      <c r="E1711" s="2">
        <v>7.5</v>
      </c>
      <c r="F1711" s="2">
        <v>4.3</v>
      </c>
      <c r="G1711" s="2">
        <v>13.414300000000001</v>
      </c>
      <c r="H1711" s="2">
        <v>16.6707</v>
      </c>
      <c r="I1711" s="2">
        <v>0</v>
      </c>
      <c r="J1711" s="2">
        <v>0</v>
      </c>
    </row>
    <row r="1712" spans="1:10">
      <c r="A1712" s="2" t="s">
        <v>148</v>
      </c>
      <c r="B1712" s="2" t="s">
        <v>101</v>
      </c>
      <c r="C1712" s="2">
        <v>6.6247299999999997E-3</v>
      </c>
      <c r="D1712" s="60">
        <v>0</v>
      </c>
      <c r="E1712" s="2">
        <v>7.2</v>
      </c>
      <c r="F1712" s="2">
        <v>0.3</v>
      </c>
      <c r="G1712" s="2">
        <v>16.6707</v>
      </c>
      <c r="H1712" s="2">
        <v>16.8642</v>
      </c>
      <c r="I1712" s="2">
        <v>0</v>
      </c>
      <c r="J1712" s="2">
        <v>0</v>
      </c>
    </row>
    <row r="1713" spans="1:10">
      <c r="A1713" s="2" t="s">
        <v>138</v>
      </c>
      <c r="B1713" s="2">
        <v>12</v>
      </c>
      <c r="C1713" s="2">
        <v>19.872199999999999</v>
      </c>
      <c r="D1713" s="60" t="s">
        <v>129</v>
      </c>
      <c r="E1713" s="2" t="s">
        <v>139</v>
      </c>
    </row>
    <row r="1714" spans="1:10">
      <c r="A1714" s="2" t="s">
        <v>140</v>
      </c>
      <c r="B1714" s="2">
        <v>0</v>
      </c>
      <c r="C1714" s="2">
        <v>69.819999999999993</v>
      </c>
      <c r="D1714" s="60">
        <v>32.776200000000003</v>
      </c>
    </row>
    <row r="1715" spans="1:10">
      <c r="A1715" s="2" t="s">
        <v>141</v>
      </c>
      <c r="B1715" s="2">
        <v>0</v>
      </c>
      <c r="C1715" s="2">
        <v>1.2</v>
      </c>
      <c r="D1715" s="60" t="s">
        <v>158</v>
      </c>
    </row>
    <row r="1716" spans="1:10">
      <c r="A1716" s="2" t="s">
        <v>141</v>
      </c>
      <c r="B1716" s="2">
        <v>0</v>
      </c>
      <c r="C1716" s="2">
        <v>3.8</v>
      </c>
      <c r="D1716" s="60" t="s">
        <v>144</v>
      </c>
    </row>
    <row r="1717" spans="1:10">
      <c r="A1717" s="2" t="s">
        <v>141</v>
      </c>
      <c r="B1717" s="2">
        <v>0</v>
      </c>
      <c r="C1717" s="2">
        <v>25.9</v>
      </c>
      <c r="D1717" s="60" t="s">
        <v>146</v>
      </c>
    </row>
    <row r="1718" spans="1:10">
      <c r="A1718" s="2" t="s">
        <v>141</v>
      </c>
      <c r="B1718" s="2">
        <v>1.2</v>
      </c>
      <c r="C1718" s="2">
        <v>1.5</v>
      </c>
      <c r="D1718" s="60" t="s">
        <v>176</v>
      </c>
    </row>
    <row r="1719" spans="1:10">
      <c r="A1719" s="2" t="s">
        <v>141</v>
      </c>
      <c r="B1719" s="2">
        <v>1.5</v>
      </c>
      <c r="C1719" s="2">
        <v>3.8</v>
      </c>
      <c r="D1719" s="60" t="s">
        <v>158</v>
      </c>
    </row>
    <row r="1720" spans="1:10">
      <c r="A1720" s="2" t="s">
        <v>141</v>
      </c>
      <c r="B1720" s="2">
        <v>3.8</v>
      </c>
      <c r="C1720" s="2">
        <v>4.0999999999999996</v>
      </c>
      <c r="D1720" s="60" t="s">
        <v>160</v>
      </c>
    </row>
    <row r="1721" spans="1:10">
      <c r="A1721" s="2" t="s">
        <v>141</v>
      </c>
      <c r="B1721" s="2">
        <v>3.8</v>
      </c>
      <c r="C1721" s="2">
        <v>6</v>
      </c>
      <c r="D1721" s="60" t="s">
        <v>145</v>
      </c>
    </row>
    <row r="1722" spans="1:10">
      <c r="A1722" s="2" t="s">
        <v>141</v>
      </c>
      <c r="B1722" s="2">
        <v>6</v>
      </c>
      <c r="C1722" s="2">
        <v>6.4</v>
      </c>
      <c r="D1722" s="60" t="s">
        <v>151</v>
      </c>
    </row>
    <row r="1723" spans="1:10">
      <c r="A1723" s="2" t="s">
        <v>141</v>
      </c>
      <c r="B1723" s="2">
        <v>6.4</v>
      </c>
      <c r="C1723" s="2">
        <v>10.9</v>
      </c>
      <c r="D1723" s="60" t="s">
        <v>145</v>
      </c>
    </row>
    <row r="1724" spans="1:10">
      <c r="A1724" s="2" t="s">
        <v>141</v>
      </c>
      <c r="B1724" s="2">
        <v>10.9</v>
      </c>
      <c r="C1724" s="2">
        <v>19</v>
      </c>
      <c r="D1724" s="60" t="s">
        <v>147</v>
      </c>
    </row>
    <row r="1725" spans="1:10">
      <c r="A1725" s="2" t="s">
        <v>141</v>
      </c>
      <c r="B1725" s="2">
        <v>19</v>
      </c>
      <c r="C1725" s="2">
        <v>25.9</v>
      </c>
      <c r="D1725" s="60" t="s">
        <v>144</v>
      </c>
    </row>
    <row r="1726" spans="1:10">
      <c r="A1726" s="2" t="s">
        <v>148</v>
      </c>
      <c r="B1726" s="2" t="s">
        <v>99</v>
      </c>
      <c r="C1726" s="2">
        <v>0.110849</v>
      </c>
      <c r="D1726" s="60">
        <v>0</v>
      </c>
      <c r="E1726" s="2">
        <v>0</v>
      </c>
      <c r="F1726" s="2">
        <v>0.3</v>
      </c>
      <c r="G1726" s="2">
        <v>67.244600000000005</v>
      </c>
      <c r="H1726" s="2">
        <v>70.0197</v>
      </c>
      <c r="I1726" s="2">
        <v>0</v>
      </c>
      <c r="J1726" s="2">
        <v>0</v>
      </c>
    </row>
    <row r="1727" spans="1:10">
      <c r="A1727" s="2" t="s">
        <v>148</v>
      </c>
      <c r="B1727" s="2" t="s">
        <v>100</v>
      </c>
      <c r="C1727" s="2">
        <v>1.18123E-2</v>
      </c>
      <c r="D1727" s="60">
        <v>0</v>
      </c>
      <c r="E1727" s="2">
        <v>29.518799999999999</v>
      </c>
      <c r="F1727" s="2">
        <v>3.2574100000000001</v>
      </c>
      <c r="G1727" s="2">
        <v>0</v>
      </c>
      <c r="H1727" s="2">
        <v>10.0001</v>
      </c>
      <c r="I1727" s="2">
        <v>0</v>
      </c>
      <c r="J1727" s="2">
        <v>0</v>
      </c>
    </row>
    <row r="1728" spans="1:10">
      <c r="A1728" s="2" t="s">
        <v>148</v>
      </c>
      <c r="B1728" s="2" t="s">
        <v>101</v>
      </c>
      <c r="C1728" s="2">
        <v>1.4819799999999999E-4</v>
      </c>
      <c r="D1728" s="60">
        <v>0</v>
      </c>
      <c r="E1728" s="2">
        <v>29.5</v>
      </c>
      <c r="F1728" s="2">
        <v>1.8798599999999999E-2</v>
      </c>
      <c r="G1728" s="2">
        <v>10.0001</v>
      </c>
      <c r="H1728" s="2">
        <v>10.0374</v>
      </c>
      <c r="I1728" s="2">
        <v>0</v>
      </c>
      <c r="J1728" s="2">
        <v>0</v>
      </c>
    </row>
    <row r="1729" spans="1:10">
      <c r="A1729" s="2" t="s">
        <v>148</v>
      </c>
      <c r="B1729" s="2" t="s">
        <v>64</v>
      </c>
      <c r="C1729" s="2">
        <v>7.7673400000000004E-2</v>
      </c>
      <c r="D1729" s="60">
        <v>2.3302</v>
      </c>
      <c r="E1729" s="2">
        <v>25</v>
      </c>
      <c r="F1729" s="2">
        <v>4.5</v>
      </c>
      <c r="G1729" s="2">
        <v>10.0374</v>
      </c>
      <c r="H1729" s="2">
        <v>19.260400000000001</v>
      </c>
      <c r="I1729" s="2">
        <v>0</v>
      </c>
      <c r="J1729" s="2">
        <v>0</v>
      </c>
    </row>
    <row r="1730" spans="1:10">
      <c r="A1730" s="2" t="s">
        <v>148</v>
      </c>
      <c r="B1730" s="2" t="s">
        <v>61</v>
      </c>
      <c r="C1730" s="2">
        <v>0.316826</v>
      </c>
      <c r="D1730" s="60">
        <v>26.930199999999999</v>
      </c>
      <c r="E1730" s="2">
        <v>19</v>
      </c>
      <c r="F1730" s="2">
        <v>6</v>
      </c>
      <c r="G1730" s="2">
        <v>19.260400000000001</v>
      </c>
      <c r="H1730" s="2">
        <v>31.964300000000001</v>
      </c>
      <c r="I1730" s="2">
        <v>0</v>
      </c>
      <c r="J1730" s="2">
        <v>0</v>
      </c>
    </row>
    <row r="1731" spans="1:10">
      <c r="A1731" s="2" t="s">
        <v>148</v>
      </c>
      <c r="B1731" s="2" t="s">
        <v>101</v>
      </c>
      <c r="C1731" s="2">
        <v>4.9991899999999999E-2</v>
      </c>
      <c r="D1731" s="60">
        <v>0</v>
      </c>
      <c r="E1731" s="2">
        <v>18.399999999999999</v>
      </c>
      <c r="F1731" s="2">
        <v>0.6</v>
      </c>
      <c r="G1731" s="2">
        <v>31.964300000000001</v>
      </c>
      <c r="H1731" s="2">
        <v>33.170299999999997</v>
      </c>
      <c r="I1731" s="2">
        <v>0</v>
      </c>
      <c r="J1731" s="2">
        <v>0</v>
      </c>
    </row>
    <row r="1732" spans="1:10">
      <c r="A1732" s="2" t="s">
        <v>148</v>
      </c>
      <c r="B1732" s="2" t="s">
        <v>59</v>
      </c>
      <c r="C1732" s="2">
        <v>0.43114400000000003</v>
      </c>
      <c r="D1732" s="60">
        <v>43.114400000000003</v>
      </c>
      <c r="E1732" s="2">
        <v>14.4</v>
      </c>
      <c r="F1732" s="2">
        <v>4</v>
      </c>
      <c r="G1732" s="2">
        <v>33.170299999999997</v>
      </c>
      <c r="H1732" s="2">
        <v>40.606900000000003</v>
      </c>
      <c r="I1732" s="2">
        <v>0</v>
      </c>
      <c r="J1732" s="2">
        <v>0</v>
      </c>
    </row>
    <row r="1733" spans="1:10">
      <c r="A1733" s="2" t="s">
        <v>148</v>
      </c>
      <c r="B1733" s="2" t="s">
        <v>58</v>
      </c>
      <c r="C1733" s="2">
        <v>0.60415300000000005</v>
      </c>
      <c r="D1733" s="60">
        <v>63.436100000000003</v>
      </c>
      <c r="E1733" s="2">
        <v>10.4</v>
      </c>
      <c r="F1733" s="2">
        <v>4</v>
      </c>
      <c r="G1733" s="2">
        <v>40.606900000000003</v>
      </c>
      <c r="H1733" s="2">
        <v>46.815199999999997</v>
      </c>
      <c r="I1733" s="2">
        <v>0</v>
      </c>
      <c r="J1733" s="2">
        <v>0</v>
      </c>
    </row>
    <row r="1734" spans="1:10">
      <c r="A1734" s="2" t="s">
        <v>148</v>
      </c>
      <c r="B1734" s="2" t="s">
        <v>58</v>
      </c>
      <c r="C1734" s="2">
        <v>0.76856800000000003</v>
      </c>
      <c r="D1734" s="60">
        <v>80.699700000000007</v>
      </c>
      <c r="E1734" s="2">
        <v>6.4</v>
      </c>
      <c r="F1734" s="2">
        <v>4</v>
      </c>
      <c r="G1734" s="2">
        <v>46.815199999999997</v>
      </c>
      <c r="H1734" s="2">
        <v>51.9255</v>
      </c>
      <c r="I1734" s="2">
        <v>0</v>
      </c>
      <c r="J1734" s="2">
        <v>0</v>
      </c>
    </row>
    <row r="1735" spans="1:10">
      <c r="A1735" s="2" t="s">
        <v>148</v>
      </c>
      <c r="B1735" s="2" t="s">
        <v>101</v>
      </c>
      <c r="C1735" s="2">
        <v>2.12252E-2</v>
      </c>
      <c r="D1735" s="60">
        <v>0</v>
      </c>
      <c r="E1735" s="2">
        <v>6.3</v>
      </c>
      <c r="F1735" s="2">
        <v>0.1</v>
      </c>
      <c r="G1735" s="2">
        <v>51.9255</v>
      </c>
      <c r="H1735" s="2">
        <v>52.045099999999998</v>
      </c>
      <c r="I1735" s="2">
        <v>0</v>
      </c>
      <c r="J1735" s="2">
        <v>0</v>
      </c>
    </row>
    <row r="1736" spans="1:10">
      <c r="A1736" s="2" t="s">
        <v>148</v>
      </c>
      <c r="B1736" s="2" t="s">
        <v>62</v>
      </c>
      <c r="C1736" s="2">
        <v>1.53698</v>
      </c>
      <c r="D1736" s="60">
        <v>122.958</v>
      </c>
      <c r="E1736" s="2">
        <v>0.3</v>
      </c>
      <c r="F1736" s="2">
        <v>6</v>
      </c>
      <c r="G1736" s="2">
        <v>52.045099999999998</v>
      </c>
      <c r="H1736" s="2">
        <v>67.244600000000005</v>
      </c>
      <c r="I1736" s="2">
        <v>0</v>
      </c>
      <c r="J1736" s="2">
        <v>0</v>
      </c>
    </row>
    <row r="1737" spans="1:10">
      <c r="A1737" s="2" t="s">
        <v>138</v>
      </c>
      <c r="B1737" s="2">
        <v>13</v>
      </c>
      <c r="C1737" s="2">
        <v>19.313800000000001</v>
      </c>
      <c r="D1737" s="60" t="s">
        <v>129</v>
      </c>
      <c r="E1737" s="2" t="s">
        <v>149</v>
      </c>
    </row>
    <row r="1738" spans="1:10">
      <c r="A1738" s="2" t="s">
        <v>140</v>
      </c>
      <c r="B1738" s="2">
        <v>0</v>
      </c>
      <c r="C1738" s="2">
        <v>45.9283</v>
      </c>
      <c r="D1738" s="60">
        <v>25.6631</v>
      </c>
    </row>
    <row r="1739" spans="1:10">
      <c r="A1739" s="2" t="s">
        <v>141</v>
      </c>
      <c r="B1739" s="2">
        <v>0</v>
      </c>
      <c r="C1739" s="2">
        <v>6.6</v>
      </c>
      <c r="D1739" s="60" t="s">
        <v>142</v>
      </c>
    </row>
    <row r="1740" spans="1:10">
      <c r="A1740" s="2" t="s">
        <v>141</v>
      </c>
      <c r="B1740" s="2">
        <v>0</v>
      </c>
      <c r="C1740" s="2">
        <v>20.494900000000001</v>
      </c>
      <c r="D1740" s="60" t="s">
        <v>146</v>
      </c>
    </row>
    <row r="1741" spans="1:10">
      <c r="A1741" s="2" t="s">
        <v>141</v>
      </c>
      <c r="B1741" s="2">
        <v>6.6</v>
      </c>
      <c r="C1741" s="2">
        <v>10.199999999999999</v>
      </c>
      <c r="D1741" s="60" t="s">
        <v>144</v>
      </c>
    </row>
    <row r="1742" spans="1:10">
      <c r="A1742" s="2" t="s">
        <v>141</v>
      </c>
      <c r="B1742" s="2">
        <v>10.199999999999999</v>
      </c>
      <c r="C1742" s="2">
        <v>15.1</v>
      </c>
      <c r="D1742" s="60" t="s">
        <v>145</v>
      </c>
    </row>
    <row r="1743" spans="1:10">
      <c r="A1743" s="2" t="s">
        <v>141</v>
      </c>
      <c r="B1743" s="2">
        <v>15.1</v>
      </c>
      <c r="C1743" s="2">
        <v>15.4</v>
      </c>
      <c r="D1743" s="60" t="s">
        <v>153</v>
      </c>
    </row>
    <row r="1744" spans="1:10">
      <c r="A1744" s="2" t="s">
        <v>141</v>
      </c>
      <c r="B1744" s="2">
        <v>15.1</v>
      </c>
      <c r="C1744" s="2">
        <v>15.4</v>
      </c>
      <c r="D1744" s="60" t="s">
        <v>154</v>
      </c>
    </row>
    <row r="1745" spans="1:10">
      <c r="A1745" s="2" t="s">
        <v>141</v>
      </c>
      <c r="B1745" s="2">
        <v>15.1</v>
      </c>
      <c r="C1745" s="2">
        <v>20.494900000000001</v>
      </c>
      <c r="D1745" s="60" t="s">
        <v>144</v>
      </c>
    </row>
    <row r="1746" spans="1:10">
      <c r="A1746" s="2" t="s">
        <v>156</v>
      </c>
      <c r="B1746" s="2">
        <v>15.1</v>
      </c>
      <c r="C1746" s="2">
        <v>30.163900000000002</v>
      </c>
    </row>
    <row r="1747" spans="1:10">
      <c r="A1747" s="2" t="s">
        <v>148</v>
      </c>
      <c r="B1747" s="2" t="s">
        <v>99</v>
      </c>
      <c r="C1747" s="2">
        <v>5.15556E-2</v>
      </c>
      <c r="D1747" s="60">
        <v>0</v>
      </c>
      <c r="E1747" s="2">
        <v>0</v>
      </c>
      <c r="F1747" s="2">
        <v>0.3</v>
      </c>
      <c r="G1747" s="2">
        <v>45.640500000000003</v>
      </c>
      <c r="H1747" s="2">
        <v>48.005699999999997</v>
      </c>
      <c r="I1747" s="2">
        <v>0</v>
      </c>
      <c r="J1747" s="2">
        <v>0</v>
      </c>
    </row>
    <row r="1748" spans="1:10">
      <c r="A1748" s="2" t="s">
        <v>148</v>
      </c>
      <c r="B1748" s="2" t="s">
        <v>100</v>
      </c>
      <c r="C1748" s="2">
        <v>2.0742199999999999E-2</v>
      </c>
      <c r="D1748" s="60">
        <v>0</v>
      </c>
      <c r="E1748" s="2">
        <v>18.845700000000001</v>
      </c>
      <c r="F1748" s="2">
        <v>6.8174700000000001</v>
      </c>
      <c r="G1748" s="2">
        <v>0</v>
      </c>
      <c r="H1748" s="2">
        <v>10</v>
      </c>
      <c r="I1748" s="2">
        <v>0</v>
      </c>
      <c r="J1748" s="2">
        <v>0</v>
      </c>
    </row>
    <row r="1749" spans="1:10">
      <c r="A1749" s="2" t="s">
        <v>148</v>
      </c>
      <c r="B1749" s="2" t="s">
        <v>101</v>
      </c>
      <c r="C1749" s="2">
        <v>0.11192100000000001</v>
      </c>
      <c r="D1749" s="60">
        <v>0</v>
      </c>
      <c r="E1749" s="2">
        <v>13.5</v>
      </c>
      <c r="F1749" s="2">
        <v>5.3456700000000001</v>
      </c>
      <c r="G1749" s="2">
        <v>10</v>
      </c>
      <c r="H1749" s="2">
        <v>24.296299999999999</v>
      </c>
      <c r="I1749" s="2">
        <v>0</v>
      </c>
      <c r="J1749" s="2">
        <v>0</v>
      </c>
    </row>
    <row r="1750" spans="1:10">
      <c r="A1750" s="2" t="s">
        <v>148</v>
      </c>
      <c r="B1750" s="2" t="s">
        <v>60</v>
      </c>
      <c r="C1750" s="2">
        <v>0.23755799999999999</v>
      </c>
      <c r="D1750" s="60">
        <v>21.380199999999999</v>
      </c>
      <c r="E1750" s="2">
        <v>9.5</v>
      </c>
      <c r="F1750" s="2">
        <v>4</v>
      </c>
      <c r="G1750" s="2">
        <v>24.296299999999999</v>
      </c>
      <c r="H1750" s="2">
        <v>30.358699999999999</v>
      </c>
      <c r="I1750" s="2">
        <v>0</v>
      </c>
      <c r="J1750" s="2">
        <v>0</v>
      </c>
    </row>
    <row r="1751" spans="1:10">
      <c r="A1751" s="2" t="s">
        <v>148</v>
      </c>
      <c r="B1751" s="2" t="s">
        <v>59</v>
      </c>
      <c r="C1751" s="2">
        <v>0.33894099999999999</v>
      </c>
      <c r="D1751" s="60">
        <v>33.894100000000002</v>
      </c>
      <c r="E1751" s="2">
        <v>5.5</v>
      </c>
      <c r="F1751" s="2">
        <v>4</v>
      </c>
      <c r="G1751" s="2">
        <v>30.358699999999999</v>
      </c>
      <c r="H1751" s="2">
        <v>35.085700000000003</v>
      </c>
      <c r="I1751" s="2">
        <v>0</v>
      </c>
      <c r="J1751" s="2">
        <v>0</v>
      </c>
    </row>
    <row r="1752" spans="1:10">
      <c r="A1752" s="2" t="s">
        <v>148</v>
      </c>
      <c r="B1752" s="2" t="s">
        <v>56</v>
      </c>
      <c r="C1752" s="2">
        <v>0.61069099999999998</v>
      </c>
      <c r="D1752" s="60">
        <v>85.496700000000004</v>
      </c>
      <c r="E1752" s="2">
        <v>0.3</v>
      </c>
      <c r="F1752" s="2">
        <v>5.2</v>
      </c>
      <c r="G1752" s="2">
        <v>35.085700000000003</v>
      </c>
      <c r="H1752" s="2">
        <v>45.640500000000003</v>
      </c>
      <c r="I1752" s="2">
        <v>0</v>
      </c>
      <c r="J1752" s="2">
        <v>0</v>
      </c>
    </row>
    <row r="1753" spans="1:10">
      <c r="A1753" s="2" t="s">
        <v>140</v>
      </c>
      <c r="B1753" s="2">
        <v>1</v>
      </c>
      <c r="C1753" s="2">
        <v>27.468800000000002</v>
      </c>
      <c r="D1753" s="60">
        <v>25.6631</v>
      </c>
      <c r="E1753" s="2">
        <v>15.1</v>
      </c>
    </row>
    <row r="1754" spans="1:10">
      <c r="A1754" s="2" t="s">
        <v>141</v>
      </c>
      <c r="B1754" s="2">
        <v>15.1</v>
      </c>
      <c r="C1754" s="2">
        <v>15.4</v>
      </c>
      <c r="D1754" s="60" t="s">
        <v>153</v>
      </c>
    </row>
    <row r="1755" spans="1:10">
      <c r="A1755" s="2" t="s">
        <v>141</v>
      </c>
      <c r="B1755" s="2">
        <v>15.1</v>
      </c>
      <c r="C1755" s="2">
        <v>18</v>
      </c>
      <c r="D1755" s="60" t="s">
        <v>152</v>
      </c>
    </row>
    <row r="1756" spans="1:10">
      <c r="A1756" s="2" t="s">
        <v>141</v>
      </c>
      <c r="B1756" s="2">
        <v>15.1</v>
      </c>
      <c r="C1756" s="2">
        <v>20.494900000000001</v>
      </c>
      <c r="D1756" s="60" t="s">
        <v>144</v>
      </c>
    </row>
    <row r="1757" spans="1:10">
      <c r="A1757" s="2" t="s">
        <v>141</v>
      </c>
      <c r="B1757" s="2">
        <v>18</v>
      </c>
      <c r="C1757" s="2">
        <v>20.494900000000001</v>
      </c>
      <c r="D1757" s="60" t="s">
        <v>161</v>
      </c>
    </row>
    <row r="1758" spans="1:10">
      <c r="A1758" s="2" t="s">
        <v>148</v>
      </c>
      <c r="B1758" s="2" t="s">
        <v>100</v>
      </c>
      <c r="C1758" s="2">
        <v>2.2440999999999999E-2</v>
      </c>
      <c r="D1758" s="60">
        <v>0</v>
      </c>
      <c r="E1758" s="2">
        <v>18.168900000000001</v>
      </c>
      <c r="F1758" s="2">
        <v>7.4942500000000001</v>
      </c>
      <c r="G1758" s="2">
        <v>0</v>
      </c>
      <c r="H1758" s="2">
        <v>10</v>
      </c>
      <c r="I1758" s="2">
        <v>0</v>
      </c>
      <c r="J1758" s="2">
        <v>0</v>
      </c>
    </row>
    <row r="1759" spans="1:10">
      <c r="A1759" s="2" t="s">
        <v>148</v>
      </c>
      <c r="B1759" s="2" t="s">
        <v>98</v>
      </c>
      <c r="C1759" s="2">
        <v>9.2314300000000005E-3</v>
      </c>
      <c r="D1759" s="60">
        <v>0</v>
      </c>
      <c r="E1759" s="2">
        <v>17.127500000000001</v>
      </c>
      <c r="F1759" s="2">
        <v>1.04142</v>
      </c>
      <c r="G1759" s="2">
        <v>10</v>
      </c>
      <c r="H1759" s="2">
        <v>11.234</v>
      </c>
      <c r="I1759" s="2">
        <v>0</v>
      </c>
      <c r="J1759" s="2">
        <v>0</v>
      </c>
    </row>
    <row r="1760" spans="1:10">
      <c r="A1760" s="2" t="s">
        <v>148</v>
      </c>
      <c r="B1760" s="2" t="s">
        <v>101</v>
      </c>
      <c r="C1760" s="2">
        <v>2.4620199999999998E-2</v>
      </c>
      <c r="D1760" s="60">
        <v>0</v>
      </c>
      <c r="E1760" s="2">
        <v>15.1</v>
      </c>
      <c r="F1760" s="2">
        <v>2.0274800000000002</v>
      </c>
      <c r="G1760" s="2">
        <v>11.234</v>
      </c>
      <c r="H1760" s="2">
        <v>13.5802</v>
      </c>
      <c r="I1760" s="2">
        <v>0</v>
      </c>
      <c r="J1760" s="2">
        <v>0</v>
      </c>
    </row>
    <row r="1761" spans="1:10">
      <c r="A1761" s="2" t="s">
        <v>138</v>
      </c>
      <c r="B1761" s="2">
        <v>14</v>
      </c>
      <c r="C1761" s="2">
        <v>19.566500000000001</v>
      </c>
      <c r="D1761" s="60" t="s">
        <v>129</v>
      </c>
      <c r="E1761" s="2" t="s">
        <v>149</v>
      </c>
    </row>
    <row r="1762" spans="1:10">
      <c r="A1762" s="2" t="s">
        <v>140</v>
      </c>
      <c r="B1762" s="2">
        <v>0</v>
      </c>
      <c r="C1762" s="2">
        <v>52.899500000000003</v>
      </c>
      <c r="D1762" s="60">
        <v>26.271799999999999</v>
      </c>
    </row>
    <row r="1763" spans="1:10">
      <c r="A1763" s="2" t="s">
        <v>141</v>
      </c>
      <c r="B1763" s="2">
        <v>0</v>
      </c>
      <c r="C1763" s="2">
        <v>2.6</v>
      </c>
      <c r="D1763" s="60" t="s">
        <v>142</v>
      </c>
    </row>
    <row r="1764" spans="1:10">
      <c r="A1764" s="2" t="s">
        <v>141</v>
      </c>
      <c r="B1764" s="2">
        <v>0</v>
      </c>
      <c r="C1764" s="2">
        <v>11.8</v>
      </c>
      <c r="D1764" s="60" t="s">
        <v>146</v>
      </c>
    </row>
    <row r="1765" spans="1:10">
      <c r="A1765" s="2" t="s">
        <v>141</v>
      </c>
      <c r="B1765" s="2">
        <v>0</v>
      </c>
      <c r="C1765" s="2">
        <v>11.8</v>
      </c>
      <c r="D1765" s="60" t="s">
        <v>158</v>
      </c>
    </row>
    <row r="1766" spans="1:10">
      <c r="A1766" s="2" t="s">
        <v>141</v>
      </c>
      <c r="B1766" s="2">
        <v>2.6</v>
      </c>
      <c r="C1766" s="2">
        <v>2.9</v>
      </c>
      <c r="D1766" s="60" t="s">
        <v>153</v>
      </c>
    </row>
    <row r="1767" spans="1:10">
      <c r="A1767" s="2" t="s">
        <v>141</v>
      </c>
      <c r="B1767" s="2">
        <v>2.6</v>
      </c>
      <c r="C1767" s="2">
        <v>2.9</v>
      </c>
      <c r="D1767" s="60" t="s">
        <v>154</v>
      </c>
    </row>
    <row r="1768" spans="1:10">
      <c r="A1768" s="2" t="s">
        <v>141</v>
      </c>
      <c r="B1768" s="2">
        <v>2.6</v>
      </c>
      <c r="C1768" s="2">
        <v>11.8</v>
      </c>
      <c r="D1768" s="60" t="s">
        <v>144</v>
      </c>
    </row>
    <row r="1769" spans="1:10">
      <c r="A1769" s="2" t="s">
        <v>141</v>
      </c>
      <c r="B1769" s="2">
        <v>11.8</v>
      </c>
      <c r="C1769" s="2">
        <v>12.1</v>
      </c>
      <c r="D1769" s="60" t="s">
        <v>159</v>
      </c>
    </row>
    <row r="1770" spans="1:10">
      <c r="A1770" s="2" t="s">
        <v>141</v>
      </c>
      <c r="B1770" s="2">
        <v>11.8</v>
      </c>
      <c r="C1770" s="2">
        <v>12.1</v>
      </c>
      <c r="D1770" s="60" t="s">
        <v>160</v>
      </c>
    </row>
    <row r="1771" spans="1:10">
      <c r="A1771" s="2" t="s">
        <v>141</v>
      </c>
      <c r="B1771" s="2">
        <v>11.8</v>
      </c>
      <c r="C1771" s="2">
        <v>13.2</v>
      </c>
      <c r="D1771" s="60" t="s">
        <v>145</v>
      </c>
    </row>
    <row r="1772" spans="1:10">
      <c r="A1772" s="2" t="s">
        <v>141</v>
      </c>
      <c r="B1772" s="2">
        <v>12.1</v>
      </c>
      <c r="C1772" s="2">
        <v>20.9574</v>
      </c>
      <c r="D1772" s="60" t="s">
        <v>155</v>
      </c>
    </row>
    <row r="1773" spans="1:10">
      <c r="A1773" s="2" t="s">
        <v>141</v>
      </c>
      <c r="B1773" s="2">
        <v>13.2</v>
      </c>
      <c r="C1773" s="2">
        <v>20.9574</v>
      </c>
      <c r="D1773" s="60" t="s">
        <v>144</v>
      </c>
    </row>
    <row r="1774" spans="1:10">
      <c r="A1774" s="2" t="s">
        <v>156</v>
      </c>
      <c r="B1774" s="2">
        <v>2.6</v>
      </c>
      <c r="C1774" s="2">
        <v>43.671100000000003</v>
      </c>
    </row>
    <row r="1775" spans="1:10">
      <c r="A1775" s="2" t="s">
        <v>148</v>
      </c>
      <c r="B1775" s="2" t="s">
        <v>99</v>
      </c>
      <c r="C1775" s="2">
        <v>6.6495499999999999E-2</v>
      </c>
      <c r="D1775" s="60">
        <v>0</v>
      </c>
      <c r="E1775" s="2">
        <v>0</v>
      </c>
      <c r="F1775" s="2">
        <v>0.3</v>
      </c>
      <c r="G1775" s="2">
        <v>51.859099999999998</v>
      </c>
      <c r="H1775" s="2">
        <v>54.488999999999997</v>
      </c>
      <c r="I1775" s="2">
        <v>0</v>
      </c>
      <c r="J1775" s="2">
        <v>0</v>
      </c>
    </row>
    <row r="1776" spans="1:10">
      <c r="A1776" s="2" t="s">
        <v>148</v>
      </c>
      <c r="B1776" s="2" t="s">
        <v>100</v>
      </c>
      <c r="C1776" s="2">
        <v>1.5466199999999999E-2</v>
      </c>
      <c r="D1776" s="60">
        <v>0</v>
      </c>
      <c r="E1776" s="2">
        <v>21.566199999999998</v>
      </c>
      <c r="F1776" s="2">
        <v>4.7056399999999998</v>
      </c>
      <c r="G1776" s="2">
        <v>0</v>
      </c>
      <c r="H1776" s="2">
        <v>10</v>
      </c>
      <c r="I1776" s="2">
        <v>0</v>
      </c>
      <c r="J1776" s="2">
        <v>0</v>
      </c>
    </row>
    <row r="1777" spans="1:10">
      <c r="A1777" s="2" t="s">
        <v>148</v>
      </c>
      <c r="B1777" s="2" t="s">
        <v>98</v>
      </c>
      <c r="C1777" s="2">
        <v>0.10580100000000001</v>
      </c>
      <c r="D1777" s="60">
        <v>0</v>
      </c>
      <c r="E1777" s="2">
        <v>15.7973</v>
      </c>
      <c r="F1777" s="2">
        <v>5.7688899999999999</v>
      </c>
      <c r="G1777" s="2">
        <v>10</v>
      </c>
      <c r="H1777" s="2">
        <v>20.002199999999998</v>
      </c>
      <c r="I1777" s="2">
        <v>0</v>
      </c>
      <c r="J1777" s="2">
        <v>0</v>
      </c>
    </row>
    <row r="1778" spans="1:10">
      <c r="A1778" s="2" t="s">
        <v>148</v>
      </c>
      <c r="B1778" s="2" t="s">
        <v>101</v>
      </c>
      <c r="C1778" s="2">
        <v>3.0814900000000001E-3</v>
      </c>
      <c r="D1778" s="60">
        <v>0</v>
      </c>
      <c r="E1778" s="2">
        <v>15.7</v>
      </c>
      <c r="F1778" s="2">
        <v>9.7267099999999995E-2</v>
      </c>
      <c r="G1778" s="2">
        <v>20.002199999999998</v>
      </c>
      <c r="H1778" s="2">
        <v>20.165900000000001</v>
      </c>
      <c r="I1778" s="2">
        <v>0</v>
      </c>
      <c r="J1778" s="2">
        <v>0</v>
      </c>
    </row>
    <row r="1779" spans="1:10">
      <c r="A1779" s="2" t="s">
        <v>148</v>
      </c>
      <c r="B1779" s="2" t="s">
        <v>64</v>
      </c>
      <c r="C1779" s="2">
        <v>0.15119199999999999</v>
      </c>
      <c r="D1779" s="60">
        <v>4.5357599999999998</v>
      </c>
      <c r="E1779" s="2">
        <v>12.1</v>
      </c>
      <c r="F1779" s="2">
        <v>3.6</v>
      </c>
      <c r="G1779" s="2">
        <v>20.165900000000001</v>
      </c>
      <c r="H1779" s="2">
        <v>25.823399999999999</v>
      </c>
      <c r="I1779" s="2">
        <v>0</v>
      </c>
      <c r="J1779" s="2">
        <v>0</v>
      </c>
    </row>
    <row r="1780" spans="1:10">
      <c r="A1780" s="2" t="s">
        <v>148</v>
      </c>
      <c r="B1780" s="2" t="s">
        <v>101</v>
      </c>
      <c r="C1780" s="2">
        <v>6.7061700000000002E-2</v>
      </c>
      <c r="D1780" s="60">
        <v>0</v>
      </c>
      <c r="E1780" s="2">
        <v>10.9</v>
      </c>
      <c r="F1780" s="2">
        <v>1.2</v>
      </c>
      <c r="G1780" s="2">
        <v>25.823399999999999</v>
      </c>
      <c r="H1780" s="2">
        <v>27.498100000000001</v>
      </c>
      <c r="I1780" s="2">
        <v>0</v>
      </c>
      <c r="J1780" s="2">
        <v>0</v>
      </c>
    </row>
    <row r="1781" spans="1:10">
      <c r="A1781" s="2" t="s">
        <v>148</v>
      </c>
      <c r="B1781" s="2" t="s">
        <v>60</v>
      </c>
      <c r="C1781" s="2">
        <v>0.282918</v>
      </c>
      <c r="D1781" s="60">
        <v>25.462599999999998</v>
      </c>
      <c r="E1781" s="2">
        <v>6.9</v>
      </c>
      <c r="F1781" s="2">
        <v>4</v>
      </c>
      <c r="G1781" s="2">
        <v>27.498100000000001</v>
      </c>
      <c r="H1781" s="2">
        <v>32.254800000000003</v>
      </c>
      <c r="I1781" s="2">
        <v>0</v>
      </c>
      <c r="J1781" s="2">
        <v>0</v>
      </c>
    </row>
    <row r="1782" spans="1:10">
      <c r="A1782" s="2" t="s">
        <v>148</v>
      </c>
      <c r="B1782" s="2" t="s">
        <v>59</v>
      </c>
      <c r="C1782" s="2">
        <v>0.36935800000000002</v>
      </c>
      <c r="D1782" s="60">
        <v>36.9358</v>
      </c>
      <c r="E1782" s="2">
        <v>2.9</v>
      </c>
      <c r="F1782" s="2">
        <v>4</v>
      </c>
      <c r="G1782" s="2">
        <v>32.254800000000003</v>
      </c>
      <c r="H1782" s="2">
        <v>36.3538</v>
      </c>
      <c r="I1782" s="2">
        <v>0</v>
      </c>
      <c r="J1782" s="2">
        <v>0</v>
      </c>
    </row>
    <row r="1783" spans="1:10">
      <c r="A1783" s="2" t="s">
        <v>148</v>
      </c>
      <c r="B1783" s="2" t="s">
        <v>101</v>
      </c>
      <c r="C1783" s="2">
        <v>0.425618</v>
      </c>
      <c r="D1783" s="60">
        <v>0</v>
      </c>
      <c r="E1783" s="2">
        <v>0.3</v>
      </c>
      <c r="F1783" s="2">
        <v>2.6</v>
      </c>
      <c r="G1783" s="2">
        <v>36.3538</v>
      </c>
      <c r="H1783" s="2">
        <v>51.859099999999998</v>
      </c>
      <c r="I1783" s="2">
        <v>0</v>
      </c>
      <c r="J1783" s="2">
        <v>0</v>
      </c>
    </row>
    <row r="1784" spans="1:10">
      <c r="A1784" s="2" t="s">
        <v>140</v>
      </c>
      <c r="B1784" s="2">
        <v>1</v>
      </c>
      <c r="C1784" s="2">
        <v>23.306699999999999</v>
      </c>
      <c r="D1784" s="60">
        <v>26.271799999999999</v>
      </c>
      <c r="E1784" s="2">
        <v>2.6</v>
      </c>
    </row>
    <row r="1785" spans="1:10">
      <c r="A1785" s="2" t="s">
        <v>141</v>
      </c>
      <c r="B1785" s="2">
        <v>2.6</v>
      </c>
      <c r="C1785" s="2">
        <v>2.9</v>
      </c>
      <c r="D1785" s="60" t="s">
        <v>153</v>
      </c>
    </row>
    <row r="1786" spans="1:10">
      <c r="A1786" s="2" t="s">
        <v>141</v>
      </c>
      <c r="B1786" s="2">
        <v>2.6</v>
      </c>
      <c r="C1786" s="2">
        <v>10</v>
      </c>
      <c r="D1786" s="60" t="s">
        <v>155</v>
      </c>
    </row>
    <row r="1787" spans="1:10">
      <c r="A1787" s="2" t="s">
        <v>141</v>
      </c>
      <c r="B1787" s="2">
        <v>2.6</v>
      </c>
      <c r="C1787" s="2">
        <v>20.9574</v>
      </c>
      <c r="D1787" s="60" t="s">
        <v>144</v>
      </c>
    </row>
    <row r="1788" spans="1:10">
      <c r="A1788" s="2" t="s">
        <v>141</v>
      </c>
      <c r="B1788" s="2">
        <v>10</v>
      </c>
      <c r="C1788" s="2">
        <v>14.1</v>
      </c>
      <c r="D1788" s="60" t="s">
        <v>152</v>
      </c>
    </row>
    <row r="1789" spans="1:10">
      <c r="A1789" s="2" t="s">
        <v>141</v>
      </c>
      <c r="B1789" s="2">
        <v>14.1</v>
      </c>
      <c r="C1789" s="2">
        <v>20.9574</v>
      </c>
      <c r="D1789" s="60" t="s">
        <v>161</v>
      </c>
    </row>
    <row r="1790" spans="1:10">
      <c r="A1790" s="2" t="s">
        <v>148</v>
      </c>
      <c r="B1790" s="2" t="s">
        <v>100</v>
      </c>
      <c r="C1790" s="2">
        <v>2.64794E-2</v>
      </c>
      <c r="D1790" s="60">
        <v>0</v>
      </c>
      <c r="E1790" s="2">
        <v>17.2302</v>
      </c>
      <c r="F1790" s="2">
        <v>9.0416000000000007</v>
      </c>
      <c r="G1790" s="2">
        <v>0</v>
      </c>
      <c r="H1790" s="2">
        <v>10</v>
      </c>
      <c r="I1790" s="2">
        <v>0</v>
      </c>
      <c r="J1790" s="2">
        <v>0</v>
      </c>
    </row>
    <row r="1791" spans="1:10">
      <c r="A1791" s="2" t="s">
        <v>148</v>
      </c>
      <c r="B1791" s="2" t="s">
        <v>101</v>
      </c>
      <c r="C1791" s="2">
        <v>3.2784199999999999E-2</v>
      </c>
      <c r="D1791" s="60">
        <v>0</v>
      </c>
      <c r="E1791" s="2">
        <v>14.1</v>
      </c>
      <c r="F1791" s="2">
        <v>3.1301899999999998</v>
      </c>
      <c r="G1791" s="2">
        <v>10</v>
      </c>
      <c r="H1791" s="2">
        <v>12.986599999999999</v>
      </c>
      <c r="I1791" s="2">
        <v>0</v>
      </c>
      <c r="J1791" s="2">
        <v>0</v>
      </c>
    </row>
    <row r="1792" spans="1:10">
      <c r="A1792" s="2" t="s">
        <v>148</v>
      </c>
      <c r="B1792" s="2" t="s">
        <v>64</v>
      </c>
      <c r="C1792" s="2">
        <v>9.4345600000000002E-2</v>
      </c>
      <c r="D1792" s="60">
        <v>2.8303699999999998</v>
      </c>
      <c r="E1792" s="2">
        <v>8.9</v>
      </c>
      <c r="F1792" s="2">
        <v>5.2</v>
      </c>
      <c r="G1792" s="2">
        <v>12.986599999999999</v>
      </c>
      <c r="H1792" s="2">
        <v>17.114799999999999</v>
      </c>
      <c r="I1792" s="2">
        <v>0</v>
      </c>
      <c r="J1792" s="2">
        <v>0</v>
      </c>
    </row>
    <row r="1793" spans="1:10">
      <c r="A1793" s="2" t="s">
        <v>148</v>
      </c>
      <c r="B1793" s="2" t="s">
        <v>63</v>
      </c>
      <c r="C1793" s="2">
        <v>0.16955799999999999</v>
      </c>
      <c r="D1793" s="60">
        <v>11.8691</v>
      </c>
      <c r="E1793" s="2">
        <v>2.9</v>
      </c>
      <c r="F1793" s="2">
        <v>6</v>
      </c>
      <c r="G1793" s="2">
        <v>17.114799999999999</v>
      </c>
      <c r="H1793" s="2">
        <v>20.7195</v>
      </c>
      <c r="I1793" s="2">
        <v>0</v>
      </c>
      <c r="J1793" s="2">
        <v>0</v>
      </c>
    </row>
    <row r="1794" spans="1:10">
      <c r="A1794" s="2" t="s">
        <v>148</v>
      </c>
      <c r="B1794" s="2" t="s">
        <v>101</v>
      </c>
      <c r="C1794" s="2">
        <v>1.02215E-2</v>
      </c>
      <c r="D1794" s="60">
        <v>0</v>
      </c>
      <c r="E1794" s="2">
        <v>2.6</v>
      </c>
      <c r="F1794" s="2">
        <v>0.3</v>
      </c>
      <c r="G1794" s="2">
        <v>20.7195</v>
      </c>
      <c r="H1794" s="2">
        <v>20.9404</v>
      </c>
      <c r="I1794" s="2">
        <v>0</v>
      </c>
      <c r="J1794" s="2">
        <v>0</v>
      </c>
    </row>
    <row r="1795" spans="1:10">
      <c r="A1795" s="2" t="s">
        <v>138</v>
      </c>
      <c r="B1795" s="2">
        <v>15</v>
      </c>
      <c r="C1795" s="2">
        <v>19.654199999999999</v>
      </c>
      <c r="D1795" s="60" t="s">
        <v>129</v>
      </c>
      <c r="E1795" s="2" t="s">
        <v>139</v>
      </c>
    </row>
    <row r="1796" spans="1:10">
      <c r="A1796" s="2" t="s">
        <v>140</v>
      </c>
      <c r="B1796" s="2">
        <v>0</v>
      </c>
      <c r="C1796" s="2">
        <v>57.365499999999997</v>
      </c>
      <c r="D1796" s="60">
        <v>25.9331</v>
      </c>
    </row>
    <row r="1797" spans="1:10">
      <c r="A1797" s="2" t="s">
        <v>141</v>
      </c>
      <c r="B1797" s="2">
        <v>0</v>
      </c>
      <c r="C1797" s="2">
        <v>7</v>
      </c>
      <c r="D1797" s="60" t="s">
        <v>142</v>
      </c>
    </row>
    <row r="1798" spans="1:10">
      <c r="A1798" s="2" t="s">
        <v>141</v>
      </c>
      <c r="B1798" s="2">
        <v>0</v>
      </c>
      <c r="C1798" s="2">
        <v>15.8</v>
      </c>
      <c r="D1798" s="60" t="s">
        <v>146</v>
      </c>
    </row>
    <row r="1799" spans="1:10">
      <c r="A1799" s="2" t="s">
        <v>141</v>
      </c>
      <c r="B1799" s="2">
        <v>7</v>
      </c>
      <c r="C1799" s="2">
        <v>9.8000000000000007</v>
      </c>
      <c r="D1799" s="60" t="s">
        <v>144</v>
      </c>
    </row>
    <row r="1800" spans="1:10">
      <c r="A1800" s="2" t="s">
        <v>141</v>
      </c>
      <c r="B1800" s="2">
        <v>9.8000000000000007</v>
      </c>
      <c r="C1800" s="2">
        <v>11.6</v>
      </c>
      <c r="D1800" s="60" t="s">
        <v>145</v>
      </c>
    </row>
    <row r="1801" spans="1:10">
      <c r="A1801" s="2" t="s">
        <v>141</v>
      </c>
      <c r="B1801" s="2">
        <v>11.6</v>
      </c>
      <c r="C1801" s="2">
        <v>11.9</v>
      </c>
      <c r="D1801" s="60" t="s">
        <v>147</v>
      </c>
    </row>
    <row r="1802" spans="1:10">
      <c r="A1802" s="2" t="s">
        <v>141</v>
      </c>
      <c r="B1802" s="2">
        <v>11.9</v>
      </c>
      <c r="C1802" s="2">
        <v>15.8</v>
      </c>
      <c r="D1802" s="60" t="s">
        <v>145</v>
      </c>
    </row>
    <row r="1803" spans="1:10">
      <c r="A1803" s="2" t="s">
        <v>141</v>
      </c>
      <c r="B1803" s="2">
        <v>15.8</v>
      </c>
      <c r="C1803" s="2">
        <v>16.100000000000001</v>
      </c>
      <c r="D1803" s="60" t="s">
        <v>153</v>
      </c>
    </row>
    <row r="1804" spans="1:10">
      <c r="A1804" s="2" t="s">
        <v>141</v>
      </c>
      <c r="B1804" s="2">
        <v>15.8</v>
      </c>
      <c r="C1804" s="2">
        <v>16.100000000000001</v>
      </c>
      <c r="D1804" s="60" t="s">
        <v>154</v>
      </c>
    </row>
    <row r="1805" spans="1:10">
      <c r="A1805" s="2" t="s">
        <v>141</v>
      </c>
      <c r="B1805" s="2">
        <v>15.8</v>
      </c>
      <c r="C1805" s="2">
        <v>20.7</v>
      </c>
      <c r="D1805" s="60" t="s">
        <v>144</v>
      </c>
    </row>
    <row r="1806" spans="1:10">
      <c r="A1806" s="2" t="s">
        <v>141</v>
      </c>
      <c r="B1806" s="2">
        <v>15.8</v>
      </c>
      <c r="C1806" s="2">
        <v>20.7</v>
      </c>
      <c r="D1806" s="60" t="s">
        <v>152</v>
      </c>
    </row>
    <row r="1807" spans="1:10">
      <c r="A1807" s="2" t="s">
        <v>156</v>
      </c>
      <c r="B1807" s="2">
        <v>15.8</v>
      </c>
      <c r="C1807" s="2">
        <v>36.894799999999996</v>
      </c>
    </row>
    <row r="1808" spans="1:10">
      <c r="A1808" s="2" t="s">
        <v>148</v>
      </c>
      <c r="B1808" s="2" t="s">
        <v>99</v>
      </c>
      <c r="C1808" s="2">
        <v>7.6820899999999998E-2</v>
      </c>
      <c r="D1808" s="60">
        <v>0</v>
      </c>
      <c r="E1808" s="2">
        <v>0</v>
      </c>
      <c r="F1808" s="2">
        <v>0.3</v>
      </c>
      <c r="G1808" s="2">
        <v>55.724899999999998</v>
      </c>
      <c r="H1808" s="2">
        <v>58.584899999999998</v>
      </c>
      <c r="I1808" s="2">
        <v>0</v>
      </c>
      <c r="J1808" s="2">
        <v>0</v>
      </c>
    </row>
    <row r="1809" spans="1:10">
      <c r="A1809" s="2" t="s">
        <v>148</v>
      </c>
      <c r="B1809" s="2" t="s">
        <v>100</v>
      </c>
      <c r="C1809" s="2">
        <v>1.76942E-2</v>
      </c>
      <c r="D1809" s="60">
        <v>0</v>
      </c>
      <c r="E1809" s="2">
        <v>20.345800000000001</v>
      </c>
      <c r="F1809" s="2">
        <v>5.5872799999999998</v>
      </c>
      <c r="G1809" s="2">
        <v>0</v>
      </c>
      <c r="H1809" s="2">
        <v>10</v>
      </c>
      <c r="I1809" s="2">
        <v>0</v>
      </c>
      <c r="J1809" s="2">
        <v>0</v>
      </c>
    </row>
    <row r="1810" spans="1:10">
      <c r="A1810" s="2" t="s">
        <v>148</v>
      </c>
      <c r="B1810" s="2" t="s">
        <v>101</v>
      </c>
      <c r="C1810" s="2">
        <v>3.6200300000000001E-4</v>
      </c>
      <c r="D1810" s="60">
        <v>0</v>
      </c>
      <c r="E1810" s="2">
        <v>20.3</v>
      </c>
      <c r="F1810" s="2">
        <v>4.5775700000000002E-2</v>
      </c>
      <c r="G1810" s="2">
        <v>10</v>
      </c>
      <c r="H1810" s="2">
        <v>10.068899999999999</v>
      </c>
      <c r="I1810" s="2">
        <v>0</v>
      </c>
      <c r="J1810" s="2">
        <v>0</v>
      </c>
    </row>
    <row r="1811" spans="1:10">
      <c r="A1811" s="2" t="s">
        <v>148</v>
      </c>
      <c r="B1811" s="2" t="s">
        <v>64</v>
      </c>
      <c r="C1811" s="2">
        <v>5.9174699999999997E-2</v>
      </c>
      <c r="D1811" s="60">
        <v>1.7752399999999999</v>
      </c>
      <c r="E1811" s="2">
        <v>16.100000000000001</v>
      </c>
      <c r="F1811" s="2">
        <v>4.2</v>
      </c>
      <c r="G1811" s="2">
        <v>10.068899999999999</v>
      </c>
      <c r="H1811" s="2">
        <v>16.449300000000001</v>
      </c>
      <c r="I1811" s="2">
        <v>0</v>
      </c>
      <c r="J1811" s="2">
        <v>0</v>
      </c>
    </row>
    <row r="1812" spans="1:10">
      <c r="A1812" s="2" t="s">
        <v>148</v>
      </c>
      <c r="B1812" s="2" t="s">
        <v>101</v>
      </c>
      <c r="C1812" s="2">
        <v>8.4404000000000007E-2</v>
      </c>
      <c r="D1812" s="60">
        <v>0</v>
      </c>
      <c r="E1812" s="2">
        <v>14.4</v>
      </c>
      <c r="F1812" s="2">
        <v>1.7</v>
      </c>
      <c r="G1812" s="2">
        <v>16.449300000000001</v>
      </c>
      <c r="H1812" s="2">
        <v>28.086099999999998</v>
      </c>
      <c r="I1812" s="2">
        <v>0</v>
      </c>
      <c r="J1812" s="2">
        <v>0</v>
      </c>
    </row>
    <row r="1813" spans="1:10">
      <c r="A1813" s="2" t="s">
        <v>148</v>
      </c>
      <c r="B1813" s="2" t="s">
        <v>62</v>
      </c>
      <c r="C1813" s="2">
        <v>0.32393699999999997</v>
      </c>
      <c r="D1813" s="60">
        <v>25.914999999999999</v>
      </c>
      <c r="E1813" s="2">
        <v>10.4</v>
      </c>
      <c r="F1813" s="2">
        <v>4</v>
      </c>
      <c r="G1813" s="2">
        <v>28.086099999999998</v>
      </c>
      <c r="H1813" s="2">
        <v>35.720500000000001</v>
      </c>
      <c r="I1813" s="2">
        <v>0</v>
      </c>
      <c r="J1813" s="2">
        <v>0</v>
      </c>
    </row>
    <row r="1814" spans="1:10">
      <c r="A1814" s="2" t="s">
        <v>148</v>
      </c>
      <c r="B1814" s="2" t="s">
        <v>59</v>
      </c>
      <c r="C1814" s="2">
        <v>0.47511599999999998</v>
      </c>
      <c r="D1814" s="60">
        <v>47.511600000000001</v>
      </c>
      <c r="E1814" s="2">
        <v>6.4</v>
      </c>
      <c r="F1814" s="2">
        <v>4</v>
      </c>
      <c r="G1814" s="2">
        <v>35.720500000000001</v>
      </c>
      <c r="H1814" s="2">
        <v>41.723300000000002</v>
      </c>
      <c r="I1814" s="2">
        <v>0</v>
      </c>
      <c r="J1814" s="2">
        <v>0</v>
      </c>
    </row>
    <row r="1815" spans="1:10">
      <c r="A1815" s="2" t="s">
        <v>148</v>
      </c>
      <c r="B1815" s="2" t="s">
        <v>55</v>
      </c>
      <c r="C1815" s="2">
        <v>1.0380499999999999</v>
      </c>
      <c r="D1815" s="60">
        <v>150.518</v>
      </c>
      <c r="E1815" s="2">
        <v>0.3</v>
      </c>
      <c r="F1815" s="2">
        <v>6.1</v>
      </c>
      <c r="G1815" s="2">
        <v>41.723300000000002</v>
      </c>
      <c r="H1815" s="2">
        <v>55.724899999999998</v>
      </c>
      <c r="I1815" s="2">
        <v>0</v>
      </c>
      <c r="J1815" s="2">
        <v>0</v>
      </c>
    </row>
    <row r="1816" spans="1:10">
      <c r="A1816" s="2" t="s">
        <v>140</v>
      </c>
      <c r="B1816" s="2">
        <v>1</v>
      </c>
      <c r="C1816" s="2">
        <v>36.894799999999996</v>
      </c>
      <c r="D1816" s="60">
        <v>25.9331</v>
      </c>
      <c r="E1816" s="2">
        <v>15.8</v>
      </c>
    </row>
    <row r="1817" spans="1:10">
      <c r="A1817" s="2" t="s">
        <v>141</v>
      </c>
      <c r="B1817" s="2">
        <v>15.8</v>
      </c>
      <c r="C1817" s="2">
        <v>16.100000000000001</v>
      </c>
      <c r="D1817" s="60" t="s">
        <v>153</v>
      </c>
    </row>
    <row r="1818" spans="1:10">
      <c r="A1818" s="2" t="s">
        <v>141</v>
      </c>
      <c r="B1818" s="2">
        <v>15.8</v>
      </c>
      <c r="C1818" s="2">
        <v>20.7</v>
      </c>
      <c r="D1818" s="60" t="s">
        <v>144</v>
      </c>
    </row>
    <row r="1819" spans="1:10">
      <c r="A1819" s="2" t="s">
        <v>141</v>
      </c>
      <c r="B1819" s="2">
        <v>15.8</v>
      </c>
      <c r="C1819" s="2">
        <v>20.7</v>
      </c>
      <c r="D1819" s="60" t="s">
        <v>152</v>
      </c>
    </row>
    <row r="1820" spans="1:10">
      <c r="A1820" s="2" t="s">
        <v>148</v>
      </c>
      <c r="B1820" s="2" t="s">
        <v>100</v>
      </c>
      <c r="C1820" s="2">
        <v>1.76942E-2</v>
      </c>
      <c r="D1820" s="60">
        <v>0</v>
      </c>
      <c r="E1820" s="2">
        <v>20.345800000000001</v>
      </c>
      <c r="F1820" s="2">
        <v>5.5872799999999998</v>
      </c>
      <c r="G1820" s="2">
        <v>0</v>
      </c>
      <c r="H1820" s="2">
        <v>10</v>
      </c>
      <c r="I1820" s="2">
        <v>0</v>
      </c>
      <c r="J1820" s="2">
        <v>0</v>
      </c>
    </row>
    <row r="1821" spans="1:10">
      <c r="A1821" s="2" t="s">
        <v>148</v>
      </c>
      <c r="B1821" s="2" t="s">
        <v>101</v>
      </c>
      <c r="C1821" s="2">
        <v>3.6200300000000001E-4</v>
      </c>
      <c r="D1821" s="60">
        <v>0</v>
      </c>
      <c r="E1821" s="2">
        <v>20.3</v>
      </c>
      <c r="F1821" s="2">
        <v>4.5775700000000002E-2</v>
      </c>
      <c r="G1821" s="2">
        <v>10</v>
      </c>
      <c r="H1821" s="2">
        <v>10.068899999999999</v>
      </c>
      <c r="I1821" s="2">
        <v>0</v>
      </c>
      <c r="J1821" s="2">
        <v>0</v>
      </c>
    </row>
    <row r="1822" spans="1:10">
      <c r="A1822" s="2" t="s">
        <v>148</v>
      </c>
      <c r="B1822" s="2" t="s">
        <v>64</v>
      </c>
      <c r="C1822" s="2">
        <v>5.9174699999999997E-2</v>
      </c>
      <c r="D1822" s="60">
        <v>1.7752399999999999</v>
      </c>
      <c r="E1822" s="2">
        <v>16.100000000000001</v>
      </c>
      <c r="F1822" s="2">
        <v>4.2</v>
      </c>
      <c r="G1822" s="2">
        <v>10.068899999999999</v>
      </c>
      <c r="H1822" s="2">
        <v>16.449300000000001</v>
      </c>
      <c r="I1822" s="2">
        <v>0</v>
      </c>
      <c r="J1822" s="2">
        <v>0</v>
      </c>
    </row>
    <row r="1823" spans="1:10">
      <c r="A1823" s="2" t="s">
        <v>148</v>
      </c>
      <c r="B1823" s="2" t="s">
        <v>101</v>
      </c>
      <c r="C1823" s="2">
        <v>6.5494799999999999E-3</v>
      </c>
      <c r="D1823" s="60">
        <v>0</v>
      </c>
      <c r="E1823" s="2">
        <v>15.8</v>
      </c>
      <c r="F1823" s="2">
        <v>0.3</v>
      </c>
      <c r="G1823" s="2">
        <v>16.449300000000001</v>
      </c>
      <c r="H1823" s="2">
        <v>16.893899999999999</v>
      </c>
      <c r="I1823" s="2">
        <v>0</v>
      </c>
      <c r="J1823" s="2">
        <v>0</v>
      </c>
    </row>
    <row r="1824" spans="1:10">
      <c r="A1824" s="2" t="s">
        <v>138</v>
      </c>
      <c r="B1824" s="2">
        <v>16</v>
      </c>
      <c r="C1824" s="2">
        <v>19.538900000000002</v>
      </c>
      <c r="D1824" s="60" t="s">
        <v>129</v>
      </c>
      <c r="E1824" s="2" t="s">
        <v>149</v>
      </c>
    </row>
    <row r="1825" spans="1:10">
      <c r="A1825" s="2" t="s">
        <v>140</v>
      </c>
      <c r="B1825" s="2">
        <v>0</v>
      </c>
      <c r="C1825" s="2">
        <v>51.914400000000001</v>
      </c>
      <c r="D1825" s="60">
        <v>26.1919</v>
      </c>
    </row>
    <row r="1826" spans="1:10">
      <c r="A1826" s="2" t="s">
        <v>141</v>
      </c>
      <c r="B1826" s="2">
        <v>0</v>
      </c>
      <c r="C1826" s="2">
        <v>5.6</v>
      </c>
      <c r="D1826" s="60" t="s">
        <v>142</v>
      </c>
    </row>
    <row r="1827" spans="1:10">
      <c r="A1827" s="2" t="s">
        <v>141</v>
      </c>
      <c r="B1827" s="2">
        <v>0</v>
      </c>
      <c r="C1827" s="2">
        <v>10.5</v>
      </c>
      <c r="D1827" s="60" t="s">
        <v>146</v>
      </c>
    </row>
    <row r="1828" spans="1:10">
      <c r="A1828" s="2" t="s">
        <v>141</v>
      </c>
      <c r="B1828" s="2">
        <v>5.6</v>
      </c>
      <c r="C1828" s="2">
        <v>5.9</v>
      </c>
      <c r="D1828" s="60" t="s">
        <v>153</v>
      </c>
    </row>
    <row r="1829" spans="1:10">
      <c r="A1829" s="2" t="s">
        <v>141</v>
      </c>
      <c r="B1829" s="2">
        <v>5.6</v>
      </c>
      <c r="C1829" s="2">
        <v>5.9</v>
      </c>
      <c r="D1829" s="60" t="s">
        <v>154</v>
      </c>
    </row>
    <row r="1830" spans="1:10">
      <c r="A1830" s="2" t="s">
        <v>141</v>
      </c>
      <c r="B1830" s="2">
        <v>5.6</v>
      </c>
      <c r="C1830" s="2">
        <v>8.4</v>
      </c>
      <c r="D1830" s="60" t="s">
        <v>144</v>
      </c>
    </row>
    <row r="1831" spans="1:10">
      <c r="A1831" s="2" t="s">
        <v>141</v>
      </c>
      <c r="B1831" s="2">
        <v>8.4</v>
      </c>
      <c r="C1831" s="2">
        <v>10.8</v>
      </c>
      <c r="D1831" s="60" t="s">
        <v>151</v>
      </c>
    </row>
    <row r="1832" spans="1:10">
      <c r="A1832" s="2" t="s">
        <v>141</v>
      </c>
      <c r="B1832" s="2">
        <v>10.5</v>
      </c>
      <c r="C1832" s="2">
        <v>12</v>
      </c>
      <c r="D1832" s="60" t="s">
        <v>152</v>
      </c>
    </row>
    <row r="1833" spans="1:10">
      <c r="A1833" s="2" t="s">
        <v>141</v>
      </c>
      <c r="B1833" s="2">
        <v>10.8</v>
      </c>
      <c r="C1833" s="2">
        <v>20.896699999999999</v>
      </c>
      <c r="D1833" s="60" t="s">
        <v>144</v>
      </c>
    </row>
    <row r="1834" spans="1:10">
      <c r="A1834" s="2" t="s">
        <v>141</v>
      </c>
      <c r="B1834" s="2">
        <v>12</v>
      </c>
      <c r="C1834" s="2">
        <v>20.896699999999999</v>
      </c>
      <c r="D1834" s="60" t="s">
        <v>161</v>
      </c>
    </row>
    <row r="1835" spans="1:10">
      <c r="A1835" s="2" t="s">
        <v>156</v>
      </c>
      <c r="B1835" s="2">
        <v>5.6</v>
      </c>
      <c r="C1835" s="2">
        <v>43.877200000000002</v>
      </c>
    </row>
    <row r="1836" spans="1:10">
      <c r="A1836" s="2" t="s">
        <v>148</v>
      </c>
      <c r="B1836" s="2" t="s">
        <v>99</v>
      </c>
      <c r="C1836" s="2">
        <v>6.4282699999999998E-2</v>
      </c>
      <c r="D1836" s="60">
        <v>0</v>
      </c>
      <c r="E1836" s="2">
        <v>0</v>
      </c>
      <c r="F1836" s="2">
        <v>0.3</v>
      </c>
      <c r="G1836" s="2">
        <v>50.985599999999998</v>
      </c>
      <c r="H1836" s="2">
        <v>53.578499999999998</v>
      </c>
      <c r="I1836" s="2">
        <v>0</v>
      </c>
      <c r="J1836" s="2">
        <v>0</v>
      </c>
    </row>
    <row r="1837" spans="1:10">
      <c r="A1837" s="2" t="s">
        <v>148</v>
      </c>
      <c r="B1837" s="2" t="s">
        <v>100</v>
      </c>
      <c r="C1837" s="2">
        <v>1.5354E-2</v>
      </c>
      <c r="D1837" s="60">
        <v>0</v>
      </c>
      <c r="E1837" s="2">
        <v>21.525300000000001</v>
      </c>
      <c r="F1837" s="2">
        <v>4.6666100000000004</v>
      </c>
      <c r="G1837" s="2">
        <v>0</v>
      </c>
      <c r="H1837" s="2">
        <v>10</v>
      </c>
      <c r="I1837" s="2">
        <v>0</v>
      </c>
      <c r="J1837" s="2">
        <v>0</v>
      </c>
    </row>
    <row r="1838" spans="1:10">
      <c r="A1838" s="2" t="s">
        <v>148</v>
      </c>
      <c r="B1838" s="2" t="s">
        <v>98</v>
      </c>
      <c r="C1838" s="2">
        <v>0.124046</v>
      </c>
      <c r="D1838" s="60">
        <v>0</v>
      </c>
      <c r="E1838" s="2">
        <v>15.221299999999999</v>
      </c>
      <c r="F1838" s="2">
        <v>6.3040399999999996</v>
      </c>
      <c r="G1838" s="2">
        <v>10</v>
      </c>
      <c r="H1838" s="2">
        <v>20.9757</v>
      </c>
      <c r="I1838" s="2">
        <v>0</v>
      </c>
      <c r="J1838" s="2">
        <v>0</v>
      </c>
    </row>
    <row r="1839" spans="1:10">
      <c r="A1839" s="2" t="s">
        <v>148</v>
      </c>
      <c r="B1839" s="2" t="s">
        <v>101</v>
      </c>
      <c r="C1839" s="2">
        <v>0.26567800000000003</v>
      </c>
      <c r="D1839" s="60">
        <v>0</v>
      </c>
      <c r="E1839" s="2">
        <v>9.9</v>
      </c>
      <c r="F1839" s="2">
        <v>5.3212599999999997</v>
      </c>
      <c r="G1839" s="2">
        <v>20.9757</v>
      </c>
      <c r="H1839" s="2">
        <v>28.886800000000001</v>
      </c>
      <c r="I1839" s="2">
        <v>0</v>
      </c>
      <c r="J1839" s="2">
        <v>0</v>
      </c>
    </row>
    <row r="1840" spans="1:10">
      <c r="A1840" s="2" t="s">
        <v>148</v>
      </c>
      <c r="B1840" s="2" t="s">
        <v>62</v>
      </c>
      <c r="C1840" s="2">
        <v>0.30701600000000001</v>
      </c>
      <c r="D1840" s="60">
        <v>24.561299999999999</v>
      </c>
      <c r="E1840" s="2">
        <v>5.9</v>
      </c>
      <c r="F1840" s="2">
        <v>4</v>
      </c>
      <c r="G1840" s="2">
        <v>28.886800000000001</v>
      </c>
      <c r="H1840" s="2">
        <v>33.397199999999998</v>
      </c>
      <c r="I1840" s="2">
        <v>0</v>
      </c>
      <c r="J1840" s="2">
        <v>0</v>
      </c>
    </row>
    <row r="1841" spans="1:10">
      <c r="A1841" s="2" t="s">
        <v>148</v>
      </c>
      <c r="B1841" s="2" t="s">
        <v>101</v>
      </c>
      <c r="C1841" s="2">
        <v>3.8606000000000001E-2</v>
      </c>
      <c r="D1841" s="60">
        <v>0</v>
      </c>
      <c r="E1841" s="2">
        <v>5.5</v>
      </c>
      <c r="F1841" s="2">
        <v>0.4</v>
      </c>
      <c r="G1841" s="2">
        <v>33.397199999999998</v>
      </c>
      <c r="H1841" s="2">
        <v>39.289700000000003</v>
      </c>
      <c r="I1841" s="2">
        <v>0</v>
      </c>
      <c r="J1841" s="2">
        <v>0</v>
      </c>
    </row>
    <row r="1842" spans="1:10">
      <c r="A1842" s="2" t="s">
        <v>148</v>
      </c>
      <c r="B1842" s="2" t="s">
        <v>56</v>
      </c>
      <c r="C1842" s="2">
        <v>0.76394899999999999</v>
      </c>
      <c r="D1842" s="60">
        <v>106.953</v>
      </c>
      <c r="E1842" s="2">
        <v>0.3</v>
      </c>
      <c r="F1842" s="2">
        <v>5.2</v>
      </c>
      <c r="G1842" s="2">
        <v>39.289700000000003</v>
      </c>
      <c r="H1842" s="2">
        <v>50.985599999999998</v>
      </c>
      <c r="I1842" s="2">
        <v>0</v>
      </c>
      <c r="J1842" s="2">
        <v>0</v>
      </c>
    </row>
    <row r="1843" spans="1:10">
      <c r="A1843" s="2" t="s">
        <v>140</v>
      </c>
      <c r="B1843" s="2">
        <v>1</v>
      </c>
      <c r="C1843" s="2">
        <v>21.662700000000001</v>
      </c>
      <c r="D1843" s="60">
        <v>26.1919</v>
      </c>
      <c r="E1843" s="2">
        <v>5.6</v>
      </c>
    </row>
    <row r="1844" spans="1:10">
      <c r="A1844" s="2" t="s">
        <v>141</v>
      </c>
      <c r="B1844" s="2">
        <v>5.6</v>
      </c>
      <c r="C1844" s="2">
        <v>5.9</v>
      </c>
      <c r="D1844" s="60" t="s">
        <v>153</v>
      </c>
    </row>
    <row r="1845" spans="1:10">
      <c r="A1845" s="2" t="s">
        <v>141</v>
      </c>
      <c r="B1845" s="2">
        <v>5.6</v>
      </c>
      <c r="C1845" s="2">
        <v>11</v>
      </c>
      <c r="D1845" s="60" t="s">
        <v>152</v>
      </c>
    </row>
    <row r="1846" spans="1:10">
      <c r="A1846" s="2" t="s">
        <v>141</v>
      </c>
      <c r="B1846" s="2">
        <v>5.6</v>
      </c>
      <c r="C1846" s="2">
        <v>20.896699999999999</v>
      </c>
      <c r="D1846" s="60" t="s">
        <v>144</v>
      </c>
    </row>
    <row r="1847" spans="1:10">
      <c r="A1847" s="2" t="s">
        <v>141</v>
      </c>
      <c r="B1847" s="2">
        <v>11</v>
      </c>
      <c r="C1847" s="2">
        <v>20.896699999999999</v>
      </c>
      <c r="D1847" s="60" t="s">
        <v>161</v>
      </c>
    </row>
    <row r="1848" spans="1:10">
      <c r="A1848" s="2" t="s">
        <v>148</v>
      </c>
      <c r="B1848" s="2" t="s">
        <v>100</v>
      </c>
      <c r="C1848" s="2">
        <v>2.8206599999999998E-2</v>
      </c>
      <c r="D1848" s="60">
        <v>0</v>
      </c>
      <c r="E1848" s="2">
        <v>16.4924</v>
      </c>
      <c r="F1848" s="2">
        <v>9.6995299999999993</v>
      </c>
      <c r="G1848" s="2">
        <v>0</v>
      </c>
      <c r="H1848" s="2">
        <v>10</v>
      </c>
      <c r="I1848" s="2">
        <v>0</v>
      </c>
      <c r="J1848" s="2">
        <v>0</v>
      </c>
    </row>
    <row r="1849" spans="1:10">
      <c r="A1849" s="2" t="s">
        <v>148</v>
      </c>
      <c r="B1849" s="2" t="s">
        <v>101</v>
      </c>
      <c r="C1849" s="2">
        <v>6.6879099999999997E-2</v>
      </c>
      <c r="D1849" s="60">
        <v>0</v>
      </c>
      <c r="E1849" s="2">
        <v>11</v>
      </c>
      <c r="F1849" s="2">
        <v>5.4923799999999998</v>
      </c>
      <c r="G1849" s="2">
        <v>10</v>
      </c>
      <c r="H1849" s="2">
        <v>14.582000000000001</v>
      </c>
      <c r="I1849" s="2">
        <v>0</v>
      </c>
      <c r="J1849" s="2">
        <v>0</v>
      </c>
    </row>
    <row r="1850" spans="1:10">
      <c r="A1850" s="2" t="s">
        <v>148</v>
      </c>
      <c r="B1850" s="2" t="s">
        <v>64</v>
      </c>
      <c r="C1850" s="2">
        <v>0.106123</v>
      </c>
      <c r="D1850" s="60">
        <v>3.1837</v>
      </c>
      <c r="E1850" s="2">
        <v>5.9</v>
      </c>
      <c r="F1850" s="2">
        <v>5.0999999999999996</v>
      </c>
      <c r="G1850" s="2">
        <v>14.582000000000001</v>
      </c>
      <c r="H1850" s="2">
        <v>17.752700000000001</v>
      </c>
      <c r="I1850" s="2">
        <v>0</v>
      </c>
      <c r="J1850" s="2">
        <v>0</v>
      </c>
    </row>
    <row r="1851" spans="1:10">
      <c r="A1851" s="2" t="s">
        <v>148</v>
      </c>
      <c r="B1851" s="2" t="s">
        <v>101</v>
      </c>
      <c r="C1851" s="2">
        <v>7.4928E-3</v>
      </c>
      <c r="D1851" s="60">
        <v>0</v>
      </c>
      <c r="E1851" s="2">
        <v>5.6</v>
      </c>
      <c r="F1851" s="2">
        <v>0.3</v>
      </c>
      <c r="G1851" s="2">
        <v>17.752700000000001</v>
      </c>
      <c r="H1851" s="2">
        <v>17.912199999999999</v>
      </c>
      <c r="I1851" s="2">
        <v>0</v>
      </c>
      <c r="J1851" s="2">
        <v>0</v>
      </c>
    </row>
    <row r="1852" spans="1:10">
      <c r="A1852" s="2" t="s">
        <v>138</v>
      </c>
      <c r="B1852" s="2">
        <v>17</v>
      </c>
      <c r="C1852" s="2">
        <v>19.538900000000002</v>
      </c>
      <c r="D1852" s="60" t="s">
        <v>129</v>
      </c>
      <c r="E1852" s="2" t="s">
        <v>149</v>
      </c>
    </row>
    <row r="1853" spans="1:10">
      <c r="A1853" s="2" t="s">
        <v>140</v>
      </c>
      <c r="B1853" s="2">
        <v>0</v>
      </c>
      <c r="C1853" s="2">
        <v>51.914400000000001</v>
      </c>
      <c r="D1853" s="60">
        <v>26.1919</v>
      </c>
    </row>
    <row r="1854" spans="1:10">
      <c r="A1854" s="2" t="s">
        <v>141</v>
      </c>
      <c r="B1854" s="2">
        <v>0</v>
      </c>
      <c r="C1854" s="2">
        <v>6.5</v>
      </c>
      <c r="D1854" s="60" t="s">
        <v>142</v>
      </c>
    </row>
    <row r="1855" spans="1:10">
      <c r="A1855" s="2" t="s">
        <v>141</v>
      </c>
      <c r="B1855" s="2">
        <v>0</v>
      </c>
      <c r="C1855" s="2">
        <v>10.9</v>
      </c>
      <c r="D1855" s="60" t="s">
        <v>152</v>
      </c>
    </row>
    <row r="1856" spans="1:10">
      <c r="A1856" s="2" t="s">
        <v>141</v>
      </c>
      <c r="B1856" s="2">
        <v>6.5</v>
      </c>
      <c r="C1856" s="2">
        <v>12</v>
      </c>
      <c r="D1856" s="60" t="s">
        <v>145</v>
      </c>
    </row>
    <row r="1857" spans="1:10">
      <c r="A1857" s="2" t="s">
        <v>141</v>
      </c>
      <c r="B1857" s="2">
        <v>9.5</v>
      </c>
      <c r="C1857" s="2">
        <v>9.8000000000000007</v>
      </c>
      <c r="D1857" s="60" t="s">
        <v>153</v>
      </c>
    </row>
    <row r="1858" spans="1:10">
      <c r="A1858" s="2" t="s">
        <v>141</v>
      </c>
      <c r="B1858" s="2">
        <v>9.5</v>
      </c>
      <c r="C1858" s="2">
        <v>9.8000000000000007</v>
      </c>
      <c r="D1858" s="60" t="s">
        <v>154</v>
      </c>
    </row>
    <row r="1859" spans="1:10">
      <c r="A1859" s="2" t="s">
        <v>141</v>
      </c>
      <c r="B1859" s="2">
        <v>10.9</v>
      </c>
      <c r="C1859" s="2">
        <v>11.5</v>
      </c>
      <c r="D1859" s="60" t="s">
        <v>159</v>
      </c>
    </row>
    <row r="1860" spans="1:10">
      <c r="A1860" s="2" t="s">
        <v>141</v>
      </c>
      <c r="B1860" s="2">
        <v>11.5</v>
      </c>
      <c r="C1860" s="2">
        <v>20.896699999999999</v>
      </c>
      <c r="D1860" s="60" t="s">
        <v>146</v>
      </c>
    </row>
    <row r="1861" spans="1:10">
      <c r="A1861" s="2" t="s">
        <v>141</v>
      </c>
      <c r="B1861" s="2">
        <v>12</v>
      </c>
      <c r="C1861" s="2">
        <v>20.896699999999999</v>
      </c>
      <c r="D1861" s="60" t="s">
        <v>144</v>
      </c>
    </row>
    <row r="1862" spans="1:10">
      <c r="A1862" s="2" t="s">
        <v>156</v>
      </c>
      <c r="B1862" s="2">
        <v>9.5</v>
      </c>
      <c r="C1862" s="2">
        <v>39.660699999999999</v>
      </c>
    </row>
    <row r="1863" spans="1:10">
      <c r="A1863" s="2" t="s">
        <v>148</v>
      </c>
      <c r="B1863" s="2" t="s">
        <v>99</v>
      </c>
      <c r="C1863" s="2">
        <v>6.4282699999999998E-2</v>
      </c>
      <c r="D1863" s="60">
        <v>0</v>
      </c>
      <c r="E1863" s="2">
        <v>0</v>
      </c>
      <c r="F1863" s="2">
        <v>0.3</v>
      </c>
      <c r="G1863" s="2">
        <v>50.985599999999998</v>
      </c>
      <c r="H1863" s="2">
        <v>53.578499999999998</v>
      </c>
      <c r="I1863" s="2">
        <v>0</v>
      </c>
      <c r="J1863" s="2">
        <v>0</v>
      </c>
    </row>
    <row r="1864" spans="1:10">
      <c r="A1864" s="2" t="s">
        <v>148</v>
      </c>
      <c r="B1864" s="2" t="s">
        <v>100</v>
      </c>
      <c r="C1864" s="2">
        <v>1.6792000000000001E-2</v>
      </c>
      <c r="D1864" s="60">
        <v>0</v>
      </c>
      <c r="E1864" s="2">
        <v>20.972100000000001</v>
      </c>
      <c r="F1864" s="2">
        <v>5.2198000000000002</v>
      </c>
      <c r="G1864" s="2">
        <v>0</v>
      </c>
      <c r="H1864" s="2">
        <v>10</v>
      </c>
      <c r="I1864" s="2">
        <v>0</v>
      </c>
      <c r="J1864" s="2">
        <v>0</v>
      </c>
    </row>
    <row r="1865" spans="1:10">
      <c r="A1865" s="2" t="s">
        <v>148</v>
      </c>
      <c r="B1865" s="2" t="s">
        <v>101</v>
      </c>
      <c r="C1865" s="2">
        <v>5.7278899999999998E-4</v>
      </c>
      <c r="D1865" s="60">
        <v>0</v>
      </c>
      <c r="E1865" s="2">
        <v>20.9</v>
      </c>
      <c r="F1865" s="2">
        <v>7.2107699999999997E-2</v>
      </c>
      <c r="G1865" s="2">
        <v>10</v>
      </c>
      <c r="H1865" s="2">
        <v>10.1136</v>
      </c>
      <c r="I1865" s="2">
        <v>0</v>
      </c>
      <c r="J1865" s="2">
        <v>0</v>
      </c>
    </row>
    <row r="1866" spans="1:10">
      <c r="A1866" s="2" t="s">
        <v>148</v>
      </c>
      <c r="B1866" s="2" t="s">
        <v>64</v>
      </c>
      <c r="C1866" s="2">
        <v>9.1105000000000005E-2</v>
      </c>
      <c r="D1866" s="60">
        <v>2.7331500000000002</v>
      </c>
      <c r="E1866" s="2">
        <v>15.5</v>
      </c>
      <c r="F1866" s="2">
        <v>5.4</v>
      </c>
      <c r="G1866" s="2">
        <v>10.1136</v>
      </c>
      <c r="H1866" s="2">
        <v>18.734200000000001</v>
      </c>
      <c r="I1866" s="2">
        <v>0</v>
      </c>
      <c r="J1866" s="2">
        <v>0</v>
      </c>
    </row>
    <row r="1867" spans="1:10">
      <c r="A1867" s="2" t="s">
        <v>148</v>
      </c>
      <c r="B1867" s="2" t="s">
        <v>61</v>
      </c>
      <c r="C1867" s="2">
        <v>0.148308</v>
      </c>
      <c r="D1867" s="60">
        <v>12.606199999999999</v>
      </c>
      <c r="E1867" s="2">
        <v>11.5</v>
      </c>
      <c r="F1867" s="2">
        <v>4</v>
      </c>
      <c r="G1867" s="2">
        <v>18.734200000000001</v>
      </c>
      <c r="H1867" s="2">
        <v>24.425699999999999</v>
      </c>
      <c r="I1867" s="2">
        <v>0</v>
      </c>
      <c r="J1867" s="2">
        <v>0</v>
      </c>
    </row>
    <row r="1868" spans="1:10">
      <c r="A1868" s="2" t="s">
        <v>148</v>
      </c>
      <c r="B1868" s="2" t="s">
        <v>101</v>
      </c>
      <c r="C1868" s="2">
        <v>0.103523</v>
      </c>
      <c r="D1868" s="60">
        <v>0</v>
      </c>
      <c r="E1868" s="2">
        <v>9.5</v>
      </c>
      <c r="F1868" s="2">
        <v>2</v>
      </c>
      <c r="G1868" s="2">
        <v>24.425699999999999</v>
      </c>
      <c r="H1868" s="2">
        <v>34.1678</v>
      </c>
      <c r="I1868" s="2">
        <v>0</v>
      </c>
      <c r="J1868" s="2">
        <v>0</v>
      </c>
    </row>
    <row r="1869" spans="1:10">
      <c r="A1869" s="2" t="s">
        <v>148</v>
      </c>
      <c r="B1869" s="2" t="s">
        <v>64</v>
      </c>
      <c r="C1869" s="2">
        <v>0.37887100000000001</v>
      </c>
      <c r="D1869" s="60">
        <v>11.366099999999999</v>
      </c>
      <c r="E1869" s="2">
        <v>5.9</v>
      </c>
      <c r="F1869" s="2">
        <v>3.6</v>
      </c>
      <c r="G1869" s="2">
        <v>34.1678</v>
      </c>
      <c r="H1869" s="2">
        <v>38.825200000000002</v>
      </c>
      <c r="I1869" s="2">
        <v>0</v>
      </c>
      <c r="J1869" s="2">
        <v>0</v>
      </c>
    </row>
    <row r="1870" spans="1:10">
      <c r="A1870" s="2" t="s">
        <v>148</v>
      </c>
      <c r="B1870" s="2" t="s">
        <v>64</v>
      </c>
      <c r="C1870" s="2">
        <v>0.81187600000000004</v>
      </c>
      <c r="D1870" s="60">
        <v>24.356300000000001</v>
      </c>
      <c r="E1870" s="2">
        <v>0.3</v>
      </c>
      <c r="F1870" s="2">
        <v>5.6</v>
      </c>
      <c r="G1870" s="2">
        <v>38.825200000000002</v>
      </c>
      <c r="H1870" s="2">
        <v>50.985599999999998</v>
      </c>
      <c r="I1870" s="2">
        <v>0</v>
      </c>
      <c r="J1870" s="2">
        <v>0</v>
      </c>
    </row>
    <row r="1871" spans="1:10">
      <c r="A1871" s="2" t="s">
        <v>140</v>
      </c>
      <c r="B1871" s="2">
        <v>1</v>
      </c>
      <c r="C1871" s="2">
        <v>26.152899999999999</v>
      </c>
      <c r="D1871" s="60">
        <v>26.1919</v>
      </c>
      <c r="E1871" s="2">
        <v>9.5</v>
      </c>
    </row>
    <row r="1872" spans="1:10">
      <c r="A1872" s="2" t="s">
        <v>141</v>
      </c>
      <c r="B1872" s="2">
        <v>9.5</v>
      </c>
      <c r="C1872" s="2">
        <v>9.8000000000000007</v>
      </c>
      <c r="D1872" s="60" t="s">
        <v>153</v>
      </c>
    </row>
    <row r="1873" spans="1:10">
      <c r="A1873" s="2" t="s">
        <v>141</v>
      </c>
      <c r="B1873" s="2">
        <v>9.5</v>
      </c>
      <c r="C1873" s="2">
        <v>20.896699999999999</v>
      </c>
      <c r="D1873" s="60" t="s">
        <v>144</v>
      </c>
    </row>
    <row r="1874" spans="1:10">
      <c r="A1874" s="2" t="s">
        <v>141</v>
      </c>
      <c r="B1874" s="2">
        <v>9.5</v>
      </c>
      <c r="C1874" s="2">
        <v>20.896699999999999</v>
      </c>
      <c r="D1874" s="60" t="s">
        <v>152</v>
      </c>
    </row>
    <row r="1875" spans="1:10">
      <c r="A1875" s="2" t="s">
        <v>148</v>
      </c>
      <c r="B1875" s="2" t="s">
        <v>100</v>
      </c>
      <c r="C1875" s="2">
        <v>2.3877300000000001E-2</v>
      </c>
      <c r="D1875" s="60">
        <v>0</v>
      </c>
      <c r="E1875" s="2">
        <v>18.158300000000001</v>
      </c>
      <c r="F1875" s="2">
        <v>8.0335999999999999</v>
      </c>
      <c r="G1875" s="2">
        <v>0</v>
      </c>
      <c r="H1875" s="2">
        <v>10</v>
      </c>
      <c r="I1875" s="2">
        <v>0</v>
      </c>
      <c r="J1875" s="2">
        <v>0</v>
      </c>
    </row>
    <row r="1876" spans="1:10">
      <c r="A1876" s="2" t="s">
        <v>148</v>
      </c>
      <c r="B1876" s="2" t="s">
        <v>98</v>
      </c>
      <c r="C1876" s="2">
        <v>7.7404100000000003E-2</v>
      </c>
      <c r="D1876" s="60">
        <v>0</v>
      </c>
      <c r="E1876" s="2">
        <v>12.4741</v>
      </c>
      <c r="F1876" s="2">
        <v>5.68424</v>
      </c>
      <c r="G1876" s="2">
        <v>10</v>
      </c>
      <c r="H1876" s="2">
        <v>15.9367</v>
      </c>
      <c r="I1876" s="2">
        <v>0</v>
      </c>
      <c r="J1876" s="2">
        <v>0</v>
      </c>
    </row>
    <row r="1877" spans="1:10">
      <c r="A1877" s="2" t="s">
        <v>148</v>
      </c>
      <c r="B1877" s="2" t="s">
        <v>101</v>
      </c>
      <c r="C1877" s="2">
        <v>6.9656599999999999E-2</v>
      </c>
      <c r="D1877" s="60">
        <v>0</v>
      </c>
      <c r="E1877" s="2">
        <v>9.5</v>
      </c>
      <c r="F1877" s="2">
        <v>2.9740600000000001</v>
      </c>
      <c r="G1877" s="2">
        <v>15.9367</v>
      </c>
      <c r="H1877" s="2">
        <v>18.493300000000001</v>
      </c>
      <c r="I1877" s="2">
        <v>0</v>
      </c>
      <c r="J1877" s="2">
        <v>0</v>
      </c>
    </row>
    <row r="1878" spans="1:10">
      <c r="A1878" s="2" t="s">
        <v>138</v>
      </c>
      <c r="B1878" s="2">
        <v>18</v>
      </c>
      <c r="C1878" s="2">
        <v>19.567499999999999</v>
      </c>
      <c r="D1878" s="60" t="s">
        <v>129</v>
      </c>
      <c r="E1878" s="2" t="s">
        <v>139</v>
      </c>
    </row>
    <row r="1879" spans="1:10">
      <c r="A1879" s="2" t="s">
        <v>140</v>
      </c>
      <c r="B1879" s="2">
        <v>0</v>
      </c>
      <c r="C1879" s="2">
        <v>50.359900000000003</v>
      </c>
      <c r="D1879" s="60">
        <v>28.828199999999999</v>
      </c>
    </row>
    <row r="1880" spans="1:10">
      <c r="A1880" s="2" t="s">
        <v>141</v>
      </c>
      <c r="B1880" s="2">
        <v>0</v>
      </c>
      <c r="C1880" s="2">
        <v>6.5</v>
      </c>
      <c r="D1880" s="60" t="s">
        <v>142</v>
      </c>
    </row>
    <row r="1881" spans="1:10">
      <c r="A1881" s="2" t="s">
        <v>141</v>
      </c>
      <c r="B1881" s="2">
        <v>0</v>
      </c>
      <c r="C1881" s="2">
        <v>22.9</v>
      </c>
      <c r="D1881" s="60" t="s">
        <v>146</v>
      </c>
    </row>
    <row r="1882" spans="1:10">
      <c r="A1882" s="2" t="s">
        <v>141</v>
      </c>
      <c r="B1882" s="2">
        <v>6.5</v>
      </c>
      <c r="C1882" s="2">
        <v>22.9</v>
      </c>
      <c r="D1882" s="60" t="s">
        <v>145</v>
      </c>
    </row>
    <row r="1883" spans="1:10">
      <c r="A1883" s="2" t="s">
        <v>148</v>
      </c>
      <c r="B1883" s="2" t="s">
        <v>99</v>
      </c>
      <c r="C1883" s="2">
        <v>6.1241400000000001E-2</v>
      </c>
      <c r="D1883" s="60">
        <v>0</v>
      </c>
      <c r="E1883" s="2">
        <v>0</v>
      </c>
      <c r="F1883" s="2">
        <v>0.3</v>
      </c>
      <c r="G1883" s="2">
        <v>49.862200000000001</v>
      </c>
      <c r="H1883" s="2">
        <v>52.182299999999998</v>
      </c>
      <c r="I1883" s="2">
        <v>0</v>
      </c>
      <c r="J1883" s="2">
        <v>0</v>
      </c>
    </row>
    <row r="1884" spans="1:10">
      <c r="A1884" s="2" t="s">
        <v>148</v>
      </c>
      <c r="B1884" s="2" t="s">
        <v>100</v>
      </c>
      <c r="C1884" s="2">
        <v>1.4840000000000001E-2</v>
      </c>
      <c r="D1884" s="60">
        <v>0</v>
      </c>
      <c r="E1884" s="2">
        <v>24.4557</v>
      </c>
      <c r="F1884" s="2">
        <v>4.3725199999999997</v>
      </c>
      <c r="G1884" s="2">
        <v>0</v>
      </c>
      <c r="H1884" s="2">
        <v>10</v>
      </c>
      <c r="I1884" s="2">
        <v>0</v>
      </c>
      <c r="J1884" s="2">
        <v>0</v>
      </c>
    </row>
    <row r="1885" spans="1:10">
      <c r="A1885" s="2" t="s">
        <v>148</v>
      </c>
      <c r="B1885" s="2" t="s">
        <v>98</v>
      </c>
      <c r="C1885" s="2">
        <v>0.27241399999999999</v>
      </c>
      <c r="D1885" s="60">
        <v>0</v>
      </c>
      <c r="E1885" s="2">
        <v>14.9498</v>
      </c>
      <c r="F1885" s="2">
        <v>9.5059199999999997</v>
      </c>
      <c r="G1885" s="2">
        <v>10</v>
      </c>
      <c r="H1885" s="2">
        <v>26.758900000000001</v>
      </c>
      <c r="I1885" s="2">
        <v>0</v>
      </c>
      <c r="J1885" s="2">
        <v>0</v>
      </c>
    </row>
    <row r="1886" spans="1:10">
      <c r="A1886" s="2" t="s">
        <v>148</v>
      </c>
      <c r="B1886" s="2" t="s">
        <v>101</v>
      </c>
      <c r="C1886" s="2">
        <v>3.1947499999999997E-2</v>
      </c>
      <c r="D1886" s="60">
        <v>0</v>
      </c>
      <c r="E1886" s="2">
        <v>14.4</v>
      </c>
      <c r="F1886" s="2">
        <v>0.549794</v>
      </c>
      <c r="G1886" s="2">
        <v>26.758900000000001</v>
      </c>
      <c r="H1886" s="2">
        <v>27.635999999999999</v>
      </c>
      <c r="I1886" s="2">
        <v>0</v>
      </c>
      <c r="J1886" s="2">
        <v>0</v>
      </c>
    </row>
    <row r="1887" spans="1:10">
      <c r="A1887" s="2" t="s">
        <v>148</v>
      </c>
      <c r="B1887" s="2" t="s">
        <v>60</v>
      </c>
      <c r="C1887" s="2">
        <v>0.29490100000000002</v>
      </c>
      <c r="D1887" s="60">
        <v>26.5411</v>
      </c>
      <c r="E1887" s="2">
        <v>10.4</v>
      </c>
      <c r="F1887" s="2">
        <v>4</v>
      </c>
      <c r="G1887" s="2">
        <v>27.635999999999999</v>
      </c>
      <c r="H1887" s="2">
        <v>33.349299999999999</v>
      </c>
      <c r="I1887" s="2">
        <v>0</v>
      </c>
      <c r="J1887" s="2">
        <v>0</v>
      </c>
    </row>
    <row r="1888" spans="1:10">
      <c r="A1888" s="2" t="s">
        <v>148</v>
      </c>
      <c r="B1888" s="2" t="s">
        <v>59</v>
      </c>
      <c r="C1888" s="2">
        <v>0.401223</v>
      </c>
      <c r="D1888" s="60">
        <v>40.122300000000003</v>
      </c>
      <c r="E1888" s="2">
        <v>6.4</v>
      </c>
      <c r="F1888" s="2">
        <v>4</v>
      </c>
      <c r="G1888" s="2">
        <v>33.349299999999999</v>
      </c>
      <c r="H1888" s="2">
        <v>37.910400000000003</v>
      </c>
      <c r="I1888" s="2">
        <v>0</v>
      </c>
      <c r="J1888" s="2">
        <v>0</v>
      </c>
    </row>
    <row r="1889" spans="1:16">
      <c r="A1889" s="2" t="s">
        <v>148</v>
      </c>
      <c r="B1889" s="2" t="s">
        <v>56</v>
      </c>
      <c r="C1889" s="2">
        <v>0.84293300000000004</v>
      </c>
      <c r="D1889" s="60">
        <v>118.011</v>
      </c>
      <c r="E1889" s="2">
        <v>0.3</v>
      </c>
      <c r="F1889" s="2">
        <v>6.1</v>
      </c>
      <c r="G1889" s="2">
        <v>37.910400000000003</v>
      </c>
      <c r="H1889" s="2">
        <v>49.862200000000001</v>
      </c>
      <c r="I1889" s="2">
        <v>0</v>
      </c>
      <c r="J1889" s="2">
        <v>0</v>
      </c>
    </row>
    <row r="1890" spans="1:16">
      <c r="A1890" s="2" t="s">
        <v>130</v>
      </c>
      <c r="B1890" s="2" t="s">
        <v>131</v>
      </c>
      <c r="C1890" s="2" t="s">
        <v>213</v>
      </c>
      <c r="D1890" s="60" t="s">
        <v>133</v>
      </c>
      <c r="E1890" s="2">
        <v>8</v>
      </c>
      <c r="F1890" s="2">
        <v>2016</v>
      </c>
    </row>
    <row r="1891" spans="1:16">
      <c r="A1891" s="2" t="s">
        <v>214</v>
      </c>
      <c r="B1891" s="2" t="s">
        <v>195</v>
      </c>
      <c r="C1891" s="2" t="s">
        <v>215</v>
      </c>
      <c r="D1891" s="60" t="s">
        <v>216</v>
      </c>
      <c r="E1891" s="2" t="s">
        <v>217</v>
      </c>
      <c r="F1891" s="2" t="s">
        <v>218</v>
      </c>
      <c r="G1891" s="2" t="s">
        <v>195</v>
      </c>
      <c r="H1891" s="2" t="s">
        <v>219</v>
      </c>
      <c r="I1891" s="2" t="s">
        <v>220</v>
      </c>
      <c r="J1891" s="2" t="s">
        <v>221</v>
      </c>
      <c r="K1891" s="2" t="s">
        <v>195</v>
      </c>
      <c r="L1891" s="2" t="s">
        <v>222</v>
      </c>
      <c r="M1891" s="2" t="s">
        <v>223</v>
      </c>
      <c r="N1891" s="2" t="s">
        <v>224</v>
      </c>
      <c r="O1891" s="2" t="s">
        <v>218</v>
      </c>
      <c r="P1891" s="2" t="s">
        <v>225</v>
      </c>
    </row>
    <row r="1892" spans="1:16">
      <c r="A1892" s="2" t="s">
        <v>134</v>
      </c>
      <c r="B1892" s="2" t="s">
        <v>70</v>
      </c>
      <c r="C1892" s="2">
        <v>28</v>
      </c>
      <c r="D1892" s="60" t="s">
        <v>226</v>
      </c>
      <c r="E1892" s="2" t="s">
        <v>136</v>
      </c>
      <c r="F1892" s="2" t="s">
        <v>171</v>
      </c>
      <c r="G1892" s="2" t="s">
        <v>128</v>
      </c>
      <c r="H1892" s="2" t="s">
        <v>172</v>
      </c>
      <c r="I1892" s="2" t="s">
        <v>189</v>
      </c>
    </row>
    <row r="1893" spans="1:16">
      <c r="A1893" s="2" t="s">
        <v>138</v>
      </c>
      <c r="B1893" s="2">
        <v>1</v>
      </c>
      <c r="C1893" s="2">
        <v>13.935</v>
      </c>
      <c r="D1893" s="60" t="s">
        <v>129</v>
      </c>
      <c r="E1893" s="2" t="s">
        <v>139</v>
      </c>
    </row>
    <row r="1894" spans="1:16">
      <c r="A1894" s="2" t="s">
        <v>140</v>
      </c>
      <c r="B1894" s="2">
        <v>0</v>
      </c>
      <c r="C1894" s="2">
        <v>48.153500000000001</v>
      </c>
      <c r="D1894" s="60">
        <v>28.4556</v>
      </c>
    </row>
    <row r="1895" spans="1:16">
      <c r="A1895" s="2" t="s">
        <v>141</v>
      </c>
      <c r="B1895" s="2">
        <v>0</v>
      </c>
      <c r="C1895" s="2">
        <v>6.3</v>
      </c>
      <c r="D1895" s="60" t="s">
        <v>142</v>
      </c>
    </row>
    <row r="1896" spans="1:16">
      <c r="A1896" s="2" t="s">
        <v>141</v>
      </c>
      <c r="B1896" s="2">
        <v>0</v>
      </c>
      <c r="C1896" s="2">
        <v>11.6</v>
      </c>
      <c r="D1896" s="60" t="s">
        <v>158</v>
      </c>
    </row>
    <row r="1897" spans="1:16">
      <c r="A1897" s="2" t="s">
        <v>141</v>
      </c>
      <c r="B1897" s="2">
        <v>0</v>
      </c>
      <c r="C1897" s="2">
        <v>14</v>
      </c>
      <c r="D1897" s="60" t="s">
        <v>146</v>
      </c>
    </row>
    <row r="1898" spans="1:16">
      <c r="A1898" s="2" t="s">
        <v>141</v>
      </c>
      <c r="B1898" s="2">
        <v>6.3</v>
      </c>
      <c r="C1898" s="2">
        <v>7.9</v>
      </c>
      <c r="D1898" s="60" t="s">
        <v>144</v>
      </c>
    </row>
    <row r="1899" spans="1:16">
      <c r="A1899" s="2" t="s">
        <v>141</v>
      </c>
      <c r="B1899" s="2">
        <v>7.9</v>
      </c>
      <c r="C1899" s="2">
        <v>10.6</v>
      </c>
      <c r="D1899" s="60" t="s">
        <v>145</v>
      </c>
    </row>
    <row r="1900" spans="1:16">
      <c r="A1900" s="2" t="s">
        <v>141</v>
      </c>
      <c r="B1900" s="2">
        <v>10.6</v>
      </c>
      <c r="C1900" s="2">
        <v>14.6</v>
      </c>
      <c r="D1900" s="60" t="s">
        <v>147</v>
      </c>
    </row>
    <row r="1901" spans="1:16">
      <c r="A1901" s="2" t="s">
        <v>141</v>
      </c>
      <c r="B1901" s="2">
        <v>11.6</v>
      </c>
      <c r="C1901" s="2">
        <v>12.1</v>
      </c>
      <c r="D1901" s="60" t="s">
        <v>177</v>
      </c>
    </row>
    <row r="1902" spans="1:16">
      <c r="A1902" s="2" t="s">
        <v>141</v>
      </c>
      <c r="B1902" s="2">
        <v>12.1</v>
      </c>
      <c r="C1902" s="2">
        <v>12.2</v>
      </c>
      <c r="D1902" s="60" t="s">
        <v>174</v>
      </c>
    </row>
    <row r="1903" spans="1:16">
      <c r="A1903" s="2" t="s">
        <v>141</v>
      </c>
      <c r="B1903" s="2">
        <v>14</v>
      </c>
      <c r="C1903" s="2">
        <v>14.3</v>
      </c>
      <c r="D1903" s="60" t="s">
        <v>159</v>
      </c>
    </row>
    <row r="1904" spans="1:16">
      <c r="A1904" s="2" t="s">
        <v>141</v>
      </c>
      <c r="B1904" s="2">
        <v>14.3</v>
      </c>
      <c r="C1904" s="2">
        <v>22.6</v>
      </c>
      <c r="D1904" s="60" t="s">
        <v>146</v>
      </c>
    </row>
    <row r="1905" spans="1:10">
      <c r="A1905" s="2" t="s">
        <v>141</v>
      </c>
      <c r="B1905" s="2">
        <v>14.6</v>
      </c>
      <c r="C1905" s="2">
        <v>17.600000000000001</v>
      </c>
      <c r="D1905" s="60" t="s">
        <v>145</v>
      </c>
    </row>
    <row r="1906" spans="1:10">
      <c r="A1906" s="2" t="s">
        <v>141</v>
      </c>
      <c r="B1906" s="2">
        <v>17.600000000000001</v>
      </c>
      <c r="C1906" s="2">
        <v>22.6</v>
      </c>
      <c r="D1906" s="60" t="s">
        <v>144</v>
      </c>
    </row>
    <row r="1907" spans="1:10">
      <c r="A1907" s="2" t="s">
        <v>148</v>
      </c>
      <c r="B1907" s="2" t="s">
        <v>99</v>
      </c>
      <c r="C1907" s="2">
        <v>5.6473799999999998E-2</v>
      </c>
      <c r="D1907" s="60">
        <v>0</v>
      </c>
      <c r="E1907" s="2">
        <v>0</v>
      </c>
      <c r="F1907" s="2">
        <v>0.3</v>
      </c>
      <c r="G1907" s="2">
        <v>47.869700000000002</v>
      </c>
      <c r="H1907" s="2">
        <v>50.124200000000002</v>
      </c>
      <c r="I1907" s="2">
        <v>0</v>
      </c>
      <c r="J1907" s="2">
        <v>0</v>
      </c>
    </row>
    <row r="1908" spans="1:10">
      <c r="A1908" s="2" t="s">
        <v>148</v>
      </c>
      <c r="B1908" s="2" t="s">
        <v>100</v>
      </c>
      <c r="C1908" s="2">
        <v>1.52943E-2</v>
      </c>
      <c r="D1908" s="60">
        <v>0</v>
      </c>
      <c r="E1908" s="2">
        <v>23.9039</v>
      </c>
      <c r="F1908" s="2">
        <v>4.5516699999999997</v>
      </c>
      <c r="G1908" s="2">
        <v>0</v>
      </c>
      <c r="H1908" s="2">
        <v>10</v>
      </c>
      <c r="I1908" s="2">
        <v>0</v>
      </c>
      <c r="J1908" s="2">
        <v>0</v>
      </c>
    </row>
    <row r="1909" spans="1:10">
      <c r="A1909" s="2" t="s">
        <v>148</v>
      </c>
      <c r="B1909" s="2" t="s">
        <v>98</v>
      </c>
      <c r="C1909" s="2">
        <v>0.16464200000000001</v>
      </c>
      <c r="D1909" s="60">
        <v>0</v>
      </c>
      <c r="E1909" s="2">
        <v>16.517299999999999</v>
      </c>
      <c r="F1909" s="2">
        <v>7.38666</v>
      </c>
      <c r="G1909" s="2">
        <v>10</v>
      </c>
      <c r="H1909" s="2">
        <v>22.845400000000001</v>
      </c>
      <c r="I1909" s="2">
        <v>0</v>
      </c>
      <c r="J1909" s="2">
        <v>0</v>
      </c>
    </row>
    <row r="1910" spans="1:10">
      <c r="A1910" s="2" t="s">
        <v>148</v>
      </c>
      <c r="B1910" s="2" t="s">
        <v>101</v>
      </c>
      <c r="C1910" s="2">
        <v>0.284665</v>
      </c>
      <c r="D1910" s="60">
        <v>0</v>
      </c>
      <c r="E1910" s="2">
        <v>11.5</v>
      </c>
      <c r="F1910" s="2">
        <v>5.0172800000000004</v>
      </c>
      <c r="G1910" s="2">
        <v>22.845400000000001</v>
      </c>
      <c r="H1910" s="2">
        <v>30.444199999999999</v>
      </c>
      <c r="I1910" s="2">
        <v>0</v>
      </c>
      <c r="J1910" s="2">
        <v>0</v>
      </c>
    </row>
    <row r="1911" spans="1:10">
      <c r="A1911" s="2" t="s">
        <v>148</v>
      </c>
      <c r="B1911" s="2" t="s">
        <v>59</v>
      </c>
      <c r="C1911" s="2">
        <v>0.54714099999999999</v>
      </c>
      <c r="D1911" s="60">
        <v>54.714100000000002</v>
      </c>
      <c r="E1911" s="2">
        <v>5.5</v>
      </c>
      <c r="F1911" s="2">
        <v>6</v>
      </c>
      <c r="G1911" s="2">
        <v>30.444199999999999</v>
      </c>
      <c r="H1911" s="2">
        <v>37.226900000000001</v>
      </c>
      <c r="I1911" s="2">
        <v>0</v>
      </c>
      <c r="J1911" s="2">
        <v>0</v>
      </c>
    </row>
    <row r="1912" spans="1:10">
      <c r="A1912" s="2" t="s">
        <v>148</v>
      </c>
      <c r="B1912" s="2" t="s">
        <v>56</v>
      </c>
      <c r="C1912" s="2">
        <v>0.67996599999999996</v>
      </c>
      <c r="D1912" s="60">
        <v>95.195300000000003</v>
      </c>
      <c r="E1912" s="2">
        <v>0.3</v>
      </c>
      <c r="F1912" s="2">
        <v>5.2</v>
      </c>
      <c r="G1912" s="2">
        <v>37.226900000000001</v>
      </c>
      <c r="H1912" s="2">
        <v>47.869700000000002</v>
      </c>
      <c r="I1912" s="2">
        <v>0</v>
      </c>
      <c r="J1912" s="2">
        <v>0</v>
      </c>
    </row>
    <row r="1913" spans="1:10">
      <c r="A1913" s="2" t="s">
        <v>138</v>
      </c>
      <c r="B1913" s="2">
        <v>2</v>
      </c>
      <c r="C1913" s="2">
        <v>14.1159</v>
      </c>
      <c r="D1913" s="60" t="s">
        <v>129</v>
      </c>
      <c r="E1913" s="2" t="s">
        <v>175</v>
      </c>
    </row>
    <row r="1914" spans="1:10">
      <c r="A1914" s="2" t="s">
        <v>140</v>
      </c>
      <c r="B1914" s="2">
        <v>0</v>
      </c>
      <c r="C1914" s="2">
        <v>62.932600000000001</v>
      </c>
      <c r="D1914" s="60">
        <v>27.029499999999999</v>
      </c>
      <c r="E1914" s="2">
        <v>0</v>
      </c>
      <c r="F1914" s="2">
        <v>14.6</v>
      </c>
    </row>
    <row r="1915" spans="1:10">
      <c r="A1915" s="2" t="s">
        <v>141</v>
      </c>
      <c r="B1915" s="2">
        <v>0</v>
      </c>
      <c r="C1915" s="2">
        <v>5.9</v>
      </c>
      <c r="D1915" s="60" t="s">
        <v>142</v>
      </c>
    </row>
    <row r="1916" spans="1:10">
      <c r="A1916" s="2" t="s">
        <v>141</v>
      </c>
      <c r="B1916" s="2">
        <v>0</v>
      </c>
      <c r="C1916" s="2">
        <v>21.532299999999999</v>
      </c>
      <c r="D1916" s="60" t="s">
        <v>146</v>
      </c>
    </row>
    <row r="1917" spans="1:10">
      <c r="A1917" s="2" t="s">
        <v>141</v>
      </c>
      <c r="B1917" s="2">
        <v>5.9</v>
      </c>
      <c r="C1917" s="2">
        <v>10.6</v>
      </c>
      <c r="D1917" s="60" t="s">
        <v>144</v>
      </c>
    </row>
    <row r="1918" spans="1:10">
      <c r="A1918" s="2" t="s">
        <v>141</v>
      </c>
      <c r="B1918" s="2">
        <v>10.6</v>
      </c>
      <c r="C1918" s="2">
        <v>11.5</v>
      </c>
      <c r="D1918" s="60" t="s">
        <v>145</v>
      </c>
    </row>
    <row r="1919" spans="1:10">
      <c r="A1919" s="2" t="s">
        <v>141</v>
      </c>
      <c r="B1919" s="2">
        <v>11.5</v>
      </c>
      <c r="C1919" s="2">
        <v>21.532299999999999</v>
      </c>
      <c r="D1919" s="60" t="s">
        <v>151</v>
      </c>
    </row>
    <row r="1920" spans="1:10">
      <c r="A1920" s="2" t="s">
        <v>148</v>
      </c>
      <c r="B1920" s="2" t="s">
        <v>99</v>
      </c>
      <c r="C1920" s="2">
        <v>9.0910599999999994E-2</v>
      </c>
      <c r="D1920" s="60">
        <v>0</v>
      </c>
      <c r="E1920" s="2">
        <v>0</v>
      </c>
      <c r="F1920" s="2">
        <v>0.3</v>
      </c>
      <c r="G1920" s="2">
        <v>60.672600000000003</v>
      </c>
      <c r="H1920" s="2">
        <v>63.669699999999999</v>
      </c>
      <c r="I1920" s="2">
        <v>0</v>
      </c>
      <c r="J1920" s="2">
        <v>0</v>
      </c>
    </row>
    <row r="1921" spans="1:10">
      <c r="A1921" s="2" t="s">
        <v>148</v>
      </c>
      <c r="B1921" s="2" t="s">
        <v>101</v>
      </c>
      <c r="C1921" s="2">
        <v>9.1717199999999999E-2</v>
      </c>
      <c r="D1921" s="60">
        <v>0</v>
      </c>
      <c r="E1921" s="2">
        <v>13.5</v>
      </c>
      <c r="F1921" s="2">
        <v>1.1000000000000001</v>
      </c>
      <c r="G1921" s="2">
        <v>31.4102</v>
      </c>
      <c r="H1921" s="2">
        <v>33.722799999999999</v>
      </c>
      <c r="I1921" s="2">
        <v>0</v>
      </c>
      <c r="J1921" s="2">
        <v>0</v>
      </c>
    </row>
    <row r="1922" spans="1:10">
      <c r="A1922" s="2" t="s">
        <v>148</v>
      </c>
      <c r="B1922" s="2" t="s">
        <v>62</v>
      </c>
      <c r="C1922" s="2">
        <v>0.44448900000000002</v>
      </c>
      <c r="D1922" s="60">
        <v>35.559100000000001</v>
      </c>
      <c r="E1922" s="2">
        <v>9.5</v>
      </c>
      <c r="F1922" s="2">
        <v>4</v>
      </c>
      <c r="G1922" s="2">
        <v>33.722799999999999</v>
      </c>
      <c r="H1922" s="2">
        <v>41.104300000000002</v>
      </c>
      <c r="I1922" s="2">
        <v>0</v>
      </c>
      <c r="J1922" s="2">
        <v>0</v>
      </c>
    </row>
    <row r="1923" spans="1:10">
      <c r="A1923" s="2" t="s">
        <v>148</v>
      </c>
      <c r="B1923" s="2" t="s">
        <v>58</v>
      </c>
      <c r="C1923" s="2">
        <v>0.61241800000000002</v>
      </c>
      <c r="D1923" s="60">
        <v>64.303899999999999</v>
      </c>
      <c r="E1923" s="2">
        <v>5.5</v>
      </c>
      <c r="F1923" s="2">
        <v>4</v>
      </c>
      <c r="G1923" s="2">
        <v>41.104300000000002</v>
      </c>
      <c r="H1923" s="2">
        <v>46.922899999999998</v>
      </c>
      <c r="I1923" s="2">
        <v>0</v>
      </c>
      <c r="J1923" s="2">
        <v>0</v>
      </c>
    </row>
    <row r="1924" spans="1:10">
      <c r="A1924" s="2" t="s">
        <v>148</v>
      </c>
      <c r="B1924" s="2" t="s">
        <v>55</v>
      </c>
      <c r="C1924" s="2">
        <v>1.08582</v>
      </c>
      <c r="D1924" s="60">
        <v>157.44499999999999</v>
      </c>
      <c r="E1924" s="2">
        <v>0.3</v>
      </c>
      <c r="F1924" s="2">
        <v>5.2</v>
      </c>
      <c r="G1924" s="2">
        <v>46.922899999999998</v>
      </c>
      <c r="H1924" s="2">
        <v>60.672600000000003</v>
      </c>
      <c r="I1924" s="2">
        <v>0</v>
      </c>
      <c r="J1924" s="2">
        <v>0</v>
      </c>
    </row>
    <row r="1925" spans="1:10">
      <c r="A1925" s="2" t="s">
        <v>138</v>
      </c>
      <c r="B1925" s="2">
        <v>3</v>
      </c>
      <c r="C1925" s="2">
        <v>13.979100000000001</v>
      </c>
      <c r="D1925" s="60" t="s">
        <v>129</v>
      </c>
      <c r="E1925" s="2" t="s">
        <v>149</v>
      </c>
    </row>
    <row r="1926" spans="1:10">
      <c r="A1926" s="2" t="s">
        <v>140</v>
      </c>
      <c r="B1926" s="2">
        <v>0</v>
      </c>
      <c r="C1926" s="2">
        <v>52.591900000000003</v>
      </c>
      <c r="D1926" s="60">
        <v>26.2958</v>
      </c>
    </row>
    <row r="1927" spans="1:10">
      <c r="A1927" s="2" t="s">
        <v>141</v>
      </c>
      <c r="B1927" s="2">
        <v>0</v>
      </c>
      <c r="C1927" s="2">
        <v>4.5</v>
      </c>
      <c r="D1927" s="60" t="s">
        <v>146</v>
      </c>
    </row>
    <row r="1928" spans="1:10">
      <c r="A1928" s="2" t="s">
        <v>141</v>
      </c>
      <c r="B1928" s="2">
        <v>0</v>
      </c>
      <c r="C1928" s="2">
        <v>6.6</v>
      </c>
      <c r="D1928" s="60" t="s">
        <v>142</v>
      </c>
    </row>
    <row r="1929" spans="1:10">
      <c r="A1929" s="2" t="s">
        <v>141</v>
      </c>
      <c r="B1929" s="2">
        <v>4.5</v>
      </c>
      <c r="C1929" s="2">
        <v>6.6</v>
      </c>
      <c r="D1929" s="60" t="s">
        <v>155</v>
      </c>
    </row>
    <row r="1930" spans="1:10">
      <c r="A1930" s="2" t="s">
        <v>141</v>
      </c>
      <c r="B1930" s="2">
        <v>6.6</v>
      </c>
      <c r="C1930" s="2">
        <v>8.3000000000000007</v>
      </c>
      <c r="D1930" s="60" t="s">
        <v>145</v>
      </c>
    </row>
    <row r="1931" spans="1:10">
      <c r="A1931" s="2" t="s">
        <v>141</v>
      </c>
      <c r="B1931" s="2">
        <v>6.6</v>
      </c>
      <c r="C1931" s="2">
        <v>20.983000000000001</v>
      </c>
      <c r="D1931" s="60" t="s">
        <v>146</v>
      </c>
    </row>
    <row r="1932" spans="1:10">
      <c r="A1932" s="2" t="s">
        <v>141</v>
      </c>
      <c r="B1932" s="2">
        <v>8.3000000000000007</v>
      </c>
      <c r="C1932" s="2">
        <v>14</v>
      </c>
      <c r="D1932" s="60" t="s">
        <v>147</v>
      </c>
    </row>
    <row r="1933" spans="1:10">
      <c r="A1933" s="2" t="s">
        <v>141</v>
      </c>
      <c r="B1933" s="2">
        <v>14</v>
      </c>
      <c r="C1933" s="2">
        <v>14.3</v>
      </c>
      <c r="D1933" s="60" t="s">
        <v>154</v>
      </c>
    </row>
    <row r="1934" spans="1:10">
      <c r="A1934" s="2" t="s">
        <v>141</v>
      </c>
      <c r="B1934" s="2">
        <v>14</v>
      </c>
      <c r="C1934" s="2">
        <v>20.983000000000001</v>
      </c>
      <c r="D1934" s="60" t="s">
        <v>144</v>
      </c>
    </row>
    <row r="1935" spans="1:10">
      <c r="A1935" s="2" t="s">
        <v>156</v>
      </c>
      <c r="B1935" s="2">
        <v>14</v>
      </c>
      <c r="C1935" s="2">
        <v>41.695700000000002</v>
      </c>
    </row>
    <row r="1936" spans="1:10">
      <c r="A1936" s="2" t="s">
        <v>148</v>
      </c>
      <c r="B1936" s="2" t="s">
        <v>99</v>
      </c>
      <c r="C1936" s="2">
        <v>6.5808500000000006E-2</v>
      </c>
      <c r="D1936" s="60">
        <v>0</v>
      </c>
      <c r="E1936" s="2">
        <v>0</v>
      </c>
      <c r="F1936" s="2">
        <v>0.3</v>
      </c>
      <c r="G1936" s="2">
        <v>51.591500000000003</v>
      </c>
      <c r="H1936" s="2">
        <v>54.205599999999997</v>
      </c>
      <c r="I1936" s="2">
        <v>0</v>
      </c>
      <c r="J1936" s="2">
        <v>0</v>
      </c>
    </row>
    <row r="1937" spans="1:10">
      <c r="A1937" s="2" t="s">
        <v>148</v>
      </c>
      <c r="B1937" s="2" t="s">
        <v>100</v>
      </c>
      <c r="C1937" s="2">
        <v>1.6134099999999998E-2</v>
      </c>
      <c r="D1937" s="60">
        <v>0</v>
      </c>
      <c r="E1937" s="2">
        <v>21.335799999999999</v>
      </c>
      <c r="F1937" s="2">
        <v>4.9599599999999997</v>
      </c>
      <c r="G1937" s="2">
        <v>0</v>
      </c>
      <c r="H1937" s="2">
        <v>10</v>
      </c>
      <c r="I1937" s="2">
        <v>0</v>
      </c>
      <c r="J1937" s="2">
        <v>0</v>
      </c>
    </row>
    <row r="1938" spans="1:10">
      <c r="A1938" s="2" t="s">
        <v>148</v>
      </c>
      <c r="B1938" s="2" t="s">
        <v>98</v>
      </c>
      <c r="C1938" s="2">
        <v>3.8059099999999998E-2</v>
      </c>
      <c r="D1938" s="60">
        <v>0</v>
      </c>
      <c r="E1938" s="2">
        <v>18.29</v>
      </c>
      <c r="F1938" s="2">
        <v>3.0457700000000001</v>
      </c>
      <c r="G1938" s="2">
        <v>10</v>
      </c>
      <c r="H1938" s="2">
        <v>15.083299999999999</v>
      </c>
      <c r="I1938" s="2">
        <v>0</v>
      </c>
      <c r="J1938" s="2">
        <v>0</v>
      </c>
    </row>
    <row r="1939" spans="1:10">
      <c r="A1939" s="2" t="s">
        <v>148</v>
      </c>
      <c r="B1939" s="2" t="s">
        <v>101</v>
      </c>
      <c r="C1939" s="2">
        <v>1.6251099999999999E-3</v>
      </c>
      <c r="D1939" s="60">
        <v>0</v>
      </c>
      <c r="E1939" s="2">
        <v>18.2</v>
      </c>
      <c r="F1939" s="2">
        <v>9.0041099999999999E-2</v>
      </c>
      <c r="G1939" s="2">
        <v>15.083299999999999</v>
      </c>
      <c r="H1939" s="2">
        <v>15.2349</v>
      </c>
      <c r="I1939" s="2">
        <v>0</v>
      </c>
      <c r="J1939" s="2">
        <v>0</v>
      </c>
    </row>
    <row r="1940" spans="1:10">
      <c r="A1940" s="2" t="s">
        <v>148</v>
      </c>
      <c r="B1940" s="2" t="s">
        <v>64</v>
      </c>
      <c r="C1940" s="2">
        <v>0.105337</v>
      </c>
      <c r="D1940" s="60">
        <v>3.1600999999999999</v>
      </c>
      <c r="E1940" s="2">
        <v>14.3</v>
      </c>
      <c r="F1940" s="2">
        <v>3.9</v>
      </c>
      <c r="G1940" s="2">
        <v>15.2349</v>
      </c>
      <c r="H1940" s="2">
        <v>21.5748</v>
      </c>
      <c r="I1940" s="2">
        <v>0</v>
      </c>
      <c r="J1940" s="2">
        <v>0</v>
      </c>
    </row>
    <row r="1941" spans="1:10">
      <c r="A1941" s="2" t="s">
        <v>148</v>
      </c>
      <c r="B1941" s="2" t="s">
        <v>101</v>
      </c>
      <c r="C1941" s="2">
        <v>0.121055</v>
      </c>
      <c r="D1941" s="60">
        <v>0</v>
      </c>
      <c r="E1941" s="2">
        <v>12.3</v>
      </c>
      <c r="F1941" s="2">
        <v>2</v>
      </c>
      <c r="G1941" s="2">
        <v>21.5748</v>
      </c>
      <c r="H1941" s="2">
        <v>30.175999999999998</v>
      </c>
      <c r="I1941" s="2">
        <v>0</v>
      </c>
      <c r="J1941" s="2">
        <v>0</v>
      </c>
    </row>
    <row r="1942" spans="1:10">
      <c r="A1942" s="2" t="s">
        <v>148</v>
      </c>
      <c r="B1942" s="2" t="s">
        <v>59</v>
      </c>
      <c r="C1942" s="2">
        <v>0.35071400000000003</v>
      </c>
      <c r="D1942" s="60">
        <v>35.071399999999997</v>
      </c>
      <c r="E1942" s="2">
        <v>8.3000000000000007</v>
      </c>
      <c r="F1942" s="2">
        <v>4</v>
      </c>
      <c r="G1942" s="2">
        <v>30.175999999999998</v>
      </c>
      <c r="H1942" s="2">
        <v>36.300699999999999</v>
      </c>
      <c r="I1942" s="2">
        <v>0</v>
      </c>
      <c r="J1942" s="2">
        <v>0</v>
      </c>
    </row>
    <row r="1943" spans="1:10">
      <c r="A1943" s="2" t="s">
        <v>148</v>
      </c>
      <c r="B1943" s="2" t="s">
        <v>62</v>
      </c>
      <c r="C1943" s="2">
        <v>0.473499</v>
      </c>
      <c r="D1943" s="60">
        <v>37.879899999999999</v>
      </c>
      <c r="E1943" s="2">
        <v>4.3</v>
      </c>
      <c r="F1943" s="2">
        <v>4</v>
      </c>
      <c r="G1943" s="2">
        <v>36.300699999999999</v>
      </c>
      <c r="H1943" s="2">
        <v>41.164200000000001</v>
      </c>
      <c r="I1943" s="2">
        <v>0</v>
      </c>
      <c r="J1943" s="2">
        <v>0</v>
      </c>
    </row>
    <row r="1944" spans="1:10">
      <c r="A1944" s="2" t="s">
        <v>148</v>
      </c>
      <c r="B1944" s="2" t="s">
        <v>55</v>
      </c>
      <c r="C1944" s="2">
        <v>0.62821000000000005</v>
      </c>
      <c r="D1944" s="60">
        <v>91.090500000000006</v>
      </c>
      <c r="E1944" s="2">
        <v>0.3</v>
      </c>
      <c r="F1944" s="2">
        <v>4</v>
      </c>
      <c r="G1944" s="2">
        <v>41.164200000000001</v>
      </c>
      <c r="H1944" s="2">
        <v>51.591500000000003</v>
      </c>
      <c r="I1944" s="2">
        <v>0</v>
      </c>
      <c r="J1944" s="2">
        <v>0</v>
      </c>
    </row>
    <row r="1945" spans="1:10">
      <c r="A1945" s="2" t="s">
        <v>138</v>
      </c>
      <c r="B1945" s="2">
        <v>4</v>
      </c>
      <c r="C1945" s="2">
        <v>13.7942</v>
      </c>
      <c r="D1945" s="60" t="s">
        <v>129</v>
      </c>
      <c r="E1945" s="2" t="s">
        <v>149</v>
      </c>
    </row>
    <row r="1946" spans="1:10">
      <c r="A1946" s="2" t="s">
        <v>140</v>
      </c>
      <c r="B1946" s="2">
        <v>0</v>
      </c>
      <c r="C1946" s="2">
        <v>45.39</v>
      </c>
      <c r="D1946" s="60">
        <v>25.671600000000002</v>
      </c>
    </row>
    <row r="1947" spans="1:10">
      <c r="A1947" s="2" t="s">
        <v>141</v>
      </c>
      <c r="B1947" s="2">
        <v>0</v>
      </c>
      <c r="C1947" s="2">
        <v>6.2</v>
      </c>
      <c r="D1947" s="60" t="s">
        <v>142</v>
      </c>
    </row>
    <row r="1948" spans="1:10">
      <c r="A1948" s="2" t="s">
        <v>141</v>
      </c>
      <c r="B1948" s="2">
        <v>0</v>
      </c>
      <c r="C1948" s="2">
        <v>13.6</v>
      </c>
      <c r="D1948" s="60" t="s">
        <v>146</v>
      </c>
    </row>
    <row r="1949" spans="1:10">
      <c r="A1949" s="2" t="s">
        <v>141</v>
      </c>
      <c r="B1949" s="2">
        <v>6.2</v>
      </c>
      <c r="C1949" s="2">
        <v>10</v>
      </c>
      <c r="D1949" s="60" t="s">
        <v>144</v>
      </c>
    </row>
    <row r="1950" spans="1:10">
      <c r="A1950" s="2" t="s">
        <v>141</v>
      </c>
      <c r="B1950" s="2">
        <v>10</v>
      </c>
      <c r="C1950" s="2">
        <v>12.9</v>
      </c>
      <c r="D1950" s="60" t="s">
        <v>145</v>
      </c>
    </row>
    <row r="1951" spans="1:10">
      <c r="A1951" s="2" t="s">
        <v>141</v>
      </c>
      <c r="B1951" s="2">
        <v>12.9</v>
      </c>
      <c r="C1951" s="2">
        <v>20.515699999999999</v>
      </c>
      <c r="D1951" s="60" t="s">
        <v>147</v>
      </c>
    </row>
    <row r="1952" spans="1:10">
      <c r="A1952" s="2" t="s">
        <v>141</v>
      </c>
      <c r="B1952" s="2">
        <v>13.6</v>
      </c>
      <c r="C1952" s="2">
        <v>20.515699999999999</v>
      </c>
      <c r="D1952" s="60" t="s">
        <v>161</v>
      </c>
    </row>
    <row r="1953" spans="1:10">
      <c r="A1953" s="2" t="s">
        <v>148</v>
      </c>
      <c r="B1953" s="2" t="s">
        <v>99</v>
      </c>
      <c r="C1953" s="2">
        <v>5.0479599999999999E-2</v>
      </c>
      <c r="D1953" s="60">
        <v>0</v>
      </c>
      <c r="E1953" s="2">
        <v>0</v>
      </c>
      <c r="F1953" s="2">
        <v>0.3</v>
      </c>
      <c r="G1953" s="2">
        <v>45.161999999999999</v>
      </c>
      <c r="H1953" s="2">
        <v>47.5017</v>
      </c>
      <c r="I1953" s="2">
        <v>0</v>
      </c>
      <c r="J1953" s="2">
        <v>0</v>
      </c>
    </row>
    <row r="1954" spans="1:10">
      <c r="A1954" s="2" t="s">
        <v>148</v>
      </c>
      <c r="B1954" s="2" t="s">
        <v>100</v>
      </c>
      <c r="C1954" s="2">
        <v>1.4593E-2</v>
      </c>
      <c r="D1954" s="60">
        <v>0</v>
      </c>
      <c r="E1954" s="2">
        <v>21.2698</v>
      </c>
      <c r="F1954" s="2">
        <v>4.4018100000000002</v>
      </c>
      <c r="G1954" s="2">
        <v>0</v>
      </c>
      <c r="H1954" s="2">
        <v>10</v>
      </c>
      <c r="I1954" s="2">
        <v>0</v>
      </c>
      <c r="J1954" s="2">
        <v>0</v>
      </c>
    </row>
    <row r="1955" spans="1:10">
      <c r="A1955" s="2" t="s">
        <v>148</v>
      </c>
      <c r="B1955" s="2" t="s">
        <v>98</v>
      </c>
      <c r="C1955" s="2">
        <v>4.99152E-2</v>
      </c>
      <c r="D1955" s="60">
        <v>0</v>
      </c>
      <c r="E1955" s="2">
        <v>17.716999999999999</v>
      </c>
      <c r="F1955" s="2">
        <v>3.5528200000000001</v>
      </c>
      <c r="G1955" s="2">
        <v>10</v>
      </c>
      <c r="H1955" s="2">
        <v>16.530200000000001</v>
      </c>
      <c r="I1955" s="2">
        <v>0</v>
      </c>
      <c r="J1955" s="2">
        <v>0</v>
      </c>
    </row>
    <row r="1956" spans="1:10">
      <c r="A1956" s="2" t="s">
        <v>148</v>
      </c>
      <c r="B1956" s="2" t="s">
        <v>101</v>
      </c>
      <c r="C1956" s="2">
        <v>0.19791700000000001</v>
      </c>
      <c r="D1956" s="60">
        <v>0</v>
      </c>
      <c r="E1956" s="2">
        <v>12.3</v>
      </c>
      <c r="F1956" s="2">
        <v>5.4169700000000001</v>
      </c>
      <c r="G1956" s="2">
        <v>16.530200000000001</v>
      </c>
      <c r="H1956" s="2">
        <v>25.9893</v>
      </c>
      <c r="I1956" s="2">
        <v>0</v>
      </c>
      <c r="J1956" s="2">
        <v>0</v>
      </c>
    </row>
    <row r="1957" spans="1:10">
      <c r="A1957" s="2" t="s">
        <v>148</v>
      </c>
      <c r="B1957" s="2" t="s">
        <v>60</v>
      </c>
      <c r="C1957" s="2">
        <v>0.263156</v>
      </c>
      <c r="D1957" s="60">
        <v>23.684100000000001</v>
      </c>
      <c r="E1957" s="2">
        <v>8.3000000000000007</v>
      </c>
      <c r="F1957" s="2">
        <v>4</v>
      </c>
      <c r="G1957" s="2">
        <v>25.9893</v>
      </c>
      <c r="H1957" s="2">
        <v>31.571899999999999</v>
      </c>
      <c r="I1957" s="2">
        <v>0</v>
      </c>
      <c r="J1957" s="2">
        <v>0</v>
      </c>
    </row>
    <row r="1958" spans="1:10">
      <c r="A1958" s="2" t="s">
        <v>148</v>
      </c>
      <c r="B1958" s="2" t="s">
        <v>59</v>
      </c>
      <c r="C1958" s="2">
        <v>0.36013000000000001</v>
      </c>
      <c r="D1958" s="60">
        <v>36.012999999999998</v>
      </c>
      <c r="E1958" s="2">
        <v>4.3</v>
      </c>
      <c r="F1958" s="2">
        <v>4</v>
      </c>
      <c r="G1958" s="2">
        <v>31.571899999999999</v>
      </c>
      <c r="H1958" s="2">
        <v>35.966200000000001</v>
      </c>
      <c r="I1958" s="2">
        <v>0</v>
      </c>
      <c r="J1958" s="2">
        <v>0</v>
      </c>
    </row>
    <row r="1959" spans="1:10">
      <c r="A1959" s="2" t="s">
        <v>148</v>
      </c>
      <c r="B1959" s="2" t="s">
        <v>56</v>
      </c>
      <c r="C1959" s="2">
        <v>0.48023700000000002</v>
      </c>
      <c r="D1959" s="60">
        <v>67.233199999999997</v>
      </c>
      <c r="E1959" s="2">
        <v>0.3</v>
      </c>
      <c r="F1959" s="2">
        <v>4</v>
      </c>
      <c r="G1959" s="2">
        <v>35.966200000000001</v>
      </c>
      <c r="H1959" s="2">
        <v>45.161999999999999</v>
      </c>
      <c r="I1959" s="2">
        <v>0</v>
      </c>
      <c r="J1959" s="2">
        <v>0</v>
      </c>
    </row>
    <row r="1960" spans="1:10">
      <c r="A1960" s="2" t="s">
        <v>138</v>
      </c>
      <c r="B1960" s="2">
        <v>5</v>
      </c>
      <c r="C1960" s="2">
        <v>13.9458</v>
      </c>
      <c r="D1960" s="60" t="s">
        <v>129</v>
      </c>
      <c r="E1960" s="2" t="s">
        <v>139</v>
      </c>
    </row>
    <row r="1961" spans="1:10">
      <c r="A1961" s="2" t="s">
        <v>140</v>
      </c>
      <c r="B1961" s="2">
        <v>0</v>
      </c>
      <c r="C1961" s="2">
        <v>49.306600000000003</v>
      </c>
      <c r="D1961" s="60">
        <v>27.787800000000001</v>
      </c>
    </row>
    <row r="1962" spans="1:10">
      <c r="A1962" s="2" t="s">
        <v>141</v>
      </c>
      <c r="B1962" s="2">
        <v>0</v>
      </c>
      <c r="C1962" s="2">
        <v>5</v>
      </c>
      <c r="D1962" s="60" t="s">
        <v>142</v>
      </c>
    </row>
    <row r="1963" spans="1:10">
      <c r="A1963" s="2" t="s">
        <v>141</v>
      </c>
      <c r="B1963" s="2">
        <v>0</v>
      </c>
      <c r="C1963" s="2">
        <v>5</v>
      </c>
      <c r="D1963" s="60" t="s">
        <v>146</v>
      </c>
    </row>
    <row r="1964" spans="1:10">
      <c r="A1964" s="2" t="s">
        <v>141</v>
      </c>
      <c r="B1964" s="2">
        <v>0</v>
      </c>
      <c r="C1964" s="2">
        <v>5</v>
      </c>
      <c r="D1964" s="60" t="s">
        <v>158</v>
      </c>
    </row>
    <row r="1965" spans="1:10">
      <c r="A1965" s="2" t="s">
        <v>141</v>
      </c>
      <c r="B1965" s="2">
        <v>5</v>
      </c>
      <c r="C1965" s="2">
        <v>5.4</v>
      </c>
      <c r="D1965" s="60" t="s">
        <v>147</v>
      </c>
    </row>
    <row r="1966" spans="1:10">
      <c r="A1966" s="2" t="s">
        <v>141</v>
      </c>
      <c r="B1966" s="2">
        <v>5</v>
      </c>
      <c r="C1966" s="2">
        <v>5.4</v>
      </c>
      <c r="D1966" s="60" t="s">
        <v>177</v>
      </c>
    </row>
    <row r="1967" spans="1:10">
      <c r="A1967" s="2" t="s">
        <v>141</v>
      </c>
      <c r="B1967" s="2">
        <v>5</v>
      </c>
      <c r="C1967" s="2">
        <v>6</v>
      </c>
      <c r="D1967" s="60" t="s">
        <v>159</v>
      </c>
    </row>
    <row r="1968" spans="1:10">
      <c r="A1968" s="2" t="s">
        <v>141</v>
      </c>
      <c r="B1968" s="2">
        <v>5.4</v>
      </c>
      <c r="C1968" s="2">
        <v>10</v>
      </c>
      <c r="D1968" s="60" t="s">
        <v>144</v>
      </c>
    </row>
    <row r="1969" spans="1:10">
      <c r="A1969" s="2" t="s">
        <v>141</v>
      </c>
      <c r="B1969" s="2">
        <v>6</v>
      </c>
      <c r="C1969" s="2">
        <v>22.1</v>
      </c>
      <c r="D1969" s="60" t="s">
        <v>146</v>
      </c>
    </row>
    <row r="1970" spans="1:10">
      <c r="A1970" s="2" t="s">
        <v>141</v>
      </c>
      <c r="B1970" s="2">
        <v>10</v>
      </c>
      <c r="C1970" s="2">
        <v>22.1</v>
      </c>
      <c r="D1970" s="60" t="s">
        <v>145</v>
      </c>
    </row>
    <row r="1971" spans="1:10">
      <c r="A1971" s="2" t="s">
        <v>148</v>
      </c>
      <c r="B1971" s="2" t="s">
        <v>99</v>
      </c>
      <c r="C1971" s="2">
        <v>5.8830500000000001E-2</v>
      </c>
      <c r="D1971" s="60">
        <v>0</v>
      </c>
      <c r="E1971" s="2">
        <v>0</v>
      </c>
      <c r="F1971" s="2">
        <v>0.3</v>
      </c>
      <c r="G1971" s="2">
        <v>48.835099999999997</v>
      </c>
      <c r="H1971" s="2">
        <v>51.186399999999999</v>
      </c>
      <c r="I1971" s="2">
        <v>0</v>
      </c>
      <c r="J1971" s="2">
        <v>0</v>
      </c>
    </row>
    <row r="1972" spans="1:10">
      <c r="A1972" s="2" t="s">
        <v>148</v>
      </c>
      <c r="B1972" s="2" t="s">
        <v>100</v>
      </c>
      <c r="C1972" s="2">
        <v>1.46052E-2</v>
      </c>
      <c r="D1972" s="60">
        <v>0</v>
      </c>
      <c r="E1972" s="2">
        <v>23.463799999999999</v>
      </c>
      <c r="F1972" s="2">
        <v>4.3239299999999998</v>
      </c>
      <c r="G1972" s="2">
        <v>0</v>
      </c>
      <c r="H1972" s="2">
        <v>10</v>
      </c>
      <c r="I1972" s="2">
        <v>0</v>
      </c>
      <c r="J1972" s="2">
        <v>0</v>
      </c>
    </row>
    <row r="1973" spans="1:10">
      <c r="A1973" s="2" t="s">
        <v>148</v>
      </c>
      <c r="B1973" s="2" t="s">
        <v>98</v>
      </c>
      <c r="C1973" s="2">
        <v>0.192773</v>
      </c>
      <c r="D1973" s="60">
        <v>0</v>
      </c>
      <c r="E1973" s="2">
        <v>15.5871</v>
      </c>
      <c r="F1973" s="2">
        <v>7.8766800000000003</v>
      </c>
      <c r="G1973" s="2">
        <v>10</v>
      </c>
      <c r="H1973" s="2">
        <v>24.2698</v>
      </c>
      <c r="I1973" s="2">
        <v>0</v>
      </c>
      <c r="J1973" s="2">
        <v>0</v>
      </c>
    </row>
    <row r="1974" spans="1:10">
      <c r="A1974" s="2" t="s">
        <v>148</v>
      </c>
      <c r="B1974" s="2" t="s">
        <v>101</v>
      </c>
      <c r="C1974" s="2">
        <v>8.1808800000000001E-2</v>
      </c>
      <c r="D1974" s="60">
        <v>0</v>
      </c>
      <c r="E1974" s="2">
        <v>14</v>
      </c>
      <c r="F1974" s="2">
        <v>1.58714</v>
      </c>
      <c r="G1974" s="2">
        <v>24.2698</v>
      </c>
      <c r="H1974" s="2">
        <v>26.915900000000001</v>
      </c>
      <c r="I1974" s="2">
        <v>0</v>
      </c>
      <c r="J1974" s="2">
        <v>0</v>
      </c>
    </row>
    <row r="1975" spans="1:10">
      <c r="A1975" s="2" t="s">
        <v>148</v>
      </c>
      <c r="B1975" s="2" t="s">
        <v>60</v>
      </c>
      <c r="C1975" s="2">
        <v>0.282445</v>
      </c>
      <c r="D1975" s="60">
        <v>25.420100000000001</v>
      </c>
      <c r="E1975" s="2">
        <v>10</v>
      </c>
      <c r="F1975" s="2">
        <v>4</v>
      </c>
      <c r="G1975" s="2">
        <v>26.915900000000001</v>
      </c>
      <c r="H1975" s="2">
        <v>32.744700000000002</v>
      </c>
      <c r="I1975" s="2">
        <v>0</v>
      </c>
      <c r="J1975" s="2">
        <v>0</v>
      </c>
    </row>
    <row r="1976" spans="1:10">
      <c r="A1976" s="2" t="s">
        <v>148</v>
      </c>
      <c r="B1976" s="2" t="s">
        <v>59</v>
      </c>
      <c r="C1976" s="2">
        <v>0.38849099999999998</v>
      </c>
      <c r="D1976" s="60">
        <v>38.8491</v>
      </c>
      <c r="E1976" s="2">
        <v>6</v>
      </c>
      <c r="F1976" s="2">
        <v>4</v>
      </c>
      <c r="G1976" s="2">
        <v>32.744700000000002</v>
      </c>
      <c r="H1976" s="2">
        <v>37.363700000000001</v>
      </c>
      <c r="I1976" s="2">
        <v>0</v>
      </c>
      <c r="J1976" s="2">
        <v>0</v>
      </c>
    </row>
    <row r="1977" spans="1:10">
      <c r="A1977" s="2" t="s">
        <v>148</v>
      </c>
      <c r="B1977" s="2" t="s">
        <v>101</v>
      </c>
      <c r="C1977" s="2">
        <v>0.19531999999999999</v>
      </c>
      <c r="D1977" s="60">
        <v>0</v>
      </c>
      <c r="E1977" s="2">
        <v>4.3</v>
      </c>
      <c r="F1977" s="2">
        <v>1.7</v>
      </c>
      <c r="G1977" s="2">
        <v>37.363700000000001</v>
      </c>
      <c r="H1977" s="2">
        <v>39.128100000000003</v>
      </c>
      <c r="I1977" s="2">
        <v>0</v>
      </c>
      <c r="J1977" s="2">
        <v>0</v>
      </c>
    </row>
    <row r="1978" spans="1:10">
      <c r="A1978" s="2" t="s">
        <v>148</v>
      </c>
      <c r="B1978" s="2" t="s">
        <v>56</v>
      </c>
      <c r="C1978" s="2">
        <v>0.56599600000000005</v>
      </c>
      <c r="D1978" s="60">
        <v>79.239500000000007</v>
      </c>
      <c r="E1978" s="2">
        <v>0.3</v>
      </c>
      <c r="F1978" s="2">
        <v>4</v>
      </c>
      <c r="G1978" s="2">
        <v>39.128100000000003</v>
      </c>
      <c r="H1978" s="2">
        <v>48.835099999999997</v>
      </c>
      <c r="I1978" s="2">
        <v>0</v>
      </c>
      <c r="J1978" s="2">
        <v>0</v>
      </c>
    </row>
    <row r="1979" spans="1:10">
      <c r="A1979" s="2" t="s">
        <v>138</v>
      </c>
      <c r="B1979" s="2">
        <v>6</v>
      </c>
      <c r="C1979" s="2">
        <v>14.135400000000001</v>
      </c>
      <c r="D1979" s="60" t="s">
        <v>129</v>
      </c>
      <c r="E1979" s="2" t="s">
        <v>149</v>
      </c>
    </row>
    <row r="1980" spans="1:10">
      <c r="A1980" s="2" t="s">
        <v>140</v>
      </c>
      <c r="B1980" s="2">
        <v>0</v>
      </c>
      <c r="C1980" s="2">
        <v>65.270799999999994</v>
      </c>
      <c r="D1980" s="60">
        <v>27.173300000000001</v>
      </c>
    </row>
    <row r="1981" spans="1:10">
      <c r="A1981" s="2" t="s">
        <v>141</v>
      </c>
      <c r="B1981" s="2">
        <v>0</v>
      </c>
      <c r="C1981" s="2">
        <v>0.5</v>
      </c>
      <c r="D1981" s="60" t="s">
        <v>157</v>
      </c>
    </row>
    <row r="1982" spans="1:10">
      <c r="A1982" s="2" t="s">
        <v>141</v>
      </c>
      <c r="B1982" s="2">
        <v>0</v>
      </c>
      <c r="C1982" s="2">
        <v>6.3</v>
      </c>
      <c r="D1982" s="60" t="s">
        <v>142</v>
      </c>
    </row>
    <row r="1983" spans="1:10">
      <c r="A1983" s="2" t="s">
        <v>141</v>
      </c>
      <c r="B1983" s="2">
        <v>0</v>
      </c>
      <c r="C1983" s="2">
        <v>13.2</v>
      </c>
      <c r="D1983" s="60" t="s">
        <v>146</v>
      </c>
    </row>
    <row r="1984" spans="1:10">
      <c r="A1984" s="2" t="s">
        <v>141</v>
      </c>
      <c r="B1984" s="2">
        <v>6.3</v>
      </c>
      <c r="C1984" s="2">
        <v>13</v>
      </c>
      <c r="D1984" s="60" t="s">
        <v>147</v>
      </c>
    </row>
    <row r="1985" spans="1:10">
      <c r="A1985" s="2" t="s">
        <v>141</v>
      </c>
      <c r="B1985" s="2">
        <v>13</v>
      </c>
      <c r="C1985" s="2">
        <v>16</v>
      </c>
      <c r="D1985" s="60" t="s">
        <v>151</v>
      </c>
    </row>
    <row r="1986" spans="1:10">
      <c r="A1986" s="2" t="s">
        <v>141</v>
      </c>
      <c r="B1986" s="2">
        <v>13.2</v>
      </c>
      <c r="C1986" s="2">
        <v>15</v>
      </c>
      <c r="D1986" s="60" t="s">
        <v>152</v>
      </c>
    </row>
    <row r="1987" spans="1:10">
      <c r="A1987" s="2" t="s">
        <v>141</v>
      </c>
      <c r="B1987" s="2">
        <v>15</v>
      </c>
      <c r="C1987" s="2">
        <v>21.64</v>
      </c>
      <c r="D1987" s="60" t="s">
        <v>161</v>
      </c>
    </row>
    <row r="1988" spans="1:10">
      <c r="A1988" s="2" t="s">
        <v>141</v>
      </c>
      <c r="B1988" s="2">
        <v>16</v>
      </c>
      <c r="C1988" s="2">
        <v>21.64</v>
      </c>
      <c r="D1988" s="60" t="s">
        <v>144</v>
      </c>
    </row>
    <row r="1989" spans="1:10">
      <c r="A1989" s="2" t="s">
        <v>148</v>
      </c>
      <c r="B1989" s="2" t="s">
        <v>99</v>
      </c>
      <c r="C1989" s="2">
        <v>9.7079499999999999E-2</v>
      </c>
      <c r="D1989" s="60">
        <v>0</v>
      </c>
      <c r="E1989" s="2">
        <v>0</v>
      </c>
      <c r="F1989" s="2">
        <v>0.3</v>
      </c>
      <c r="G1989" s="2">
        <v>62.7042</v>
      </c>
      <c r="H1989" s="2">
        <v>65.786500000000004</v>
      </c>
      <c r="I1989" s="2">
        <v>0</v>
      </c>
      <c r="J1989" s="2">
        <v>0</v>
      </c>
    </row>
    <row r="1990" spans="1:10">
      <c r="A1990" s="2" t="s">
        <v>148</v>
      </c>
      <c r="B1990" s="2" t="s">
        <v>100</v>
      </c>
      <c r="C1990" s="2">
        <v>1.0635800000000001E-2</v>
      </c>
      <c r="D1990" s="60">
        <v>0</v>
      </c>
      <c r="E1990" s="2">
        <v>24.203299999999999</v>
      </c>
      <c r="F1990" s="2">
        <v>2.97004</v>
      </c>
      <c r="G1990" s="2">
        <v>0</v>
      </c>
      <c r="H1990" s="2">
        <v>10.000299999999999</v>
      </c>
      <c r="I1990" s="2">
        <v>0</v>
      </c>
      <c r="J1990" s="2">
        <v>0</v>
      </c>
    </row>
    <row r="1991" spans="1:10">
      <c r="A1991" s="2" t="s">
        <v>148</v>
      </c>
      <c r="B1991" s="2" t="s">
        <v>98</v>
      </c>
      <c r="C1991" s="2">
        <v>0.103926</v>
      </c>
      <c r="D1991" s="60">
        <v>0</v>
      </c>
      <c r="E1991" s="2">
        <v>19.170100000000001</v>
      </c>
      <c r="F1991" s="2">
        <v>5.0331999999999999</v>
      </c>
      <c r="G1991" s="2">
        <v>10.000299999999999</v>
      </c>
      <c r="H1991" s="2">
        <v>21.878699999999998</v>
      </c>
      <c r="I1991" s="2">
        <v>0</v>
      </c>
      <c r="J1991" s="2">
        <v>0</v>
      </c>
    </row>
    <row r="1992" spans="1:10">
      <c r="A1992" s="2" t="s">
        <v>148</v>
      </c>
      <c r="B1992" s="2" t="s">
        <v>101</v>
      </c>
      <c r="C1992" s="2">
        <v>0.50551000000000001</v>
      </c>
      <c r="D1992" s="60">
        <v>0</v>
      </c>
      <c r="E1992" s="2">
        <v>12.2</v>
      </c>
      <c r="F1992" s="2">
        <v>6.9700899999999999</v>
      </c>
      <c r="G1992" s="2">
        <v>21.878699999999998</v>
      </c>
      <c r="H1992" s="2">
        <v>37.640999999999998</v>
      </c>
      <c r="I1992" s="2">
        <v>0</v>
      </c>
      <c r="J1992" s="2">
        <v>0</v>
      </c>
    </row>
    <row r="1993" spans="1:10">
      <c r="A1993" s="2" t="s">
        <v>148</v>
      </c>
      <c r="B1993" s="2" t="s">
        <v>59</v>
      </c>
      <c r="C1993" s="2">
        <v>0.87113799999999997</v>
      </c>
      <c r="D1993" s="60">
        <v>87.113799999999998</v>
      </c>
      <c r="E1993" s="2">
        <v>6.2</v>
      </c>
      <c r="F1993" s="2">
        <v>6</v>
      </c>
      <c r="G1993" s="2">
        <v>37.640999999999998</v>
      </c>
      <c r="H1993" s="2">
        <v>47.562199999999997</v>
      </c>
      <c r="I1993" s="2">
        <v>0</v>
      </c>
      <c r="J1993" s="2">
        <v>0</v>
      </c>
    </row>
    <row r="1994" spans="1:10">
      <c r="A1994" s="2" t="s">
        <v>148</v>
      </c>
      <c r="B1994" s="2" t="s">
        <v>55</v>
      </c>
      <c r="C1994" s="2">
        <v>1.28738</v>
      </c>
      <c r="D1994" s="60">
        <v>186.67099999999999</v>
      </c>
      <c r="E1994" s="2">
        <v>0.3</v>
      </c>
      <c r="F1994" s="2">
        <v>5.9</v>
      </c>
      <c r="G1994" s="2">
        <v>47.562199999999997</v>
      </c>
      <c r="H1994" s="2">
        <v>62.7042</v>
      </c>
      <c r="I1994" s="2">
        <v>0</v>
      </c>
      <c r="J1994" s="2">
        <v>0</v>
      </c>
    </row>
    <row r="1995" spans="1:10">
      <c r="A1995" s="2" t="s">
        <v>138</v>
      </c>
      <c r="B1995" s="2">
        <v>7</v>
      </c>
      <c r="C1995" s="2">
        <v>13.998699999999999</v>
      </c>
      <c r="D1995" s="60" t="s">
        <v>129</v>
      </c>
      <c r="E1995" s="2" t="s">
        <v>139</v>
      </c>
    </row>
    <row r="1996" spans="1:10">
      <c r="A1996" s="2" t="s">
        <v>140</v>
      </c>
      <c r="B1996" s="2">
        <v>0</v>
      </c>
      <c r="C1996" s="2">
        <v>50.883000000000003</v>
      </c>
      <c r="D1996" s="60">
        <v>29.1235</v>
      </c>
    </row>
    <row r="1997" spans="1:10">
      <c r="A1997" s="2" t="s">
        <v>141</v>
      </c>
      <c r="B1997" s="2">
        <v>0</v>
      </c>
      <c r="C1997" s="2">
        <v>6</v>
      </c>
      <c r="D1997" s="60" t="s">
        <v>142</v>
      </c>
    </row>
    <row r="1998" spans="1:10">
      <c r="A1998" s="2" t="s">
        <v>141</v>
      </c>
      <c r="B1998" s="2">
        <v>0</v>
      </c>
      <c r="C1998" s="2">
        <v>23.1</v>
      </c>
      <c r="D1998" s="60" t="s">
        <v>146</v>
      </c>
    </row>
    <row r="1999" spans="1:10">
      <c r="A1999" s="2" t="s">
        <v>141</v>
      </c>
      <c r="B1999" s="2">
        <v>6</v>
      </c>
      <c r="C1999" s="2">
        <v>9.9</v>
      </c>
      <c r="D1999" s="60" t="s">
        <v>144</v>
      </c>
    </row>
    <row r="2000" spans="1:10">
      <c r="A2000" s="2" t="s">
        <v>141</v>
      </c>
      <c r="B2000" s="2">
        <v>9.9</v>
      </c>
      <c r="C2000" s="2">
        <v>14.7</v>
      </c>
      <c r="D2000" s="60" t="s">
        <v>145</v>
      </c>
    </row>
    <row r="2001" spans="1:10">
      <c r="A2001" s="2" t="s">
        <v>141</v>
      </c>
      <c r="B2001" s="2">
        <v>14.7</v>
      </c>
      <c r="C2001" s="2">
        <v>23.1</v>
      </c>
      <c r="D2001" s="60" t="s">
        <v>144</v>
      </c>
    </row>
    <row r="2002" spans="1:10">
      <c r="A2002" s="2" t="s">
        <v>148</v>
      </c>
      <c r="B2002" s="2" t="s">
        <v>99</v>
      </c>
      <c r="C2002" s="2">
        <v>6.2425700000000001E-2</v>
      </c>
      <c r="D2002" s="60">
        <v>0</v>
      </c>
      <c r="E2002" s="2">
        <v>0</v>
      </c>
      <c r="F2002" s="2">
        <v>0.3</v>
      </c>
      <c r="G2002" s="2">
        <v>50.351999999999997</v>
      </c>
      <c r="H2002" s="2">
        <v>52.672800000000002</v>
      </c>
      <c r="I2002" s="2">
        <v>0</v>
      </c>
      <c r="J2002" s="2">
        <v>0</v>
      </c>
    </row>
    <row r="2003" spans="1:10">
      <c r="A2003" s="2" t="s">
        <v>148</v>
      </c>
      <c r="B2003" s="2" t="s">
        <v>100</v>
      </c>
      <c r="C2003" s="2">
        <v>1.48398E-2</v>
      </c>
      <c r="D2003" s="60">
        <v>0</v>
      </c>
      <c r="E2003" s="2">
        <v>24.761099999999999</v>
      </c>
      <c r="F2003" s="2">
        <v>4.3623900000000004</v>
      </c>
      <c r="G2003" s="2">
        <v>0</v>
      </c>
      <c r="H2003" s="2">
        <v>10</v>
      </c>
      <c r="I2003" s="2">
        <v>0</v>
      </c>
      <c r="J2003" s="2">
        <v>0</v>
      </c>
    </row>
    <row r="2004" spans="1:10">
      <c r="A2004" s="2" t="s">
        <v>148</v>
      </c>
      <c r="B2004" s="2" t="s">
        <v>98</v>
      </c>
      <c r="C2004" s="2">
        <v>5.4861100000000003E-2</v>
      </c>
      <c r="D2004" s="60">
        <v>0</v>
      </c>
      <c r="E2004" s="2">
        <v>20.935300000000002</v>
      </c>
      <c r="F2004" s="2">
        <v>3.82579</v>
      </c>
      <c r="G2004" s="2">
        <v>10</v>
      </c>
      <c r="H2004" s="2">
        <v>16.808599999999998</v>
      </c>
      <c r="I2004" s="2">
        <v>0</v>
      </c>
      <c r="J2004" s="2">
        <v>0</v>
      </c>
    </row>
    <row r="2005" spans="1:10">
      <c r="A2005" s="2" t="s">
        <v>148</v>
      </c>
      <c r="B2005" s="2" t="s">
        <v>101</v>
      </c>
      <c r="C2005" s="2">
        <v>3.7050600000000003E-2</v>
      </c>
      <c r="D2005" s="60">
        <v>0</v>
      </c>
      <c r="E2005" s="2">
        <v>19.5</v>
      </c>
      <c r="F2005" s="2">
        <v>1.4352799999999999</v>
      </c>
      <c r="G2005" s="2">
        <v>16.808599999999998</v>
      </c>
      <c r="H2005" s="2">
        <v>19.4161</v>
      </c>
      <c r="I2005" s="2">
        <v>0</v>
      </c>
      <c r="J2005" s="2">
        <v>0</v>
      </c>
    </row>
    <row r="2006" spans="1:10">
      <c r="A2006" s="2" t="s">
        <v>148</v>
      </c>
      <c r="B2006" s="2" t="s">
        <v>61</v>
      </c>
      <c r="C2006" s="2">
        <v>0.166709</v>
      </c>
      <c r="D2006" s="60">
        <v>14.170299999999999</v>
      </c>
      <c r="E2006" s="2">
        <v>15.5</v>
      </c>
      <c r="F2006" s="2">
        <v>4</v>
      </c>
      <c r="G2006" s="2">
        <v>19.4161</v>
      </c>
      <c r="H2006" s="2">
        <v>26.365100000000002</v>
      </c>
      <c r="I2006" s="2">
        <v>0</v>
      </c>
      <c r="J2006" s="2">
        <v>0</v>
      </c>
    </row>
    <row r="2007" spans="1:10">
      <c r="A2007" s="2" t="s">
        <v>148</v>
      </c>
      <c r="B2007" s="2" t="s">
        <v>60</v>
      </c>
      <c r="C2007" s="2">
        <v>0.27357599999999999</v>
      </c>
      <c r="D2007" s="60">
        <v>24.6218</v>
      </c>
      <c r="E2007" s="2">
        <v>11.5</v>
      </c>
      <c r="F2007" s="2">
        <v>4</v>
      </c>
      <c r="G2007" s="2">
        <v>26.365100000000002</v>
      </c>
      <c r="H2007" s="2">
        <v>32.359299999999998</v>
      </c>
      <c r="I2007" s="2">
        <v>0</v>
      </c>
      <c r="J2007" s="2">
        <v>0</v>
      </c>
    </row>
    <row r="2008" spans="1:10">
      <c r="A2008" s="2" t="s">
        <v>148</v>
      </c>
      <c r="B2008" s="2" t="s">
        <v>59</v>
      </c>
      <c r="C2008" s="2">
        <v>0.61199599999999998</v>
      </c>
      <c r="D2008" s="60">
        <v>61.199599999999997</v>
      </c>
      <c r="E2008" s="2">
        <v>5.5</v>
      </c>
      <c r="F2008" s="2">
        <v>6</v>
      </c>
      <c r="G2008" s="2">
        <v>32.359299999999998</v>
      </c>
      <c r="H2008" s="2">
        <v>39.250399999999999</v>
      </c>
      <c r="I2008" s="2">
        <v>0</v>
      </c>
      <c r="J2008" s="2">
        <v>0</v>
      </c>
    </row>
    <row r="2009" spans="1:10">
      <c r="A2009" s="2" t="s">
        <v>148</v>
      </c>
      <c r="B2009" s="2" t="s">
        <v>56</v>
      </c>
      <c r="C2009" s="2">
        <v>0.754328</v>
      </c>
      <c r="D2009" s="60">
        <v>105.60599999999999</v>
      </c>
      <c r="E2009" s="2">
        <v>0.3</v>
      </c>
      <c r="F2009" s="2">
        <v>5.2</v>
      </c>
      <c r="G2009" s="2">
        <v>39.250399999999999</v>
      </c>
      <c r="H2009" s="2">
        <v>50.351999999999997</v>
      </c>
      <c r="I2009" s="2">
        <v>0</v>
      </c>
      <c r="J2009" s="2">
        <v>0</v>
      </c>
    </row>
    <row r="2010" spans="1:10">
      <c r="A2010" s="2" t="s">
        <v>138</v>
      </c>
      <c r="B2010" s="2">
        <v>8</v>
      </c>
      <c r="C2010" s="2">
        <v>13.9536</v>
      </c>
      <c r="D2010" s="60" t="s">
        <v>129</v>
      </c>
      <c r="E2010" s="2" t="s">
        <v>149</v>
      </c>
    </row>
    <row r="2011" spans="1:10">
      <c r="A2011" s="2" t="s">
        <v>140</v>
      </c>
      <c r="B2011" s="2">
        <v>0</v>
      </c>
      <c r="C2011" s="2">
        <v>51.311300000000003</v>
      </c>
      <c r="D2011" s="60">
        <v>26.192299999999999</v>
      </c>
    </row>
    <row r="2012" spans="1:10">
      <c r="A2012" s="2" t="s">
        <v>141</v>
      </c>
      <c r="B2012" s="2">
        <v>0</v>
      </c>
      <c r="C2012" s="2">
        <v>1.4</v>
      </c>
      <c r="D2012" s="60" t="s">
        <v>155</v>
      </c>
    </row>
    <row r="2013" spans="1:10">
      <c r="A2013" s="2" t="s">
        <v>141</v>
      </c>
      <c r="B2013" s="2">
        <v>0</v>
      </c>
      <c r="C2013" s="2">
        <v>4.9000000000000004</v>
      </c>
      <c r="D2013" s="60" t="s">
        <v>142</v>
      </c>
    </row>
    <row r="2014" spans="1:10">
      <c r="A2014" s="2" t="s">
        <v>141</v>
      </c>
      <c r="B2014" s="2">
        <v>1.4</v>
      </c>
      <c r="C2014" s="2">
        <v>4.9000000000000004</v>
      </c>
      <c r="D2014" s="60" t="s">
        <v>146</v>
      </c>
    </row>
    <row r="2015" spans="1:10">
      <c r="A2015" s="2" t="s">
        <v>141</v>
      </c>
      <c r="B2015" s="2">
        <v>4.9000000000000004</v>
      </c>
      <c r="C2015" s="2">
        <v>6.2</v>
      </c>
      <c r="D2015" s="60" t="s">
        <v>161</v>
      </c>
    </row>
    <row r="2016" spans="1:10">
      <c r="A2016" s="2" t="s">
        <v>141</v>
      </c>
      <c r="B2016" s="2">
        <v>4.9000000000000004</v>
      </c>
      <c r="C2016" s="2">
        <v>20.9055</v>
      </c>
      <c r="D2016" s="60" t="s">
        <v>145</v>
      </c>
    </row>
    <row r="2017" spans="1:10">
      <c r="A2017" s="2" t="s">
        <v>141</v>
      </c>
      <c r="B2017" s="2">
        <v>6.2</v>
      </c>
      <c r="C2017" s="2">
        <v>10</v>
      </c>
      <c r="D2017" s="60" t="s">
        <v>152</v>
      </c>
    </row>
    <row r="2018" spans="1:10">
      <c r="A2018" s="2" t="s">
        <v>141</v>
      </c>
      <c r="B2018" s="2">
        <v>10</v>
      </c>
      <c r="C2018" s="2">
        <v>10.5</v>
      </c>
      <c r="D2018" s="60" t="s">
        <v>159</v>
      </c>
    </row>
    <row r="2019" spans="1:10">
      <c r="A2019" s="2" t="s">
        <v>141</v>
      </c>
      <c r="B2019" s="2">
        <v>10.5</v>
      </c>
      <c r="C2019" s="2">
        <v>20.9055</v>
      </c>
      <c r="D2019" s="60" t="s">
        <v>152</v>
      </c>
    </row>
    <row r="2020" spans="1:10">
      <c r="A2020" s="2" t="s">
        <v>148</v>
      </c>
      <c r="B2020" s="2" t="s">
        <v>99</v>
      </c>
      <c r="C2020" s="2">
        <v>6.2951499999999994E-2</v>
      </c>
      <c r="D2020" s="60">
        <v>0</v>
      </c>
      <c r="E2020" s="2">
        <v>0</v>
      </c>
      <c r="F2020" s="2">
        <v>0.3</v>
      </c>
      <c r="G2020" s="2">
        <v>50.454999999999998</v>
      </c>
      <c r="H2020" s="2">
        <v>53.020899999999997</v>
      </c>
      <c r="I2020" s="2">
        <v>0</v>
      </c>
      <c r="J2020" s="2">
        <v>0</v>
      </c>
    </row>
    <row r="2021" spans="1:10">
      <c r="A2021" s="2" t="s">
        <v>148</v>
      </c>
      <c r="B2021" s="2" t="s">
        <v>100</v>
      </c>
      <c r="C2021" s="2">
        <v>1.32502E-2</v>
      </c>
      <c r="D2021" s="60">
        <v>0</v>
      </c>
      <c r="E2021" s="2">
        <v>22.3035</v>
      </c>
      <c r="F2021" s="2">
        <v>3.8887999999999998</v>
      </c>
      <c r="G2021" s="2">
        <v>0</v>
      </c>
      <c r="H2021" s="2">
        <v>10</v>
      </c>
      <c r="I2021" s="2">
        <v>0</v>
      </c>
      <c r="J2021" s="2">
        <v>0</v>
      </c>
    </row>
    <row r="2022" spans="1:10">
      <c r="A2022" s="2" t="s">
        <v>148</v>
      </c>
      <c r="B2022" s="2" t="s">
        <v>64</v>
      </c>
      <c r="C2022" s="2">
        <v>0.11856999999999999</v>
      </c>
      <c r="D2022" s="60">
        <v>3.5571000000000002</v>
      </c>
      <c r="E2022" s="2">
        <v>16.5</v>
      </c>
      <c r="F2022" s="2">
        <v>5.8</v>
      </c>
      <c r="G2022" s="2">
        <v>10.006600000000001</v>
      </c>
      <c r="H2022" s="2">
        <v>21.627700000000001</v>
      </c>
      <c r="I2022" s="2">
        <v>0</v>
      </c>
      <c r="J2022" s="2">
        <v>0</v>
      </c>
    </row>
    <row r="2023" spans="1:10">
      <c r="A2023" s="2" t="s">
        <v>148</v>
      </c>
      <c r="B2023" s="2" t="s">
        <v>64</v>
      </c>
      <c r="C2023" s="2">
        <v>0.35363</v>
      </c>
      <c r="D2023" s="60">
        <v>10.6089</v>
      </c>
      <c r="E2023" s="2">
        <v>10.5</v>
      </c>
      <c r="F2023" s="2">
        <v>6</v>
      </c>
      <c r="G2023" s="2">
        <v>21.627700000000001</v>
      </c>
      <c r="H2023" s="2">
        <v>32.334000000000003</v>
      </c>
      <c r="I2023" s="2">
        <v>0</v>
      </c>
      <c r="J2023" s="2">
        <v>0</v>
      </c>
    </row>
    <row r="2024" spans="1:10">
      <c r="A2024" s="2" t="s">
        <v>148</v>
      </c>
      <c r="B2024" s="2" t="s">
        <v>101</v>
      </c>
      <c r="C2024" s="2">
        <v>4.2022299999999999E-2</v>
      </c>
      <c r="D2024" s="60">
        <v>0</v>
      </c>
      <c r="E2024" s="2">
        <v>10</v>
      </c>
      <c r="F2024" s="2">
        <v>0.5</v>
      </c>
      <c r="G2024" s="2">
        <v>32.334000000000003</v>
      </c>
      <c r="H2024" s="2">
        <v>33.085000000000001</v>
      </c>
      <c r="I2024" s="2">
        <v>0</v>
      </c>
      <c r="J2024" s="2">
        <v>0</v>
      </c>
    </row>
    <row r="2025" spans="1:10">
      <c r="A2025" s="2" t="s">
        <v>148</v>
      </c>
      <c r="B2025" s="2" t="s">
        <v>64</v>
      </c>
      <c r="C2025" s="2">
        <v>0.38050299999999998</v>
      </c>
      <c r="D2025" s="60">
        <v>11.415100000000001</v>
      </c>
      <c r="E2025" s="2">
        <v>6.2</v>
      </c>
      <c r="F2025" s="2">
        <v>3.8</v>
      </c>
      <c r="G2025" s="2">
        <v>33.085000000000001</v>
      </c>
      <c r="H2025" s="2">
        <v>38.071899999999999</v>
      </c>
      <c r="I2025" s="2">
        <v>0</v>
      </c>
      <c r="J2025" s="2">
        <v>0</v>
      </c>
    </row>
    <row r="2026" spans="1:10">
      <c r="A2026" s="2" t="s">
        <v>148</v>
      </c>
      <c r="B2026" s="2" t="s">
        <v>101</v>
      </c>
      <c r="C2026" s="2">
        <v>0.228932</v>
      </c>
      <c r="D2026" s="60">
        <v>0</v>
      </c>
      <c r="E2026" s="2">
        <v>4.3</v>
      </c>
      <c r="F2026" s="2">
        <v>1.9</v>
      </c>
      <c r="G2026" s="2">
        <v>38.071899999999999</v>
      </c>
      <c r="H2026" s="2">
        <v>40.244999999999997</v>
      </c>
      <c r="I2026" s="2">
        <v>0</v>
      </c>
      <c r="J2026" s="2">
        <v>0</v>
      </c>
    </row>
    <row r="2027" spans="1:10">
      <c r="A2027" s="2" t="s">
        <v>148</v>
      </c>
      <c r="B2027" s="2" t="s">
        <v>62</v>
      </c>
      <c r="C2027" s="2">
        <v>0.60060100000000005</v>
      </c>
      <c r="D2027" s="60">
        <v>48.048099999999998</v>
      </c>
      <c r="E2027" s="2">
        <v>0.3</v>
      </c>
      <c r="F2027" s="2">
        <v>4</v>
      </c>
      <c r="G2027" s="2">
        <v>40.244999999999997</v>
      </c>
      <c r="H2027" s="2">
        <v>50.454999999999998</v>
      </c>
      <c r="I2027" s="2">
        <v>0</v>
      </c>
      <c r="J2027" s="2">
        <v>0</v>
      </c>
    </row>
    <row r="2028" spans="1:10">
      <c r="A2028" s="2" t="s">
        <v>138</v>
      </c>
      <c r="B2028" s="2">
        <v>9</v>
      </c>
      <c r="C2028" s="2">
        <v>13.973599999999999</v>
      </c>
      <c r="D2028" s="60" t="s">
        <v>129</v>
      </c>
      <c r="E2028" s="2" t="s">
        <v>149</v>
      </c>
    </row>
    <row r="2029" spans="1:10">
      <c r="A2029" s="2" t="s">
        <v>140</v>
      </c>
      <c r="B2029" s="2">
        <v>0</v>
      </c>
      <c r="C2029" s="2">
        <v>52.3078</v>
      </c>
      <c r="D2029" s="60">
        <v>26.273099999999999</v>
      </c>
    </row>
    <row r="2030" spans="1:10">
      <c r="A2030" s="2" t="s">
        <v>141</v>
      </c>
      <c r="B2030" s="2">
        <v>0</v>
      </c>
      <c r="C2030" s="2">
        <v>6.5</v>
      </c>
      <c r="D2030" s="60" t="s">
        <v>142</v>
      </c>
    </row>
    <row r="2031" spans="1:10">
      <c r="A2031" s="2" t="s">
        <v>141</v>
      </c>
      <c r="B2031" s="2">
        <v>0</v>
      </c>
      <c r="C2031" s="2">
        <v>11.5</v>
      </c>
      <c r="D2031" s="60" t="s">
        <v>158</v>
      </c>
    </row>
    <row r="2032" spans="1:10">
      <c r="A2032" s="2" t="s">
        <v>141</v>
      </c>
      <c r="B2032" s="2">
        <v>0</v>
      </c>
      <c r="C2032" s="2">
        <v>12</v>
      </c>
      <c r="D2032" s="60" t="s">
        <v>146</v>
      </c>
    </row>
    <row r="2033" spans="1:10">
      <c r="A2033" s="2" t="s">
        <v>141</v>
      </c>
      <c r="B2033" s="2">
        <v>6.5</v>
      </c>
      <c r="C2033" s="2">
        <v>10.8</v>
      </c>
      <c r="D2033" s="60" t="s">
        <v>147</v>
      </c>
    </row>
    <row r="2034" spans="1:10">
      <c r="A2034" s="2" t="s">
        <v>141</v>
      </c>
      <c r="B2034" s="2">
        <v>10.8</v>
      </c>
      <c r="C2034" s="2">
        <v>12</v>
      </c>
      <c r="D2034" s="60" t="s">
        <v>151</v>
      </c>
    </row>
    <row r="2035" spans="1:10">
      <c r="A2035" s="2" t="s">
        <v>141</v>
      </c>
      <c r="B2035" s="2">
        <v>11.5</v>
      </c>
      <c r="C2035" s="2">
        <v>11.8</v>
      </c>
      <c r="D2035" s="60" t="s">
        <v>160</v>
      </c>
    </row>
    <row r="2036" spans="1:10">
      <c r="A2036" s="2" t="s">
        <v>141</v>
      </c>
      <c r="B2036" s="2">
        <v>12</v>
      </c>
      <c r="C2036" s="2">
        <v>12.3</v>
      </c>
      <c r="D2036" s="60" t="s">
        <v>154</v>
      </c>
    </row>
    <row r="2037" spans="1:10">
      <c r="A2037" s="2" t="s">
        <v>141</v>
      </c>
      <c r="B2037" s="2">
        <v>12</v>
      </c>
      <c r="C2037" s="2">
        <v>13.9</v>
      </c>
      <c r="D2037" s="60" t="s">
        <v>152</v>
      </c>
    </row>
    <row r="2038" spans="1:10">
      <c r="A2038" s="2" t="s">
        <v>141</v>
      </c>
      <c r="B2038" s="2">
        <v>12</v>
      </c>
      <c r="C2038" s="2">
        <v>20.966000000000001</v>
      </c>
      <c r="D2038" s="60" t="s">
        <v>144</v>
      </c>
    </row>
    <row r="2039" spans="1:10">
      <c r="A2039" s="2" t="s">
        <v>141</v>
      </c>
      <c r="B2039" s="2">
        <v>13.9</v>
      </c>
      <c r="C2039" s="2">
        <v>20.966000000000001</v>
      </c>
      <c r="D2039" s="60" t="s">
        <v>161</v>
      </c>
    </row>
    <row r="2040" spans="1:10">
      <c r="A2040" s="2" t="s">
        <v>156</v>
      </c>
      <c r="B2040" s="2">
        <v>12</v>
      </c>
      <c r="C2040" s="2">
        <v>28.7194</v>
      </c>
    </row>
    <row r="2041" spans="1:10">
      <c r="A2041" s="2" t="s">
        <v>148</v>
      </c>
      <c r="B2041" s="2" t="s">
        <v>99</v>
      </c>
      <c r="C2041" s="2">
        <v>6.5169900000000003E-2</v>
      </c>
      <c r="D2041" s="60">
        <v>0</v>
      </c>
      <c r="E2041" s="2">
        <v>0</v>
      </c>
      <c r="F2041" s="2">
        <v>0.3</v>
      </c>
      <c r="G2041" s="2">
        <v>51.339599999999997</v>
      </c>
      <c r="H2041" s="2">
        <v>53.943100000000001</v>
      </c>
      <c r="I2041" s="2">
        <v>0</v>
      </c>
      <c r="J2041" s="2">
        <v>0</v>
      </c>
    </row>
    <row r="2042" spans="1:10">
      <c r="A2042" s="2" t="s">
        <v>148</v>
      </c>
      <c r="B2042" s="2" t="s">
        <v>100</v>
      </c>
      <c r="C2042" s="2">
        <v>2.21242E-2</v>
      </c>
      <c r="D2042" s="60">
        <v>0</v>
      </c>
      <c r="E2042" s="2">
        <v>18.938700000000001</v>
      </c>
      <c r="F2042" s="2">
        <v>7.3343400000000001</v>
      </c>
      <c r="G2042" s="2">
        <v>0</v>
      </c>
      <c r="H2042" s="2">
        <v>10</v>
      </c>
      <c r="I2042" s="2">
        <v>0</v>
      </c>
      <c r="J2042" s="2">
        <v>0</v>
      </c>
    </row>
    <row r="2043" spans="1:10">
      <c r="A2043" s="2" t="s">
        <v>148</v>
      </c>
      <c r="B2043" s="2" t="s">
        <v>101</v>
      </c>
      <c r="C2043" s="2">
        <v>0.237873</v>
      </c>
      <c r="D2043" s="60">
        <v>0</v>
      </c>
      <c r="E2043" s="2">
        <v>10.4</v>
      </c>
      <c r="F2043" s="2">
        <v>8.5387199999999996</v>
      </c>
      <c r="G2043" s="2">
        <v>10</v>
      </c>
      <c r="H2043" s="2">
        <v>33.100499999999997</v>
      </c>
      <c r="I2043" s="2">
        <v>0</v>
      </c>
      <c r="J2043" s="2">
        <v>0</v>
      </c>
    </row>
    <row r="2044" spans="1:10">
      <c r="A2044" s="2" t="s">
        <v>148</v>
      </c>
      <c r="B2044" s="2" t="s">
        <v>59</v>
      </c>
      <c r="C2044" s="2">
        <v>0.40618399999999999</v>
      </c>
      <c r="D2044" s="60">
        <v>40.618400000000001</v>
      </c>
      <c r="E2044" s="2">
        <v>6.4</v>
      </c>
      <c r="F2044" s="2">
        <v>4</v>
      </c>
      <c r="G2044" s="2">
        <v>33.100499999999997</v>
      </c>
      <c r="H2044" s="2">
        <v>38.518300000000004</v>
      </c>
      <c r="I2044" s="2">
        <v>0</v>
      </c>
      <c r="J2044" s="2">
        <v>0</v>
      </c>
    </row>
    <row r="2045" spans="1:10">
      <c r="A2045" s="2" t="s">
        <v>148</v>
      </c>
      <c r="B2045" s="2" t="s">
        <v>56</v>
      </c>
      <c r="C2045" s="2">
        <v>0.88267600000000002</v>
      </c>
      <c r="D2045" s="60">
        <v>123.575</v>
      </c>
      <c r="E2045" s="2">
        <v>0.3</v>
      </c>
      <c r="F2045" s="2">
        <v>6.1</v>
      </c>
      <c r="G2045" s="2">
        <v>38.518300000000004</v>
      </c>
      <c r="H2045" s="2">
        <v>51.339599999999997</v>
      </c>
      <c r="I2045" s="2">
        <v>0</v>
      </c>
      <c r="J2045" s="2">
        <v>0</v>
      </c>
    </row>
    <row r="2046" spans="1:10">
      <c r="A2046" s="2" t="s">
        <v>138</v>
      </c>
      <c r="B2046" s="2">
        <v>10</v>
      </c>
      <c r="C2046" s="2">
        <v>14.031499999999999</v>
      </c>
      <c r="D2046" s="60" t="s">
        <v>129</v>
      </c>
      <c r="E2046" s="2" t="s">
        <v>149</v>
      </c>
    </row>
    <row r="2047" spans="1:10">
      <c r="A2047" s="2" t="s">
        <v>140</v>
      </c>
      <c r="B2047" s="2">
        <v>0</v>
      </c>
      <c r="C2047" s="2">
        <v>55.698599999999999</v>
      </c>
      <c r="D2047" s="60">
        <v>26.534500000000001</v>
      </c>
    </row>
    <row r="2048" spans="1:10">
      <c r="A2048" s="2" t="s">
        <v>141</v>
      </c>
      <c r="B2048" s="2">
        <v>0</v>
      </c>
      <c r="C2048" s="2">
        <v>6.5</v>
      </c>
      <c r="D2048" s="60" t="s">
        <v>142</v>
      </c>
    </row>
    <row r="2049" spans="1:10">
      <c r="A2049" s="2" t="s">
        <v>141</v>
      </c>
      <c r="B2049" s="2">
        <v>0</v>
      </c>
      <c r="C2049" s="2">
        <v>12.2</v>
      </c>
      <c r="D2049" s="60" t="s">
        <v>146</v>
      </c>
    </row>
    <row r="2050" spans="1:10">
      <c r="A2050" s="2" t="s">
        <v>141</v>
      </c>
      <c r="B2050" s="2">
        <v>6.5</v>
      </c>
      <c r="C2050" s="2">
        <v>10.3</v>
      </c>
      <c r="D2050" s="60" t="s">
        <v>145</v>
      </c>
    </row>
    <row r="2051" spans="1:10">
      <c r="A2051" s="2" t="s">
        <v>141</v>
      </c>
      <c r="B2051" s="2">
        <v>10.3</v>
      </c>
      <c r="C2051" s="2">
        <v>11</v>
      </c>
      <c r="D2051" s="60" t="s">
        <v>151</v>
      </c>
    </row>
    <row r="2052" spans="1:10">
      <c r="A2052" s="2" t="s">
        <v>141</v>
      </c>
      <c r="B2052" s="2">
        <v>11</v>
      </c>
      <c r="C2052" s="2">
        <v>12.2</v>
      </c>
      <c r="D2052" s="60" t="s">
        <v>147</v>
      </c>
    </row>
    <row r="2053" spans="1:10">
      <c r="A2053" s="2" t="s">
        <v>141</v>
      </c>
      <c r="B2053" s="2">
        <v>12.2</v>
      </c>
      <c r="C2053" s="2">
        <v>12.5</v>
      </c>
      <c r="D2053" s="60" t="s">
        <v>153</v>
      </c>
    </row>
    <row r="2054" spans="1:10">
      <c r="A2054" s="2" t="s">
        <v>141</v>
      </c>
      <c r="B2054" s="2">
        <v>12.2</v>
      </c>
      <c r="C2054" s="2">
        <v>12.5</v>
      </c>
      <c r="D2054" s="60" t="s">
        <v>154</v>
      </c>
    </row>
    <row r="2055" spans="1:10">
      <c r="A2055" s="2" t="s">
        <v>141</v>
      </c>
      <c r="B2055" s="2">
        <v>12.2</v>
      </c>
      <c r="C2055" s="2">
        <v>21.1617</v>
      </c>
      <c r="D2055" s="60" t="s">
        <v>144</v>
      </c>
    </row>
    <row r="2056" spans="1:10">
      <c r="A2056" s="2" t="s">
        <v>141</v>
      </c>
      <c r="B2056" s="2">
        <v>12.2</v>
      </c>
      <c r="C2056" s="2">
        <v>21.1617</v>
      </c>
      <c r="D2056" s="60" t="s">
        <v>152</v>
      </c>
    </row>
    <row r="2057" spans="1:10">
      <c r="A2057" s="2" t="s">
        <v>156</v>
      </c>
      <c r="B2057" s="2">
        <v>12.2</v>
      </c>
      <c r="C2057" s="2">
        <v>35.119</v>
      </c>
    </row>
    <row r="2058" spans="1:10">
      <c r="A2058" s="2" t="s">
        <v>148</v>
      </c>
      <c r="B2058" s="2" t="s">
        <v>99</v>
      </c>
      <c r="C2058" s="2">
        <v>7.2971999999999995E-2</v>
      </c>
      <c r="D2058" s="60">
        <v>0</v>
      </c>
      <c r="E2058" s="2">
        <v>0</v>
      </c>
      <c r="F2058" s="2">
        <v>0.3</v>
      </c>
      <c r="G2058" s="2">
        <v>54.337200000000003</v>
      </c>
      <c r="H2058" s="2">
        <v>57.067599999999999</v>
      </c>
      <c r="I2058" s="2">
        <v>0</v>
      </c>
      <c r="J2058" s="2">
        <v>0</v>
      </c>
    </row>
    <row r="2059" spans="1:10">
      <c r="A2059" s="2" t="s">
        <v>148</v>
      </c>
      <c r="B2059" s="2" t="s">
        <v>100</v>
      </c>
      <c r="C2059" s="2">
        <v>1.8874999999999999E-2</v>
      </c>
      <c r="D2059" s="60">
        <v>0</v>
      </c>
      <c r="E2059" s="2">
        <v>20.5124</v>
      </c>
      <c r="F2059" s="2">
        <v>6.0221099999999996</v>
      </c>
      <c r="G2059" s="2">
        <v>0</v>
      </c>
      <c r="H2059" s="2">
        <v>10</v>
      </c>
      <c r="I2059" s="2">
        <v>0</v>
      </c>
      <c r="J2059" s="2">
        <v>0</v>
      </c>
    </row>
    <row r="2060" spans="1:10">
      <c r="A2060" s="2" t="s">
        <v>148</v>
      </c>
      <c r="B2060" s="2" t="s">
        <v>98</v>
      </c>
      <c r="C2060" s="2">
        <v>0.35964600000000002</v>
      </c>
      <c r="D2060" s="60">
        <v>0</v>
      </c>
      <c r="E2060" s="2">
        <v>10.107799999999999</v>
      </c>
      <c r="F2060" s="2">
        <v>10.4046</v>
      </c>
      <c r="G2060" s="2">
        <v>10</v>
      </c>
      <c r="H2060" s="2">
        <v>35.646099999999997</v>
      </c>
      <c r="I2060" s="2">
        <v>0</v>
      </c>
      <c r="J2060" s="2">
        <v>0</v>
      </c>
    </row>
    <row r="2061" spans="1:10">
      <c r="A2061" s="2" t="s">
        <v>148</v>
      </c>
      <c r="B2061" s="2" t="s">
        <v>101</v>
      </c>
      <c r="C2061" s="2">
        <v>6.22664E-2</v>
      </c>
      <c r="D2061" s="60">
        <v>0</v>
      </c>
      <c r="E2061" s="2">
        <v>9.5</v>
      </c>
      <c r="F2061" s="2">
        <v>0.60775100000000004</v>
      </c>
      <c r="G2061" s="2">
        <v>35.646099999999997</v>
      </c>
      <c r="H2061" s="2">
        <v>36.581000000000003</v>
      </c>
      <c r="I2061" s="2">
        <v>0</v>
      </c>
      <c r="J2061" s="2">
        <v>0</v>
      </c>
    </row>
    <row r="2062" spans="1:10">
      <c r="A2062" s="2" t="s">
        <v>148</v>
      </c>
      <c r="B2062" s="2" t="s">
        <v>59</v>
      </c>
      <c r="C2062" s="2">
        <v>0.48744900000000002</v>
      </c>
      <c r="D2062" s="60">
        <v>48.744900000000001</v>
      </c>
      <c r="E2062" s="2">
        <v>5.5</v>
      </c>
      <c r="F2062" s="2">
        <v>4</v>
      </c>
      <c r="G2062" s="2">
        <v>36.581000000000003</v>
      </c>
      <c r="H2062" s="2">
        <v>41.935499999999998</v>
      </c>
      <c r="I2062" s="2">
        <v>0</v>
      </c>
      <c r="J2062" s="2">
        <v>0</v>
      </c>
    </row>
    <row r="2063" spans="1:10">
      <c r="A2063" s="2" t="s">
        <v>148</v>
      </c>
      <c r="B2063" s="2" t="s">
        <v>55</v>
      </c>
      <c r="C2063" s="2">
        <v>0.86901600000000001</v>
      </c>
      <c r="D2063" s="60">
        <v>126.00700000000001</v>
      </c>
      <c r="E2063" s="2">
        <v>0.3</v>
      </c>
      <c r="F2063" s="2">
        <v>5.2</v>
      </c>
      <c r="G2063" s="2">
        <v>41.935499999999998</v>
      </c>
      <c r="H2063" s="2">
        <v>54.337200000000003</v>
      </c>
      <c r="I2063" s="2">
        <v>0</v>
      </c>
      <c r="J2063" s="2">
        <v>0</v>
      </c>
    </row>
    <row r="2064" spans="1:10">
      <c r="A2064" s="2" t="s">
        <v>140</v>
      </c>
      <c r="B2064" s="2">
        <v>1</v>
      </c>
      <c r="C2064" s="2">
        <v>35.119</v>
      </c>
      <c r="D2064" s="60">
        <v>26.534500000000001</v>
      </c>
      <c r="E2064" s="2">
        <v>12.2</v>
      </c>
    </row>
    <row r="2065" spans="1:10">
      <c r="A2065" s="2" t="s">
        <v>141</v>
      </c>
      <c r="B2065" s="2">
        <v>12.2</v>
      </c>
      <c r="C2065" s="2">
        <v>12.5</v>
      </c>
      <c r="D2065" s="60" t="s">
        <v>153</v>
      </c>
    </row>
    <row r="2066" spans="1:10">
      <c r="A2066" s="2" t="s">
        <v>141</v>
      </c>
      <c r="B2066" s="2">
        <v>12.2</v>
      </c>
      <c r="C2066" s="2">
        <v>21.1617</v>
      </c>
      <c r="D2066" s="60" t="s">
        <v>144</v>
      </c>
    </row>
    <row r="2067" spans="1:10">
      <c r="A2067" s="2" t="s">
        <v>141</v>
      </c>
      <c r="B2067" s="2">
        <v>12.2</v>
      </c>
      <c r="C2067" s="2">
        <v>21.1617</v>
      </c>
      <c r="D2067" s="60" t="s">
        <v>152</v>
      </c>
    </row>
    <row r="2068" spans="1:10">
      <c r="A2068" s="2" t="s">
        <v>148</v>
      </c>
      <c r="B2068" s="2" t="s">
        <v>100</v>
      </c>
      <c r="C2068" s="2">
        <v>1.8874999999999999E-2</v>
      </c>
      <c r="D2068" s="60">
        <v>0</v>
      </c>
      <c r="E2068" s="2">
        <v>20.5124</v>
      </c>
      <c r="F2068" s="2">
        <v>6.0221099999999996</v>
      </c>
      <c r="G2068" s="2">
        <v>0</v>
      </c>
      <c r="H2068" s="2">
        <v>10</v>
      </c>
      <c r="I2068" s="2">
        <v>0</v>
      </c>
      <c r="J2068" s="2">
        <v>0</v>
      </c>
    </row>
    <row r="2069" spans="1:10">
      <c r="A2069" s="2" t="s">
        <v>148</v>
      </c>
      <c r="B2069" s="2" t="s">
        <v>101</v>
      </c>
      <c r="C2069" s="2">
        <v>9.7187000000000003E-5</v>
      </c>
      <c r="D2069" s="60">
        <v>0</v>
      </c>
      <c r="E2069" s="2">
        <v>20.5</v>
      </c>
      <c r="F2069" s="2">
        <v>1.23526E-2</v>
      </c>
      <c r="G2069" s="2">
        <v>10</v>
      </c>
      <c r="H2069" s="2">
        <v>10.0175</v>
      </c>
      <c r="I2069" s="2">
        <v>0</v>
      </c>
      <c r="J2069" s="2">
        <v>0</v>
      </c>
    </row>
    <row r="2070" spans="1:10">
      <c r="A2070" s="2" t="s">
        <v>148</v>
      </c>
      <c r="B2070" s="2" t="s">
        <v>64</v>
      </c>
      <c r="C2070" s="2">
        <v>4.5400000000000003E-2</v>
      </c>
      <c r="D2070" s="60">
        <v>1.3620000000000001</v>
      </c>
      <c r="E2070" s="2">
        <v>16.899999999999999</v>
      </c>
      <c r="F2070" s="2">
        <v>3.6</v>
      </c>
      <c r="G2070" s="2">
        <v>10.0175</v>
      </c>
      <c r="H2070" s="2">
        <v>15.1449</v>
      </c>
      <c r="I2070" s="2">
        <v>0</v>
      </c>
      <c r="J2070" s="2">
        <v>0</v>
      </c>
    </row>
    <row r="2071" spans="1:10">
      <c r="A2071" s="2" t="s">
        <v>148</v>
      </c>
      <c r="B2071" s="2" t="s">
        <v>64</v>
      </c>
      <c r="C2071" s="2">
        <v>0.114287</v>
      </c>
      <c r="D2071" s="60">
        <v>3.4285999999999999</v>
      </c>
      <c r="E2071" s="2">
        <v>12.5</v>
      </c>
      <c r="F2071" s="2">
        <v>4.4000000000000004</v>
      </c>
      <c r="G2071" s="2">
        <v>15.1449</v>
      </c>
      <c r="H2071" s="2">
        <v>20.916499999999999</v>
      </c>
      <c r="I2071" s="2">
        <v>0</v>
      </c>
      <c r="J2071" s="2">
        <v>0</v>
      </c>
    </row>
    <row r="2072" spans="1:10">
      <c r="A2072" s="2" t="s">
        <v>148</v>
      </c>
      <c r="B2072" s="2" t="s">
        <v>101</v>
      </c>
      <c r="C2072" s="2">
        <v>1.04849E-2</v>
      </c>
      <c r="D2072" s="60">
        <v>0</v>
      </c>
      <c r="E2072" s="2">
        <v>12.2</v>
      </c>
      <c r="F2072" s="2">
        <v>0.3</v>
      </c>
      <c r="G2072" s="2">
        <v>20.916499999999999</v>
      </c>
      <c r="H2072" s="2">
        <v>21.271799999999999</v>
      </c>
      <c r="I2072" s="2">
        <v>0</v>
      </c>
      <c r="J2072" s="2">
        <v>0</v>
      </c>
    </row>
    <row r="2073" spans="1:10">
      <c r="A2073" s="2" t="s">
        <v>138</v>
      </c>
      <c r="B2073" s="2">
        <v>11</v>
      </c>
      <c r="C2073" s="2">
        <v>13.351800000000001</v>
      </c>
      <c r="D2073" s="60" t="s">
        <v>129</v>
      </c>
      <c r="E2073" s="2" t="s">
        <v>175</v>
      </c>
    </row>
    <row r="2074" spans="1:10">
      <c r="A2074" s="2" t="s">
        <v>140</v>
      </c>
      <c r="B2074" s="2">
        <v>0</v>
      </c>
      <c r="C2074" s="2">
        <v>36.819299999999998</v>
      </c>
      <c r="D2074" s="60">
        <v>24.779900000000001</v>
      </c>
      <c r="E2074" s="2">
        <v>0</v>
      </c>
      <c r="F2074" s="2">
        <v>8.3000000000000007</v>
      </c>
    </row>
    <row r="2075" spans="1:10">
      <c r="A2075" s="2" t="s">
        <v>141</v>
      </c>
      <c r="B2075" s="2">
        <v>0</v>
      </c>
      <c r="C2075" s="2">
        <v>1.2</v>
      </c>
      <c r="D2075" s="60" t="s">
        <v>158</v>
      </c>
    </row>
    <row r="2076" spans="1:10">
      <c r="A2076" s="2" t="s">
        <v>141</v>
      </c>
      <c r="B2076" s="2">
        <v>0</v>
      </c>
      <c r="C2076" s="2">
        <v>2.6</v>
      </c>
      <c r="D2076" s="60" t="s">
        <v>142</v>
      </c>
    </row>
    <row r="2077" spans="1:10">
      <c r="A2077" s="2" t="s">
        <v>141</v>
      </c>
      <c r="B2077" s="2">
        <v>0</v>
      </c>
      <c r="C2077" s="2">
        <v>5.9</v>
      </c>
      <c r="D2077" s="60" t="s">
        <v>155</v>
      </c>
    </row>
    <row r="2078" spans="1:10">
      <c r="A2078" s="2" t="s">
        <v>141</v>
      </c>
      <c r="B2078" s="2">
        <v>1.2</v>
      </c>
      <c r="C2078" s="2">
        <v>1.5</v>
      </c>
      <c r="D2078" s="60" t="s">
        <v>174</v>
      </c>
    </row>
    <row r="2079" spans="1:10">
      <c r="A2079" s="2" t="s">
        <v>141</v>
      </c>
      <c r="B2079" s="2">
        <v>1.5</v>
      </c>
      <c r="C2079" s="2">
        <v>2.2000000000000002</v>
      </c>
      <c r="D2079" s="60" t="s">
        <v>158</v>
      </c>
    </row>
    <row r="2080" spans="1:10">
      <c r="A2080" s="2" t="s">
        <v>141</v>
      </c>
      <c r="B2080" s="2">
        <v>2.2000000000000002</v>
      </c>
      <c r="C2080" s="2">
        <v>3.2</v>
      </c>
      <c r="D2080" s="60" t="s">
        <v>178</v>
      </c>
    </row>
    <row r="2081" spans="1:10">
      <c r="A2081" s="2" t="s">
        <v>141</v>
      </c>
      <c r="B2081" s="2">
        <v>2.6</v>
      </c>
      <c r="C2081" s="2">
        <v>3.1</v>
      </c>
      <c r="D2081" s="60" t="s">
        <v>144</v>
      </c>
    </row>
    <row r="2082" spans="1:10">
      <c r="A2082" s="2" t="s">
        <v>141</v>
      </c>
      <c r="B2082" s="2">
        <v>3.1</v>
      </c>
      <c r="C2082" s="2">
        <v>3.4</v>
      </c>
      <c r="D2082" s="60" t="s">
        <v>145</v>
      </c>
    </row>
    <row r="2083" spans="1:10">
      <c r="A2083" s="2" t="s">
        <v>141</v>
      </c>
      <c r="B2083" s="2">
        <v>3.2</v>
      </c>
      <c r="C2083" s="2">
        <v>3.4</v>
      </c>
      <c r="D2083" s="60" t="s">
        <v>177</v>
      </c>
    </row>
    <row r="2084" spans="1:10">
      <c r="A2084" s="2" t="s">
        <v>141</v>
      </c>
      <c r="B2084" s="2">
        <v>3.4</v>
      </c>
      <c r="C2084" s="2">
        <v>19.848099999999999</v>
      </c>
      <c r="D2084" s="60" t="s">
        <v>144</v>
      </c>
    </row>
    <row r="2085" spans="1:10">
      <c r="A2085" s="2" t="s">
        <v>141</v>
      </c>
      <c r="B2085" s="2">
        <v>5.9</v>
      </c>
      <c r="C2085" s="2">
        <v>6.3</v>
      </c>
      <c r="D2085" s="60" t="s">
        <v>159</v>
      </c>
    </row>
    <row r="2086" spans="1:10">
      <c r="A2086" s="2" t="s">
        <v>141</v>
      </c>
      <c r="B2086" s="2">
        <v>6.3</v>
      </c>
      <c r="C2086" s="2">
        <v>19.848099999999999</v>
      </c>
      <c r="D2086" s="60" t="s">
        <v>152</v>
      </c>
    </row>
    <row r="2087" spans="1:10">
      <c r="A2087" s="2" t="s">
        <v>148</v>
      </c>
      <c r="B2087" s="2" t="s">
        <v>99</v>
      </c>
      <c r="C2087" s="2">
        <v>3.4629399999999998E-2</v>
      </c>
      <c r="D2087" s="60">
        <v>0</v>
      </c>
      <c r="E2087" s="2">
        <v>0</v>
      </c>
      <c r="F2087" s="2">
        <v>0.3</v>
      </c>
      <c r="G2087" s="2">
        <v>37.377099999999999</v>
      </c>
      <c r="H2087" s="2">
        <v>39.377499999999998</v>
      </c>
      <c r="I2087" s="2">
        <v>0</v>
      </c>
      <c r="J2087" s="2">
        <v>0</v>
      </c>
    </row>
    <row r="2088" spans="1:10">
      <c r="A2088" s="2" t="s">
        <v>148</v>
      </c>
      <c r="B2088" s="2" t="s">
        <v>101</v>
      </c>
      <c r="C2088" s="2">
        <v>0.13837099999999999</v>
      </c>
      <c r="D2088" s="60">
        <v>0</v>
      </c>
      <c r="E2088" s="2">
        <v>5.9</v>
      </c>
      <c r="F2088" s="2">
        <v>2.4</v>
      </c>
      <c r="G2088" s="2">
        <v>25.866299999999999</v>
      </c>
      <c r="H2088" s="2">
        <v>28.243600000000001</v>
      </c>
      <c r="I2088" s="2">
        <v>0</v>
      </c>
      <c r="J2088" s="2">
        <v>0</v>
      </c>
    </row>
    <row r="2089" spans="1:10">
      <c r="A2089" s="2" t="s">
        <v>148</v>
      </c>
      <c r="B2089" s="2" t="s">
        <v>64</v>
      </c>
      <c r="C2089" s="2">
        <v>0.31862000000000001</v>
      </c>
      <c r="D2089" s="60">
        <v>9.5586099999999998</v>
      </c>
      <c r="E2089" s="2">
        <v>1.5</v>
      </c>
      <c r="F2089" s="2">
        <v>4.4000000000000004</v>
      </c>
      <c r="G2089" s="2">
        <v>28.243600000000001</v>
      </c>
      <c r="H2089" s="2">
        <v>33.0505</v>
      </c>
      <c r="I2089" s="2">
        <v>0</v>
      </c>
      <c r="J2089" s="2">
        <v>0</v>
      </c>
    </row>
    <row r="2090" spans="1:10">
      <c r="A2090" s="2" t="s">
        <v>148</v>
      </c>
      <c r="B2090" s="2" t="s">
        <v>101</v>
      </c>
      <c r="C2090" s="2">
        <v>0.11462700000000001</v>
      </c>
      <c r="D2090" s="60">
        <v>0</v>
      </c>
      <c r="E2090" s="2">
        <v>0.3</v>
      </c>
      <c r="F2090" s="2">
        <v>1.2</v>
      </c>
      <c r="G2090" s="2">
        <v>33.0505</v>
      </c>
      <c r="H2090" s="2">
        <v>37.377099999999999</v>
      </c>
      <c r="I2090" s="2">
        <v>0</v>
      </c>
      <c r="J2090" s="2">
        <v>0</v>
      </c>
    </row>
    <row r="2091" spans="1:10">
      <c r="A2091" s="2" t="s">
        <v>138</v>
      </c>
      <c r="B2091" s="2">
        <v>12</v>
      </c>
      <c r="C2091" s="2">
        <v>14.0251</v>
      </c>
      <c r="D2091" s="60" t="s">
        <v>129</v>
      </c>
      <c r="E2091" s="2" t="s">
        <v>149</v>
      </c>
    </row>
    <row r="2092" spans="1:10">
      <c r="A2092" s="2" t="s">
        <v>140</v>
      </c>
      <c r="B2092" s="2">
        <v>0</v>
      </c>
      <c r="C2092" s="2">
        <v>55.276800000000001</v>
      </c>
      <c r="D2092" s="60">
        <v>26.5031</v>
      </c>
    </row>
    <row r="2093" spans="1:10">
      <c r="A2093" s="2" t="s">
        <v>141</v>
      </c>
      <c r="B2093" s="2">
        <v>0</v>
      </c>
      <c r="C2093" s="2">
        <v>6.5</v>
      </c>
      <c r="D2093" s="60" t="s">
        <v>142</v>
      </c>
    </row>
    <row r="2094" spans="1:10">
      <c r="A2094" s="2" t="s">
        <v>141</v>
      </c>
      <c r="B2094" s="2">
        <v>0</v>
      </c>
      <c r="C2094" s="2">
        <v>10.3</v>
      </c>
      <c r="D2094" s="60" t="s">
        <v>146</v>
      </c>
    </row>
    <row r="2095" spans="1:10">
      <c r="A2095" s="2" t="s">
        <v>141</v>
      </c>
      <c r="B2095" s="2">
        <v>6.5</v>
      </c>
      <c r="C2095" s="2">
        <v>10.3</v>
      </c>
      <c r="D2095" s="60" t="s">
        <v>144</v>
      </c>
    </row>
    <row r="2096" spans="1:10">
      <c r="A2096" s="2" t="s">
        <v>141</v>
      </c>
      <c r="B2096" s="2">
        <v>10.3</v>
      </c>
      <c r="C2096" s="2">
        <v>11.2</v>
      </c>
      <c r="D2096" s="60" t="s">
        <v>147</v>
      </c>
    </row>
    <row r="2097" spans="1:10">
      <c r="A2097" s="2" t="s">
        <v>141</v>
      </c>
      <c r="B2097" s="2">
        <v>10.3</v>
      </c>
      <c r="C2097" s="2">
        <v>11.2</v>
      </c>
      <c r="D2097" s="60" t="s">
        <v>155</v>
      </c>
    </row>
    <row r="2098" spans="1:10">
      <c r="A2098" s="2" t="s">
        <v>141</v>
      </c>
      <c r="B2098" s="2">
        <v>11.2</v>
      </c>
      <c r="C2098" s="2">
        <v>12</v>
      </c>
      <c r="D2098" s="60" t="s">
        <v>151</v>
      </c>
    </row>
    <row r="2099" spans="1:10">
      <c r="A2099" s="2" t="s">
        <v>141</v>
      </c>
      <c r="B2099" s="2">
        <v>11.2</v>
      </c>
      <c r="C2099" s="2">
        <v>12</v>
      </c>
      <c r="D2099" s="60" t="s">
        <v>159</v>
      </c>
    </row>
    <row r="2100" spans="1:10">
      <c r="A2100" s="2" t="s">
        <v>141</v>
      </c>
      <c r="B2100" s="2">
        <v>12</v>
      </c>
      <c r="C2100" s="2">
        <v>21.138200000000001</v>
      </c>
      <c r="D2100" s="60" t="s">
        <v>144</v>
      </c>
    </row>
    <row r="2101" spans="1:10">
      <c r="A2101" s="2" t="s">
        <v>141</v>
      </c>
      <c r="B2101" s="2">
        <v>12</v>
      </c>
      <c r="C2101" s="2">
        <v>21.138200000000001</v>
      </c>
      <c r="D2101" s="60" t="s">
        <v>152</v>
      </c>
    </row>
    <row r="2102" spans="1:10">
      <c r="A2102" s="2" t="s">
        <v>148</v>
      </c>
      <c r="B2102" s="2" t="s">
        <v>99</v>
      </c>
      <c r="C2102" s="2">
        <v>7.1980100000000005E-2</v>
      </c>
      <c r="D2102" s="60">
        <v>0</v>
      </c>
      <c r="E2102" s="2">
        <v>0</v>
      </c>
      <c r="F2102" s="2">
        <v>0.3</v>
      </c>
      <c r="G2102" s="2">
        <v>53.965299999999999</v>
      </c>
      <c r="H2102" s="2">
        <v>56.68</v>
      </c>
      <c r="I2102" s="2">
        <v>0</v>
      </c>
      <c r="J2102" s="2">
        <v>0</v>
      </c>
    </row>
    <row r="2103" spans="1:10">
      <c r="A2103" s="2" t="s">
        <v>148</v>
      </c>
      <c r="B2103" s="2" t="s">
        <v>100</v>
      </c>
      <c r="C2103" s="2">
        <v>1.2438299999999999E-2</v>
      </c>
      <c r="D2103" s="60">
        <v>0</v>
      </c>
      <c r="E2103" s="2">
        <v>22.911100000000001</v>
      </c>
      <c r="F2103" s="2">
        <v>3.5919699999999999</v>
      </c>
      <c r="G2103" s="2">
        <v>0</v>
      </c>
      <c r="H2103" s="2">
        <v>10</v>
      </c>
      <c r="I2103" s="2">
        <v>0</v>
      </c>
      <c r="J2103" s="2">
        <v>0</v>
      </c>
    </row>
    <row r="2104" spans="1:10">
      <c r="A2104" s="2" t="s">
        <v>148</v>
      </c>
      <c r="B2104" s="2" t="s">
        <v>98</v>
      </c>
      <c r="C2104" s="2">
        <v>4.9663699999999998E-2</v>
      </c>
      <c r="D2104" s="60">
        <v>0</v>
      </c>
      <c r="E2104" s="2">
        <v>19.518699999999999</v>
      </c>
      <c r="F2104" s="2">
        <v>3.3924400000000001</v>
      </c>
      <c r="G2104" s="2">
        <v>10</v>
      </c>
      <c r="H2104" s="2">
        <v>17.082899999999999</v>
      </c>
      <c r="I2104" s="2">
        <v>0</v>
      </c>
      <c r="J2104" s="2">
        <v>0</v>
      </c>
    </row>
    <row r="2105" spans="1:10">
      <c r="A2105" s="2" t="s">
        <v>148</v>
      </c>
      <c r="B2105" s="2" t="s">
        <v>101</v>
      </c>
      <c r="C2105" s="2">
        <v>4.2864299999999998E-4</v>
      </c>
      <c r="D2105" s="60">
        <v>0</v>
      </c>
      <c r="E2105" s="2">
        <v>19.5</v>
      </c>
      <c r="F2105" s="2">
        <v>1.8658000000000001E-2</v>
      </c>
      <c r="G2105" s="2">
        <v>17.082899999999999</v>
      </c>
      <c r="H2105" s="2">
        <v>17.123000000000001</v>
      </c>
      <c r="I2105" s="2">
        <v>0</v>
      </c>
      <c r="J2105" s="2">
        <v>0</v>
      </c>
    </row>
    <row r="2106" spans="1:10">
      <c r="A2106" s="2" t="s">
        <v>148</v>
      </c>
      <c r="B2106" s="2" t="s">
        <v>64</v>
      </c>
      <c r="C2106" s="2">
        <v>0.125802</v>
      </c>
      <c r="D2106" s="60">
        <v>3.7740499999999999</v>
      </c>
      <c r="E2106" s="2">
        <v>15.9</v>
      </c>
      <c r="F2106" s="2">
        <v>3.6</v>
      </c>
      <c r="G2106" s="2">
        <v>17.123000000000001</v>
      </c>
      <c r="H2106" s="2">
        <v>24.7775</v>
      </c>
      <c r="I2106" s="2">
        <v>0</v>
      </c>
      <c r="J2106" s="2">
        <v>0</v>
      </c>
    </row>
    <row r="2107" spans="1:10">
      <c r="A2107" s="2" t="s">
        <v>148</v>
      </c>
      <c r="B2107" s="2" t="s">
        <v>64</v>
      </c>
      <c r="C2107" s="2">
        <v>0.25230999999999998</v>
      </c>
      <c r="D2107" s="60">
        <v>7.5693000000000001</v>
      </c>
      <c r="E2107" s="2">
        <v>12</v>
      </c>
      <c r="F2107" s="2">
        <v>3.9</v>
      </c>
      <c r="G2107" s="2">
        <v>24.7775</v>
      </c>
      <c r="H2107" s="2">
        <v>32.2547</v>
      </c>
      <c r="I2107" s="2">
        <v>0</v>
      </c>
      <c r="J2107" s="2">
        <v>0</v>
      </c>
    </row>
    <row r="2108" spans="1:10">
      <c r="A2108" s="2" t="s">
        <v>148</v>
      </c>
      <c r="B2108" s="2" t="s">
        <v>101</v>
      </c>
      <c r="C2108" s="2">
        <v>0.16137000000000001</v>
      </c>
      <c r="D2108" s="60">
        <v>0</v>
      </c>
      <c r="E2108" s="2">
        <v>10.199999999999999</v>
      </c>
      <c r="F2108" s="2">
        <v>1.8</v>
      </c>
      <c r="G2108" s="2">
        <v>32.2547</v>
      </c>
      <c r="H2108" s="2">
        <v>35.241</v>
      </c>
      <c r="I2108" s="2">
        <v>0</v>
      </c>
      <c r="J2108" s="2">
        <v>0</v>
      </c>
    </row>
    <row r="2109" spans="1:10">
      <c r="A2109" s="2" t="s">
        <v>148</v>
      </c>
      <c r="B2109" s="2" t="s">
        <v>59</v>
      </c>
      <c r="C2109" s="2">
        <v>0.45755000000000001</v>
      </c>
      <c r="D2109" s="60">
        <v>45.755000000000003</v>
      </c>
      <c r="E2109" s="2">
        <v>6.2</v>
      </c>
      <c r="F2109" s="2">
        <v>4</v>
      </c>
      <c r="G2109" s="2">
        <v>35.241</v>
      </c>
      <c r="H2109" s="2">
        <v>40.790300000000002</v>
      </c>
      <c r="I2109" s="2">
        <v>0</v>
      </c>
      <c r="J2109" s="2">
        <v>0</v>
      </c>
    </row>
    <row r="2110" spans="1:10">
      <c r="A2110" s="2" t="s">
        <v>148</v>
      </c>
      <c r="B2110" s="2" t="s">
        <v>55</v>
      </c>
      <c r="C2110" s="2">
        <v>0.95045100000000005</v>
      </c>
      <c r="D2110" s="60">
        <v>137.815</v>
      </c>
      <c r="E2110" s="2">
        <v>0.3</v>
      </c>
      <c r="F2110" s="2">
        <v>5.9</v>
      </c>
      <c r="G2110" s="2">
        <v>40.790300000000002</v>
      </c>
      <c r="H2110" s="2">
        <v>53.965299999999999</v>
      </c>
      <c r="I2110" s="2">
        <v>0</v>
      </c>
      <c r="J2110" s="2">
        <v>0</v>
      </c>
    </row>
    <row r="2111" spans="1:10">
      <c r="A2111" s="2" t="s">
        <v>138</v>
      </c>
      <c r="B2111" s="2">
        <v>13</v>
      </c>
      <c r="C2111" s="2">
        <v>14.0479</v>
      </c>
      <c r="D2111" s="60" t="s">
        <v>129</v>
      </c>
      <c r="E2111" s="2" t="s">
        <v>139</v>
      </c>
    </row>
    <row r="2112" spans="1:10">
      <c r="A2112" s="2" t="s">
        <v>140</v>
      </c>
      <c r="B2112" s="2">
        <v>0</v>
      </c>
      <c r="C2112" s="2">
        <v>55.136000000000003</v>
      </c>
      <c r="D2112" s="60">
        <v>28.188500000000001</v>
      </c>
    </row>
    <row r="2113" spans="1:10">
      <c r="A2113" s="2" t="s">
        <v>141</v>
      </c>
      <c r="B2113" s="2">
        <v>0</v>
      </c>
      <c r="C2113" s="2">
        <v>6.4</v>
      </c>
      <c r="D2113" s="60" t="s">
        <v>142</v>
      </c>
    </row>
    <row r="2114" spans="1:10">
      <c r="A2114" s="2" t="s">
        <v>141</v>
      </c>
      <c r="B2114" s="2">
        <v>0</v>
      </c>
      <c r="C2114" s="2">
        <v>13.4</v>
      </c>
      <c r="D2114" s="60" t="s">
        <v>146</v>
      </c>
    </row>
    <row r="2115" spans="1:10">
      <c r="A2115" s="2" t="s">
        <v>141</v>
      </c>
      <c r="B2115" s="2">
        <v>6.4</v>
      </c>
      <c r="C2115" s="2">
        <v>8.3000000000000007</v>
      </c>
      <c r="D2115" s="60" t="s">
        <v>144</v>
      </c>
    </row>
    <row r="2116" spans="1:10">
      <c r="A2116" s="2" t="s">
        <v>141</v>
      </c>
      <c r="B2116" s="2">
        <v>8.3000000000000007</v>
      </c>
      <c r="C2116" s="2">
        <v>10.8</v>
      </c>
      <c r="D2116" s="60" t="s">
        <v>145</v>
      </c>
    </row>
    <row r="2117" spans="1:10">
      <c r="A2117" s="2" t="s">
        <v>141</v>
      </c>
      <c r="B2117" s="2">
        <v>10.8</v>
      </c>
      <c r="C2117" s="2">
        <v>14.8</v>
      </c>
      <c r="D2117" s="60" t="s">
        <v>147</v>
      </c>
    </row>
    <row r="2118" spans="1:10">
      <c r="A2118" s="2" t="s">
        <v>141</v>
      </c>
      <c r="B2118" s="2">
        <v>13.4</v>
      </c>
      <c r="C2118" s="2">
        <v>13.8</v>
      </c>
      <c r="D2118" s="60" t="s">
        <v>159</v>
      </c>
    </row>
    <row r="2119" spans="1:10">
      <c r="A2119" s="2" t="s">
        <v>141</v>
      </c>
      <c r="B2119" s="2">
        <v>13.8</v>
      </c>
      <c r="C2119" s="2">
        <v>22.4</v>
      </c>
      <c r="D2119" s="60" t="s">
        <v>155</v>
      </c>
    </row>
    <row r="2120" spans="1:10">
      <c r="A2120" s="2" t="s">
        <v>141</v>
      </c>
      <c r="B2120" s="2">
        <v>14.8</v>
      </c>
      <c r="C2120" s="2">
        <v>22.4</v>
      </c>
      <c r="D2120" s="60" t="s">
        <v>144</v>
      </c>
    </row>
    <row r="2121" spans="1:10">
      <c r="A2121" s="2" t="s">
        <v>148</v>
      </c>
      <c r="B2121" s="2" t="s">
        <v>99</v>
      </c>
      <c r="C2121" s="2">
        <v>7.1927599999999994E-2</v>
      </c>
      <c r="D2121" s="60">
        <v>0</v>
      </c>
      <c r="E2121" s="2">
        <v>0</v>
      </c>
      <c r="F2121" s="2">
        <v>0.3</v>
      </c>
      <c r="G2121" s="2">
        <v>54.013599999999997</v>
      </c>
      <c r="H2121" s="2">
        <v>56.579900000000002</v>
      </c>
      <c r="I2121" s="2">
        <v>0</v>
      </c>
      <c r="J2121" s="2">
        <v>0</v>
      </c>
    </row>
    <row r="2122" spans="1:10">
      <c r="A2122" s="2" t="s">
        <v>148</v>
      </c>
      <c r="B2122" s="2" t="s">
        <v>100</v>
      </c>
      <c r="C2122" s="2">
        <v>1.3256199999999999E-2</v>
      </c>
      <c r="D2122" s="60">
        <v>0</v>
      </c>
      <c r="E2122" s="2">
        <v>24.358699999999999</v>
      </c>
      <c r="F2122" s="2">
        <v>3.82979</v>
      </c>
      <c r="G2122" s="2">
        <v>0</v>
      </c>
      <c r="H2122" s="2">
        <v>10</v>
      </c>
      <c r="I2122" s="2">
        <v>0</v>
      </c>
      <c r="J2122" s="2">
        <v>0</v>
      </c>
    </row>
    <row r="2123" spans="1:10">
      <c r="A2123" s="2" t="s">
        <v>148</v>
      </c>
      <c r="B2123" s="2" t="s">
        <v>98</v>
      </c>
      <c r="C2123" s="2">
        <v>4.5835099999999998E-3</v>
      </c>
      <c r="D2123" s="60">
        <v>0</v>
      </c>
      <c r="E2123" s="2">
        <v>23.829699999999999</v>
      </c>
      <c r="F2123" s="2">
        <v>0.52897899999999998</v>
      </c>
      <c r="G2123" s="2">
        <v>10</v>
      </c>
      <c r="H2123" s="2">
        <v>11.001300000000001</v>
      </c>
      <c r="I2123" s="2">
        <v>0</v>
      </c>
      <c r="J2123" s="2">
        <v>0</v>
      </c>
    </row>
    <row r="2124" spans="1:10">
      <c r="A2124" s="2" t="s">
        <v>148</v>
      </c>
      <c r="B2124" s="2" t="s">
        <v>101</v>
      </c>
      <c r="C2124" s="2">
        <v>2.70174E-2</v>
      </c>
      <c r="D2124" s="60">
        <v>0</v>
      </c>
      <c r="E2124" s="2">
        <v>21.8</v>
      </c>
      <c r="F2124" s="2">
        <v>2.0297000000000001</v>
      </c>
      <c r="G2124" s="2">
        <v>11.001300000000001</v>
      </c>
      <c r="H2124" s="2">
        <v>14.965400000000001</v>
      </c>
      <c r="I2124" s="2">
        <v>0</v>
      </c>
      <c r="J2124" s="2">
        <v>0</v>
      </c>
    </row>
    <row r="2125" spans="1:10">
      <c r="A2125" s="2" t="s">
        <v>148</v>
      </c>
      <c r="B2125" s="2" t="s">
        <v>63</v>
      </c>
      <c r="C2125" s="2">
        <v>0.114957</v>
      </c>
      <c r="D2125" s="60">
        <v>8.0470199999999998</v>
      </c>
      <c r="E2125" s="2">
        <v>17.8</v>
      </c>
      <c r="F2125" s="2">
        <v>4</v>
      </c>
      <c r="G2125" s="2">
        <v>14.965400000000001</v>
      </c>
      <c r="H2125" s="2">
        <v>22.9956</v>
      </c>
      <c r="I2125" s="2">
        <v>0</v>
      </c>
      <c r="J2125" s="2">
        <v>0</v>
      </c>
    </row>
    <row r="2126" spans="1:10">
      <c r="A2126" s="2" t="s">
        <v>148</v>
      </c>
      <c r="B2126" s="2" t="s">
        <v>63</v>
      </c>
      <c r="C2126" s="2">
        <v>0.22722600000000001</v>
      </c>
      <c r="D2126" s="60">
        <v>15.905799999999999</v>
      </c>
      <c r="E2126" s="2">
        <v>13.8</v>
      </c>
      <c r="F2126" s="2">
        <v>4</v>
      </c>
      <c r="G2126" s="2">
        <v>22.9956</v>
      </c>
      <c r="H2126" s="2">
        <v>30.452100000000002</v>
      </c>
      <c r="I2126" s="2">
        <v>0</v>
      </c>
      <c r="J2126" s="2">
        <v>0</v>
      </c>
    </row>
    <row r="2127" spans="1:10">
      <c r="A2127" s="2" t="s">
        <v>148</v>
      </c>
      <c r="B2127" s="2" t="s">
        <v>101</v>
      </c>
      <c r="C2127" s="2">
        <v>0.110081</v>
      </c>
      <c r="D2127" s="60">
        <v>0</v>
      </c>
      <c r="E2127" s="2">
        <v>12.4</v>
      </c>
      <c r="F2127" s="2">
        <v>1.4</v>
      </c>
      <c r="G2127" s="2">
        <v>30.452100000000002</v>
      </c>
      <c r="H2127" s="2">
        <v>32.787599999999998</v>
      </c>
      <c r="I2127" s="2">
        <v>0</v>
      </c>
      <c r="J2127" s="2">
        <v>0</v>
      </c>
    </row>
    <row r="2128" spans="1:10">
      <c r="A2128" s="2" t="s">
        <v>148</v>
      </c>
      <c r="B2128" s="2" t="s">
        <v>59</v>
      </c>
      <c r="C2128" s="2">
        <v>0.65128200000000003</v>
      </c>
      <c r="D2128" s="60">
        <v>65.128200000000007</v>
      </c>
      <c r="E2128" s="2">
        <v>6.4</v>
      </c>
      <c r="F2128" s="2">
        <v>6</v>
      </c>
      <c r="G2128" s="2">
        <v>32.787599999999998</v>
      </c>
      <c r="H2128" s="2">
        <v>40.942399999999999</v>
      </c>
      <c r="I2128" s="2">
        <v>0</v>
      </c>
      <c r="J2128" s="2">
        <v>0</v>
      </c>
    </row>
    <row r="2129" spans="1:10">
      <c r="A2129" s="2" t="s">
        <v>148</v>
      </c>
      <c r="B2129" s="2" t="s">
        <v>55</v>
      </c>
      <c r="C2129" s="2">
        <v>0.98624800000000001</v>
      </c>
      <c r="D2129" s="60">
        <v>143.006</v>
      </c>
      <c r="E2129" s="2">
        <v>0.3</v>
      </c>
      <c r="F2129" s="2">
        <v>6.1</v>
      </c>
      <c r="G2129" s="2">
        <v>40.942399999999999</v>
      </c>
      <c r="H2129" s="2">
        <v>54.013599999999997</v>
      </c>
      <c r="I2129" s="2">
        <v>0</v>
      </c>
      <c r="J2129" s="2">
        <v>0</v>
      </c>
    </row>
    <row r="2130" spans="1:10">
      <c r="A2130" s="2" t="s">
        <v>138</v>
      </c>
      <c r="B2130" s="2">
        <v>14</v>
      </c>
      <c r="C2130" s="2">
        <v>13.984400000000001</v>
      </c>
      <c r="D2130" s="60" t="s">
        <v>129</v>
      </c>
      <c r="E2130" s="2" t="s">
        <v>175</v>
      </c>
    </row>
    <row r="2131" spans="1:10">
      <c r="A2131" s="2" t="s">
        <v>140</v>
      </c>
      <c r="B2131" s="2">
        <v>0</v>
      </c>
      <c r="C2131" s="2">
        <v>52.875700000000002</v>
      </c>
      <c r="D2131" s="60">
        <v>26.318200000000001</v>
      </c>
      <c r="E2131" s="2">
        <v>0</v>
      </c>
      <c r="F2131" s="2">
        <v>14.9</v>
      </c>
    </row>
    <row r="2132" spans="1:10">
      <c r="A2132" s="2" t="s">
        <v>141</v>
      </c>
      <c r="B2132" s="2">
        <v>0</v>
      </c>
      <c r="C2132" s="2">
        <v>6.6</v>
      </c>
      <c r="D2132" s="60" t="s">
        <v>142</v>
      </c>
    </row>
    <row r="2133" spans="1:10">
      <c r="A2133" s="2" t="s">
        <v>141</v>
      </c>
      <c r="B2133" s="2">
        <v>0</v>
      </c>
      <c r="C2133" s="2">
        <v>13.5</v>
      </c>
      <c r="D2133" s="60" t="s">
        <v>146</v>
      </c>
    </row>
    <row r="2134" spans="1:10">
      <c r="A2134" s="2" t="s">
        <v>141</v>
      </c>
      <c r="B2134" s="2">
        <v>6.6</v>
      </c>
      <c r="C2134" s="2">
        <v>11.7</v>
      </c>
      <c r="D2134" s="60" t="s">
        <v>144</v>
      </c>
    </row>
    <row r="2135" spans="1:10">
      <c r="A2135" s="2" t="s">
        <v>141</v>
      </c>
      <c r="B2135" s="2">
        <v>11.7</v>
      </c>
      <c r="C2135" s="2">
        <v>12</v>
      </c>
      <c r="D2135" s="60" t="s">
        <v>145</v>
      </c>
    </row>
    <row r="2136" spans="1:10">
      <c r="A2136" s="2" t="s">
        <v>141</v>
      </c>
      <c r="B2136" s="2">
        <v>12</v>
      </c>
      <c r="C2136" s="2">
        <v>20.9998</v>
      </c>
      <c r="D2136" s="60" t="s">
        <v>147</v>
      </c>
    </row>
    <row r="2137" spans="1:10">
      <c r="A2137" s="2" t="s">
        <v>141</v>
      </c>
      <c r="B2137" s="2">
        <v>13.5</v>
      </c>
      <c r="C2137" s="2">
        <v>20.9998</v>
      </c>
      <c r="D2137" s="60" t="s">
        <v>152</v>
      </c>
    </row>
    <row r="2138" spans="1:10">
      <c r="A2138" s="2" t="s">
        <v>148</v>
      </c>
      <c r="B2138" s="2" t="s">
        <v>99</v>
      </c>
      <c r="C2138" s="2">
        <v>6.64492E-2</v>
      </c>
      <c r="D2138" s="60">
        <v>0</v>
      </c>
      <c r="E2138" s="2">
        <v>0</v>
      </c>
      <c r="F2138" s="2">
        <v>0.3</v>
      </c>
      <c r="G2138" s="2">
        <v>51.8429</v>
      </c>
      <c r="H2138" s="2">
        <v>54.467799999999997</v>
      </c>
      <c r="I2138" s="2">
        <v>0</v>
      </c>
      <c r="J2138" s="2">
        <v>0</v>
      </c>
    </row>
    <row r="2139" spans="1:10">
      <c r="A2139" s="2" t="s">
        <v>148</v>
      </c>
      <c r="B2139" s="2" t="s">
        <v>101</v>
      </c>
      <c r="C2139" s="2">
        <v>0.153255</v>
      </c>
      <c r="D2139" s="60">
        <v>0</v>
      </c>
      <c r="E2139" s="2">
        <v>12.4</v>
      </c>
      <c r="F2139" s="2">
        <v>2.5</v>
      </c>
      <c r="G2139" s="2">
        <v>25.560199999999998</v>
      </c>
      <c r="H2139" s="2">
        <v>30.166899999999998</v>
      </c>
      <c r="I2139" s="2">
        <v>0</v>
      </c>
      <c r="J2139" s="2">
        <v>0</v>
      </c>
    </row>
    <row r="2140" spans="1:10">
      <c r="A2140" s="2" t="s">
        <v>148</v>
      </c>
      <c r="B2140" s="2" t="s">
        <v>59</v>
      </c>
      <c r="C2140" s="2">
        <v>0.57396199999999997</v>
      </c>
      <c r="D2140" s="60">
        <v>57.3962</v>
      </c>
      <c r="E2140" s="2">
        <v>6.4</v>
      </c>
      <c r="F2140" s="2">
        <v>6</v>
      </c>
      <c r="G2140" s="2">
        <v>30.166899999999998</v>
      </c>
      <c r="H2140" s="2">
        <v>38.906199999999998</v>
      </c>
      <c r="I2140" s="2">
        <v>0</v>
      </c>
      <c r="J2140" s="2">
        <v>0</v>
      </c>
    </row>
    <row r="2141" spans="1:10">
      <c r="A2141" s="2" t="s">
        <v>148</v>
      </c>
      <c r="B2141" s="2" t="s">
        <v>56</v>
      </c>
      <c r="C2141" s="2">
        <v>0.90027800000000002</v>
      </c>
      <c r="D2141" s="60">
        <v>126.039</v>
      </c>
      <c r="E2141" s="2">
        <v>0.3</v>
      </c>
      <c r="F2141" s="2">
        <v>6.1</v>
      </c>
      <c r="G2141" s="2">
        <v>38.906199999999998</v>
      </c>
      <c r="H2141" s="2">
        <v>51.8429</v>
      </c>
      <c r="I2141" s="2">
        <v>0</v>
      </c>
      <c r="J2141" s="2">
        <v>0</v>
      </c>
    </row>
    <row r="2142" spans="1:10">
      <c r="A2142" s="2" t="s">
        <v>138</v>
      </c>
      <c r="B2142" s="2">
        <v>15</v>
      </c>
      <c r="C2142" s="2">
        <v>14.0959</v>
      </c>
      <c r="D2142" s="60" t="s">
        <v>129</v>
      </c>
      <c r="E2142" s="2" t="s">
        <v>149</v>
      </c>
    </row>
    <row r="2143" spans="1:10">
      <c r="A2143" s="2" t="s">
        <v>140</v>
      </c>
      <c r="B2143" s="2">
        <v>0</v>
      </c>
      <c r="C2143" s="2">
        <v>60.859400000000001</v>
      </c>
      <c r="D2143" s="60">
        <v>26.895800000000001</v>
      </c>
    </row>
    <row r="2144" spans="1:10">
      <c r="A2144" s="2" t="s">
        <v>141</v>
      </c>
      <c r="B2144" s="2">
        <v>0</v>
      </c>
      <c r="C2144" s="2">
        <v>6.6</v>
      </c>
      <c r="D2144" s="60" t="s">
        <v>142</v>
      </c>
    </row>
    <row r="2145" spans="1:10">
      <c r="A2145" s="2" t="s">
        <v>141</v>
      </c>
      <c r="B2145" s="2">
        <v>0</v>
      </c>
      <c r="C2145" s="2">
        <v>15</v>
      </c>
      <c r="D2145" s="60" t="s">
        <v>146</v>
      </c>
    </row>
    <row r="2146" spans="1:10">
      <c r="A2146" s="2" t="s">
        <v>141</v>
      </c>
      <c r="B2146" s="2">
        <v>6.6</v>
      </c>
      <c r="C2146" s="2">
        <v>11.1</v>
      </c>
      <c r="D2146" s="60" t="s">
        <v>145</v>
      </c>
    </row>
    <row r="2147" spans="1:10">
      <c r="A2147" s="2" t="s">
        <v>141</v>
      </c>
      <c r="B2147" s="2">
        <v>11.1</v>
      </c>
      <c r="C2147" s="2">
        <v>14</v>
      </c>
      <c r="D2147" s="60" t="s">
        <v>147</v>
      </c>
    </row>
    <row r="2148" spans="1:10">
      <c r="A2148" s="2" t="s">
        <v>141</v>
      </c>
      <c r="B2148" s="2">
        <v>14</v>
      </c>
      <c r="C2148" s="2">
        <v>15</v>
      </c>
      <c r="D2148" s="60" t="s">
        <v>151</v>
      </c>
    </row>
    <row r="2149" spans="1:10">
      <c r="A2149" s="2" t="s">
        <v>141</v>
      </c>
      <c r="B2149" s="2">
        <v>15</v>
      </c>
      <c r="C2149" s="2">
        <v>16</v>
      </c>
      <c r="D2149" s="60" t="s">
        <v>144</v>
      </c>
    </row>
    <row r="2150" spans="1:10">
      <c r="A2150" s="2" t="s">
        <v>141</v>
      </c>
      <c r="B2150" s="2">
        <v>15</v>
      </c>
      <c r="C2150" s="2">
        <v>16.5</v>
      </c>
      <c r="D2150" s="60" t="s">
        <v>159</v>
      </c>
    </row>
    <row r="2151" spans="1:10">
      <c r="A2151" s="2" t="s">
        <v>141</v>
      </c>
      <c r="B2151" s="2">
        <v>16</v>
      </c>
      <c r="C2151" s="2">
        <v>16.5</v>
      </c>
      <c r="D2151" s="60" t="s">
        <v>145</v>
      </c>
    </row>
    <row r="2152" spans="1:10">
      <c r="A2152" s="2" t="s">
        <v>141</v>
      </c>
      <c r="B2152" s="2">
        <v>16.5</v>
      </c>
      <c r="C2152" s="2">
        <v>21.432200000000002</v>
      </c>
      <c r="D2152" s="60" t="s">
        <v>144</v>
      </c>
    </row>
    <row r="2153" spans="1:10">
      <c r="A2153" s="2" t="s">
        <v>141</v>
      </c>
      <c r="B2153" s="2">
        <v>16.5</v>
      </c>
      <c r="C2153" s="2">
        <v>21.432200000000002</v>
      </c>
      <c r="D2153" s="60" t="s">
        <v>152</v>
      </c>
    </row>
    <row r="2154" spans="1:10">
      <c r="A2154" s="2" t="s">
        <v>148</v>
      </c>
      <c r="B2154" s="2" t="s">
        <v>99</v>
      </c>
      <c r="C2154" s="2">
        <v>8.5591500000000001E-2</v>
      </c>
      <c r="D2154" s="60">
        <v>0</v>
      </c>
      <c r="E2154" s="2">
        <v>0</v>
      </c>
      <c r="F2154" s="2">
        <v>0.3</v>
      </c>
      <c r="G2154" s="2">
        <v>58.864899999999999</v>
      </c>
      <c r="H2154" s="2">
        <v>61.786099999999998</v>
      </c>
      <c r="I2154" s="2">
        <v>0</v>
      </c>
      <c r="J2154" s="2">
        <v>0</v>
      </c>
    </row>
    <row r="2155" spans="1:10">
      <c r="A2155" s="2" t="s">
        <v>148</v>
      </c>
      <c r="B2155" s="2" t="s">
        <v>100</v>
      </c>
      <c r="C2155" s="2">
        <v>1.1391800000000001E-2</v>
      </c>
      <c r="D2155" s="60">
        <v>0</v>
      </c>
      <c r="E2155" s="2">
        <v>23.6709</v>
      </c>
      <c r="F2155" s="2">
        <v>3.2248299999999999</v>
      </c>
      <c r="G2155" s="2">
        <v>0</v>
      </c>
      <c r="H2155" s="2">
        <v>10</v>
      </c>
      <c r="I2155" s="2">
        <v>0</v>
      </c>
      <c r="J2155" s="2">
        <v>0</v>
      </c>
    </row>
    <row r="2156" spans="1:10">
      <c r="A2156" s="2" t="s">
        <v>148</v>
      </c>
      <c r="B2156" s="2" t="s">
        <v>98</v>
      </c>
      <c r="C2156" s="2">
        <v>5.68245E-2</v>
      </c>
      <c r="D2156" s="60">
        <v>0</v>
      </c>
      <c r="E2156" s="2">
        <v>20.060700000000001</v>
      </c>
      <c r="F2156" s="2">
        <v>3.6102599999999998</v>
      </c>
      <c r="G2156" s="2">
        <v>10</v>
      </c>
      <c r="H2156" s="2">
        <v>18.038900000000002</v>
      </c>
      <c r="I2156" s="2">
        <v>0</v>
      </c>
      <c r="J2156" s="2">
        <v>0</v>
      </c>
    </row>
    <row r="2157" spans="1:10">
      <c r="A2157" s="2" t="s">
        <v>148</v>
      </c>
      <c r="B2157" s="2" t="s">
        <v>101</v>
      </c>
      <c r="C2157" s="2">
        <v>0.27288099999999998</v>
      </c>
      <c r="D2157" s="60">
        <v>0</v>
      </c>
      <c r="E2157" s="2">
        <v>14.4</v>
      </c>
      <c r="F2157" s="2">
        <v>5.6606800000000002</v>
      </c>
      <c r="G2157" s="2">
        <v>18.038900000000002</v>
      </c>
      <c r="H2157" s="2">
        <v>30.7483</v>
      </c>
      <c r="I2157" s="2">
        <v>0</v>
      </c>
      <c r="J2157" s="2">
        <v>0</v>
      </c>
    </row>
    <row r="2158" spans="1:10">
      <c r="A2158" s="2" t="s">
        <v>148</v>
      </c>
      <c r="B2158" s="2" t="s">
        <v>62</v>
      </c>
      <c r="C2158" s="2">
        <v>0.37921500000000002</v>
      </c>
      <c r="D2158" s="60">
        <v>30.337199999999999</v>
      </c>
      <c r="E2158" s="2">
        <v>10.4</v>
      </c>
      <c r="F2158" s="2">
        <v>4</v>
      </c>
      <c r="G2158" s="2">
        <v>30.7483</v>
      </c>
      <c r="H2158" s="2">
        <v>38.333199999999998</v>
      </c>
      <c r="I2158" s="2">
        <v>0</v>
      </c>
      <c r="J2158" s="2">
        <v>0</v>
      </c>
    </row>
    <row r="2159" spans="1:10">
      <c r="A2159" s="2" t="s">
        <v>148</v>
      </c>
      <c r="B2159" s="2" t="s">
        <v>59</v>
      </c>
      <c r="C2159" s="2">
        <v>0.54067200000000004</v>
      </c>
      <c r="D2159" s="60">
        <v>54.0672</v>
      </c>
      <c r="E2159" s="2">
        <v>6.4</v>
      </c>
      <c r="F2159" s="2">
        <v>4</v>
      </c>
      <c r="G2159" s="2">
        <v>38.333199999999998</v>
      </c>
      <c r="H2159" s="2">
        <v>44.321300000000001</v>
      </c>
      <c r="I2159" s="2">
        <v>0</v>
      </c>
      <c r="J2159" s="2">
        <v>0</v>
      </c>
    </row>
    <row r="2160" spans="1:10">
      <c r="A2160" s="2" t="s">
        <v>148</v>
      </c>
      <c r="B2160" s="2" t="s">
        <v>55</v>
      </c>
      <c r="C2160" s="2">
        <v>1.1640900000000001</v>
      </c>
      <c r="D2160" s="60">
        <v>168.79300000000001</v>
      </c>
      <c r="E2160" s="2">
        <v>0.3</v>
      </c>
      <c r="F2160" s="2">
        <v>6.1</v>
      </c>
      <c r="G2160" s="2">
        <v>44.321300000000001</v>
      </c>
      <c r="H2160" s="2">
        <v>58.864899999999999</v>
      </c>
      <c r="I2160" s="2">
        <v>0</v>
      </c>
      <c r="J2160" s="2">
        <v>0</v>
      </c>
    </row>
    <row r="2161" spans="1:10">
      <c r="A2161" s="2" t="s">
        <v>138</v>
      </c>
      <c r="B2161" s="2">
        <v>16</v>
      </c>
      <c r="C2161" s="2">
        <v>14.114699999999999</v>
      </c>
      <c r="D2161" s="60" t="s">
        <v>129</v>
      </c>
      <c r="E2161" s="2" t="s">
        <v>149</v>
      </c>
    </row>
    <row r="2162" spans="1:10">
      <c r="A2162" s="2" t="s">
        <v>140</v>
      </c>
      <c r="B2162" s="2">
        <v>0</v>
      </c>
      <c r="C2162" s="2">
        <v>62.794699999999999</v>
      </c>
      <c r="D2162" s="60">
        <v>27.020800000000001</v>
      </c>
    </row>
    <row r="2163" spans="1:10">
      <c r="A2163" s="2" t="s">
        <v>141</v>
      </c>
      <c r="B2163" s="2">
        <v>0</v>
      </c>
      <c r="C2163" s="2">
        <v>6.1</v>
      </c>
      <c r="D2163" s="60" t="s">
        <v>142</v>
      </c>
    </row>
    <row r="2164" spans="1:10">
      <c r="A2164" s="2" t="s">
        <v>141</v>
      </c>
      <c r="B2164" s="2">
        <v>0</v>
      </c>
      <c r="C2164" s="2">
        <v>21.5258</v>
      </c>
      <c r="D2164" s="60" t="s">
        <v>146</v>
      </c>
    </row>
    <row r="2165" spans="1:10">
      <c r="A2165" s="2" t="s">
        <v>141</v>
      </c>
      <c r="B2165" s="2">
        <v>6.1</v>
      </c>
      <c r="C2165" s="2">
        <v>12.5</v>
      </c>
      <c r="D2165" s="60" t="s">
        <v>145</v>
      </c>
    </row>
    <row r="2166" spans="1:10">
      <c r="A2166" s="2" t="s">
        <v>141</v>
      </c>
      <c r="B2166" s="2">
        <v>12.5</v>
      </c>
      <c r="C2166" s="2">
        <v>14.8</v>
      </c>
      <c r="D2166" s="60" t="s">
        <v>147</v>
      </c>
    </row>
    <row r="2167" spans="1:10">
      <c r="A2167" s="2" t="s">
        <v>141</v>
      </c>
      <c r="B2167" s="2">
        <v>14.8</v>
      </c>
      <c r="C2167" s="2">
        <v>17.2</v>
      </c>
      <c r="D2167" s="60" t="s">
        <v>145</v>
      </c>
    </row>
    <row r="2168" spans="1:10">
      <c r="A2168" s="2" t="s">
        <v>141</v>
      </c>
      <c r="B2168" s="2">
        <v>17.2</v>
      </c>
      <c r="C2168" s="2">
        <v>21.5258</v>
      </c>
      <c r="D2168" s="60" t="s">
        <v>144</v>
      </c>
    </row>
    <row r="2169" spans="1:10">
      <c r="A2169" s="2" t="s">
        <v>148</v>
      </c>
      <c r="B2169" s="2" t="s">
        <v>99</v>
      </c>
      <c r="C2169" s="2">
        <v>9.0552300000000002E-2</v>
      </c>
      <c r="D2169" s="60">
        <v>0</v>
      </c>
      <c r="E2169" s="2">
        <v>0</v>
      </c>
      <c r="F2169" s="2">
        <v>0.3</v>
      </c>
      <c r="G2169" s="2">
        <v>60.552599999999998</v>
      </c>
      <c r="H2169" s="2">
        <v>63.544600000000003</v>
      </c>
      <c r="I2169" s="2">
        <v>0</v>
      </c>
      <c r="J2169" s="2">
        <v>0</v>
      </c>
    </row>
    <row r="2170" spans="1:10">
      <c r="A2170" s="2" t="s">
        <v>148</v>
      </c>
      <c r="B2170" s="2" t="s">
        <v>100</v>
      </c>
      <c r="C2170" s="2">
        <v>1.1054100000000001E-2</v>
      </c>
      <c r="D2170" s="60">
        <v>0</v>
      </c>
      <c r="E2170" s="2">
        <v>23.911100000000001</v>
      </c>
      <c r="F2170" s="2">
        <v>3.1097000000000001</v>
      </c>
      <c r="G2170" s="2">
        <v>0</v>
      </c>
      <c r="H2170" s="2">
        <v>10.000500000000001</v>
      </c>
      <c r="I2170" s="2">
        <v>0</v>
      </c>
      <c r="J2170" s="2">
        <v>0</v>
      </c>
    </row>
    <row r="2171" spans="1:10">
      <c r="A2171" s="2" t="s">
        <v>148</v>
      </c>
      <c r="B2171" s="2" t="s">
        <v>98</v>
      </c>
      <c r="C2171" s="2">
        <v>5.6806099999999998E-2</v>
      </c>
      <c r="D2171" s="60">
        <v>0</v>
      </c>
      <c r="E2171" s="2">
        <v>20.3291</v>
      </c>
      <c r="F2171" s="2">
        <v>3.58203</v>
      </c>
      <c r="G2171" s="2">
        <v>10.000500000000001</v>
      </c>
      <c r="H2171" s="2">
        <v>18.139700000000001</v>
      </c>
      <c r="I2171" s="2">
        <v>0</v>
      </c>
      <c r="J2171" s="2">
        <v>0</v>
      </c>
    </row>
    <row r="2172" spans="1:10">
      <c r="A2172" s="2" t="s">
        <v>148</v>
      </c>
      <c r="B2172" s="2" t="s">
        <v>101</v>
      </c>
      <c r="C2172" s="2">
        <v>2.38195E-2</v>
      </c>
      <c r="D2172" s="60">
        <v>0</v>
      </c>
      <c r="E2172" s="2">
        <v>19.5</v>
      </c>
      <c r="F2172" s="2">
        <v>0.82906500000000005</v>
      </c>
      <c r="G2172" s="2">
        <v>18.139700000000001</v>
      </c>
      <c r="H2172" s="2">
        <v>20.0976</v>
      </c>
      <c r="I2172" s="2">
        <v>0</v>
      </c>
      <c r="J2172" s="2">
        <v>0</v>
      </c>
    </row>
    <row r="2173" spans="1:10">
      <c r="A2173" s="2" t="s">
        <v>148</v>
      </c>
      <c r="B2173" s="2" t="s">
        <v>63</v>
      </c>
      <c r="C2173" s="2">
        <v>0.35173300000000002</v>
      </c>
      <c r="D2173" s="60">
        <v>24.621300000000002</v>
      </c>
      <c r="E2173" s="2">
        <v>13.5</v>
      </c>
      <c r="F2173" s="2">
        <v>6</v>
      </c>
      <c r="G2173" s="2">
        <v>20.0976</v>
      </c>
      <c r="H2173" s="2">
        <v>33.6477</v>
      </c>
      <c r="I2173" s="2">
        <v>0</v>
      </c>
      <c r="J2173" s="2">
        <v>0</v>
      </c>
    </row>
    <row r="2174" spans="1:10">
      <c r="A2174" s="2" t="s">
        <v>148</v>
      </c>
      <c r="B2174" s="2" t="s">
        <v>59</v>
      </c>
      <c r="C2174" s="2">
        <v>0.44258399999999998</v>
      </c>
      <c r="D2174" s="60">
        <v>44.258400000000002</v>
      </c>
      <c r="E2174" s="2">
        <v>9.5</v>
      </c>
      <c r="F2174" s="2">
        <v>4</v>
      </c>
      <c r="G2174" s="2">
        <v>33.6477</v>
      </c>
      <c r="H2174" s="2">
        <v>41.018500000000003</v>
      </c>
      <c r="I2174" s="2">
        <v>0</v>
      </c>
      <c r="J2174" s="2">
        <v>0</v>
      </c>
    </row>
    <row r="2175" spans="1:10">
      <c r="A2175" s="2" t="s">
        <v>148</v>
      </c>
      <c r="B2175" s="2" t="s">
        <v>58</v>
      </c>
      <c r="C2175" s="2">
        <v>0.60991700000000004</v>
      </c>
      <c r="D2175" s="60">
        <v>64.041300000000007</v>
      </c>
      <c r="E2175" s="2">
        <v>5.5</v>
      </c>
      <c r="F2175" s="2">
        <v>4</v>
      </c>
      <c r="G2175" s="2">
        <v>41.018500000000003</v>
      </c>
      <c r="H2175" s="2">
        <v>46.828400000000002</v>
      </c>
      <c r="I2175" s="2">
        <v>0</v>
      </c>
      <c r="J2175" s="2">
        <v>0</v>
      </c>
    </row>
    <row r="2176" spans="1:10">
      <c r="A2176" s="2" t="s">
        <v>148</v>
      </c>
      <c r="B2176" s="2" t="s">
        <v>55</v>
      </c>
      <c r="C2176" s="2">
        <v>1.0814900000000001</v>
      </c>
      <c r="D2176" s="60">
        <v>156.816</v>
      </c>
      <c r="E2176" s="2">
        <v>0.3</v>
      </c>
      <c r="F2176" s="2">
        <v>5.2</v>
      </c>
      <c r="G2176" s="2">
        <v>46.828400000000002</v>
      </c>
      <c r="H2176" s="2">
        <v>60.552599999999998</v>
      </c>
      <c r="I2176" s="2">
        <v>0</v>
      </c>
      <c r="J2176" s="2">
        <v>0</v>
      </c>
    </row>
    <row r="2177" spans="1:10">
      <c r="A2177" s="2" t="s">
        <v>138</v>
      </c>
      <c r="B2177" s="2">
        <v>17</v>
      </c>
      <c r="C2177" s="2">
        <v>13.7942</v>
      </c>
      <c r="D2177" s="60" t="s">
        <v>129</v>
      </c>
      <c r="E2177" s="2" t="s">
        <v>149</v>
      </c>
    </row>
    <row r="2178" spans="1:10">
      <c r="A2178" s="2" t="s">
        <v>140</v>
      </c>
      <c r="B2178" s="2">
        <v>0</v>
      </c>
      <c r="C2178" s="2">
        <v>45.39</v>
      </c>
      <c r="D2178" s="60">
        <v>25.671600000000002</v>
      </c>
    </row>
    <row r="2179" spans="1:10">
      <c r="A2179" s="2" t="s">
        <v>141</v>
      </c>
      <c r="B2179" s="2">
        <v>0</v>
      </c>
      <c r="C2179" s="2">
        <v>5.8</v>
      </c>
      <c r="D2179" s="60" t="s">
        <v>142</v>
      </c>
    </row>
    <row r="2180" spans="1:10">
      <c r="A2180" s="2" t="s">
        <v>141</v>
      </c>
      <c r="B2180" s="2">
        <v>0</v>
      </c>
      <c r="C2180" s="2">
        <v>5.8</v>
      </c>
      <c r="D2180" s="60" t="s">
        <v>146</v>
      </c>
    </row>
    <row r="2181" spans="1:10">
      <c r="A2181" s="2" t="s">
        <v>141</v>
      </c>
      <c r="B2181" s="2">
        <v>0</v>
      </c>
      <c r="C2181" s="2">
        <v>5.8</v>
      </c>
      <c r="D2181" s="60" t="s">
        <v>158</v>
      </c>
    </row>
    <row r="2182" spans="1:10">
      <c r="A2182" s="2" t="s">
        <v>141</v>
      </c>
      <c r="B2182" s="2">
        <v>5.8</v>
      </c>
      <c r="C2182" s="2">
        <v>6</v>
      </c>
      <c r="D2182" s="60" t="s">
        <v>174</v>
      </c>
    </row>
    <row r="2183" spans="1:10">
      <c r="A2183" s="2" t="s">
        <v>141</v>
      </c>
      <c r="B2183" s="2">
        <v>5.8</v>
      </c>
      <c r="C2183" s="2">
        <v>6.2</v>
      </c>
      <c r="D2183" s="60" t="s">
        <v>159</v>
      </c>
    </row>
    <row r="2184" spans="1:10">
      <c r="A2184" s="2" t="s">
        <v>141</v>
      </c>
      <c r="B2184" s="2">
        <v>5.8</v>
      </c>
      <c r="C2184" s="2">
        <v>9.8000000000000007</v>
      </c>
      <c r="D2184" s="60" t="s">
        <v>145</v>
      </c>
    </row>
    <row r="2185" spans="1:10">
      <c r="A2185" s="2" t="s">
        <v>141</v>
      </c>
      <c r="B2185" s="2">
        <v>6.2</v>
      </c>
      <c r="C2185" s="2">
        <v>10.199999999999999</v>
      </c>
      <c r="D2185" s="60" t="s">
        <v>146</v>
      </c>
    </row>
    <row r="2186" spans="1:10">
      <c r="A2186" s="2" t="s">
        <v>141</v>
      </c>
      <c r="B2186" s="2">
        <v>9.8000000000000007</v>
      </c>
      <c r="C2186" s="2">
        <v>10.199999999999999</v>
      </c>
      <c r="D2186" s="60" t="s">
        <v>147</v>
      </c>
    </row>
    <row r="2187" spans="1:10">
      <c r="A2187" s="2" t="s">
        <v>141</v>
      </c>
      <c r="B2187" s="2">
        <v>10.199999999999999</v>
      </c>
      <c r="C2187" s="2">
        <v>20.515699999999999</v>
      </c>
      <c r="D2187" s="60" t="s">
        <v>144</v>
      </c>
    </row>
    <row r="2188" spans="1:10">
      <c r="A2188" s="2" t="s">
        <v>141</v>
      </c>
      <c r="B2188" s="2">
        <v>10.199999999999999</v>
      </c>
      <c r="C2188" s="2">
        <v>20.515699999999999</v>
      </c>
      <c r="D2188" s="60" t="s">
        <v>161</v>
      </c>
    </row>
    <row r="2189" spans="1:10">
      <c r="A2189" s="2" t="s">
        <v>148</v>
      </c>
      <c r="B2189" s="2" t="s">
        <v>99</v>
      </c>
      <c r="C2189" s="2">
        <v>5.0479599999999999E-2</v>
      </c>
      <c r="D2189" s="60">
        <v>0</v>
      </c>
      <c r="E2189" s="2">
        <v>0</v>
      </c>
      <c r="F2189" s="2">
        <v>0.3</v>
      </c>
      <c r="G2189" s="2">
        <v>45.161999999999999</v>
      </c>
      <c r="H2189" s="2">
        <v>47.5017</v>
      </c>
      <c r="I2189" s="2">
        <v>0</v>
      </c>
      <c r="J2189" s="2">
        <v>0</v>
      </c>
    </row>
    <row r="2190" spans="1:10">
      <c r="A2190" s="2" t="s">
        <v>148</v>
      </c>
      <c r="B2190" s="2" t="s">
        <v>100</v>
      </c>
      <c r="C2190" s="2">
        <v>1.4593E-2</v>
      </c>
      <c r="D2190" s="60">
        <v>0</v>
      </c>
      <c r="E2190" s="2">
        <v>21.2698</v>
      </c>
      <c r="F2190" s="2">
        <v>4.4018100000000002</v>
      </c>
      <c r="G2190" s="2">
        <v>0</v>
      </c>
      <c r="H2190" s="2">
        <v>10</v>
      </c>
      <c r="I2190" s="2">
        <v>0</v>
      </c>
      <c r="J2190" s="2">
        <v>0</v>
      </c>
    </row>
    <row r="2191" spans="1:10">
      <c r="A2191" s="2" t="s">
        <v>148</v>
      </c>
      <c r="B2191" s="2" t="s">
        <v>98</v>
      </c>
      <c r="C2191" s="2">
        <v>1.6348000000000001E-2</v>
      </c>
      <c r="D2191" s="60">
        <v>0</v>
      </c>
      <c r="E2191" s="2">
        <v>19.6846</v>
      </c>
      <c r="F2191" s="2">
        <v>1.58517</v>
      </c>
      <c r="G2191" s="2">
        <v>10</v>
      </c>
      <c r="H2191" s="2">
        <v>12.8752</v>
      </c>
      <c r="I2191" s="2">
        <v>0</v>
      </c>
      <c r="J2191" s="2">
        <v>0</v>
      </c>
    </row>
    <row r="2192" spans="1:10">
      <c r="A2192" s="2" t="s">
        <v>148</v>
      </c>
      <c r="B2192" s="2" t="s">
        <v>101</v>
      </c>
      <c r="C2192" s="2">
        <v>0.35702299999999998</v>
      </c>
      <c r="D2192" s="60">
        <v>0</v>
      </c>
      <c r="E2192" s="2">
        <v>10.199999999999999</v>
      </c>
      <c r="F2192" s="2">
        <v>9.4846199999999996</v>
      </c>
      <c r="G2192" s="2">
        <v>12.8752</v>
      </c>
      <c r="H2192" s="2">
        <v>29.095199999999998</v>
      </c>
      <c r="I2192" s="2">
        <v>0</v>
      </c>
      <c r="J2192" s="2">
        <v>0</v>
      </c>
    </row>
    <row r="2193" spans="1:10">
      <c r="A2193" s="2" t="s">
        <v>148</v>
      </c>
      <c r="B2193" s="2" t="s">
        <v>62</v>
      </c>
      <c r="C2193" s="2">
        <v>0.315137</v>
      </c>
      <c r="D2193" s="60">
        <v>25.210999999999999</v>
      </c>
      <c r="E2193" s="2">
        <v>6.2</v>
      </c>
      <c r="F2193" s="2">
        <v>4</v>
      </c>
      <c r="G2193" s="2">
        <v>29.095199999999998</v>
      </c>
      <c r="H2193" s="2">
        <v>33.976500000000001</v>
      </c>
      <c r="I2193" s="2">
        <v>0</v>
      </c>
      <c r="J2193" s="2">
        <v>0</v>
      </c>
    </row>
    <row r="2194" spans="1:10">
      <c r="A2194" s="2" t="s">
        <v>148</v>
      </c>
      <c r="B2194" s="2" t="s">
        <v>101</v>
      </c>
      <c r="C2194" s="2">
        <v>0.182611</v>
      </c>
      <c r="D2194" s="60">
        <v>0</v>
      </c>
      <c r="E2194" s="2">
        <v>4.3</v>
      </c>
      <c r="F2194" s="2">
        <v>1.9</v>
      </c>
      <c r="G2194" s="2">
        <v>33.976500000000001</v>
      </c>
      <c r="H2194" s="2">
        <v>35.966200000000001</v>
      </c>
      <c r="I2194" s="2">
        <v>0</v>
      </c>
      <c r="J2194" s="2">
        <v>0</v>
      </c>
    </row>
    <row r="2195" spans="1:10">
      <c r="A2195" s="2" t="s">
        <v>148</v>
      </c>
      <c r="B2195" s="2" t="s">
        <v>56</v>
      </c>
      <c r="C2195" s="2">
        <v>0.48023700000000002</v>
      </c>
      <c r="D2195" s="60">
        <v>67.233199999999997</v>
      </c>
      <c r="E2195" s="2">
        <v>0.3</v>
      </c>
      <c r="F2195" s="2">
        <v>4</v>
      </c>
      <c r="G2195" s="2">
        <v>35.966200000000001</v>
      </c>
      <c r="H2195" s="2">
        <v>45.161999999999999</v>
      </c>
      <c r="I2195" s="2">
        <v>0</v>
      </c>
      <c r="J2195" s="2">
        <v>0</v>
      </c>
    </row>
    <row r="2196" spans="1:10">
      <c r="A2196" s="2" t="s">
        <v>138</v>
      </c>
      <c r="B2196" s="2">
        <v>18</v>
      </c>
      <c r="C2196" s="2">
        <v>13.551500000000001</v>
      </c>
      <c r="D2196" s="60" t="s">
        <v>129</v>
      </c>
      <c r="E2196" s="2" t="s">
        <v>149</v>
      </c>
    </row>
    <row r="2197" spans="1:10">
      <c r="A2197" s="2" t="s">
        <v>140</v>
      </c>
      <c r="B2197" s="2">
        <v>0</v>
      </c>
      <c r="C2197" s="2">
        <v>39.884500000000003</v>
      </c>
      <c r="D2197" s="60">
        <v>25.1189</v>
      </c>
    </row>
    <row r="2198" spans="1:10">
      <c r="A2198" s="2" t="s">
        <v>141</v>
      </c>
      <c r="B2198" s="2">
        <v>0</v>
      </c>
      <c r="C2198" s="2">
        <v>1.2</v>
      </c>
      <c r="D2198" s="60" t="s">
        <v>158</v>
      </c>
    </row>
    <row r="2199" spans="1:10">
      <c r="A2199" s="2" t="s">
        <v>141</v>
      </c>
      <c r="B2199" s="2">
        <v>0</v>
      </c>
      <c r="C2199" s="2">
        <v>6.1</v>
      </c>
      <c r="D2199" s="60" t="s">
        <v>142</v>
      </c>
    </row>
    <row r="2200" spans="1:10">
      <c r="A2200" s="2" t="s">
        <v>141</v>
      </c>
      <c r="B2200" s="2">
        <v>0</v>
      </c>
      <c r="C2200" s="2">
        <v>10.6</v>
      </c>
      <c r="D2200" s="60" t="s">
        <v>146</v>
      </c>
    </row>
    <row r="2201" spans="1:10">
      <c r="A2201" s="2" t="s">
        <v>141</v>
      </c>
      <c r="B2201" s="2">
        <v>1.2</v>
      </c>
      <c r="C2201" s="2">
        <v>1.4</v>
      </c>
      <c r="D2201" s="60" t="s">
        <v>174</v>
      </c>
    </row>
    <row r="2202" spans="1:10">
      <c r="A2202" s="2" t="s">
        <v>141</v>
      </c>
      <c r="B2202" s="2">
        <v>6.1</v>
      </c>
      <c r="C2202" s="2">
        <v>10.6</v>
      </c>
      <c r="D2202" s="60" t="s">
        <v>144</v>
      </c>
    </row>
    <row r="2203" spans="1:10">
      <c r="A2203" s="2" t="s">
        <v>141</v>
      </c>
      <c r="B2203" s="2">
        <v>10.6</v>
      </c>
      <c r="C2203" s="2">
        <v>11</v>
      </c>
      <c r="D2203" s="60" t="s">
        <v>159</v>
      </c>
    </row>
    <row r="2204" spans="1:10">
      <c r="A2204" s="2" t="s">
        <v>141</v>
      </c>
      <c r="B2204" s="2">
        <v>10.6</v>
      </c>
      <c r="C2204" s="2">
        <v>13</v>
      </c>
      <c r="D2204" s="60" t="s">
        <v>147</v>
      </c>
    </row>
    <row r="2205" spans="1:10">
      <c r="A2205" s="2" t="s">
        <v>141</v>
      </c>
      <c r="B2205" s="2">
        <v>11</v>
      </c>
      <c r="C2205" s="2">
        <v>16.600000000000001</v>
      </c>
      <c r="D2205" s="60" t="s">
        <v>146</v>
      </c>
    </row>
    <row r="2206" spans="1:10">
      <c r="A2206" s="2" t="s">
        <v>141</v>
      </c>
      <c r="B2206" s="2">
        <v>13</v>
      </c>
      <c r="C2206" s="2">
        <v>16.899999999999999</v>
      </c>
      <c r="D2206" s="60" t="s">
        <v>145</v>
      </c>
    </row>
    <row r="2207" spans="1:10">
      <c r="A2207" s="2" t="s">
        <v>141</v>
      </c>
      <c r="B2207" s="2">
        <v>16.600000000000001</v>
      </c>
      <c r="C2207" s="2">
        <v>17</v>
      </c>
      <c r="D2207" s="60" t="s">
        <v>159</v>
      </c>
    </row>
    <row r="2208" spans="1:10">
      <c r="A2208" s="2" t="s">
        <v>141</v>
      </c>
      <c r="B2208" s="2">
        <v>16.899999999999999</v>
      </c>
      <c r="C2208" s="2">
        <v>20.101900000000001</v>
      </c>
      <c r="D2208" s="60" t="s">
        <v>144</v>
      </c>
    </row>
    <row r="2209" spans="1:10">
      <c r="A2209" s="2" t="s">
        <v>141</v>
      </c>
      <c r="B2209" s="2">
        <v>17</v>
      </c>
      <c r="C2209" s="2">
        <v>20.101900000000001</v>
      </c>
      <c r="D2209" s="60" t="s">
        <v>161</v>
      </c>
    </row>
    <row r="2210" spans="1:10">
      <c r="A2210" s="2" t="s">
        <v>148</v>
      </c>
      <c r="B2210" s="2" t="s">
        <v>99</v>
      </c>
      <c r="C2210" s="2">
        <v>3.99932E-2</v>
      </c>
      <c r="D2210" s="60">
        <v>0</v>
      </c>
      <c r="E2210" s="2">
        <v>0</v>
      </c>
      <c r="F2210" s="2">
        <v>0.3</v>
      </c>
      <c r="G2210" s="2">
        <v>40.179600000000001</v>
      </c>
      <c r="H2210" s="2">
        <v>42.303199999999997</v>
      </c>
      <c r="I2210" s="2">
        <v>0</v>
      </c>
      <c r="J2210" s="2">
        <v>0</v>
      </c>
    </row>
    <row r="2211" spans="1:10">
      <c r="A2211" s="2" t="s">
        <v>148</v>
      </c>
      <c r="B2211" s="2" t="s">
        <v>100</v>
      </c>
      <c r="C2211" s="2">
        <v>1.6029499999999999E-2</v>
      </c>
      <c r="D2211" s="60">
        <v>0</v>
      </c>
      <c r="E2211" s="2">
        <v>20.1419</v>
      </c>
      <c r="F2211" s="2">
        <v>4.9769399999999999</v>
      </c>
      <c r="G2211" s="2">
        <v>0</v>
      </c>
      <c r="H2211" s="2">
        <v>10</v>
      </c>
      <c r="I2211" s="2">
        <v>0</v>
      </c>
      <c r="J2211" s="2">
        <v>0</v>
      </c>
    </row>
    <row r="2212" spans="1:10">
      <c r="A2212" s="2" t="s">
        <v>148</v>
      </c>
      <c r="B2212" s="2" t="s">
        <v>98</v>
      </c>
      <c r="C2212" s="2">
        <v>2.87849E-3</v>
      </c>
      <c r="D2212" s="60">
        <v>0</v>
      </c>
      <c r="E2212" s="2">
        <v>19.7956</v>
      </c>
      <c r="F2212" s="2">
        <v>0.346304</v>
      </c>
      <c r="G2212" s="2">
        <v>10</v>
      </c>
      <c r="H2212" s="2">
        <v>10.5731</v>
      </c>
      <c r="I2212" s="2">
        <v>0</v>
      </c>
      <c r="J2212" s="2">
        <v>0</v>
      </c>
    </row>
    <row r="2213" spans="1:10">
      <c r="A2213" s="2" t="s">
        <v>148</v>
      </c>
      <c r="B2213" s="2" t="s">
        <v>101</v>
      </c>
      <c r="C2213" s="2">
        <v>8.24019E-2</v>
      </c>
      <c r="D2213" s="60">
        <v>0</v>
      </c>
      <c r="E2213" s="2">
        <v>15</v>
      </c>
      <c r="F2213" s="2">
        <v>4.7956399999999997</v>
      </c>
      <c r="G2213" s="2">
        <v>10.5731</v>
      </c>
      <c r="H2213" s="2">
        <v>18.605499999999999</v>
      </c>
      <c r="I2213" s="2">
        <v>0</v>
      </c>
      <c r="J2213" s="2">
        <v>0</v>
      </c>
    </row>
    <row r="2214" spans="1:10">
      <c r="A2214" s="2" t="s">
        <v>148</v>
      </c>
      <c r="B2214" s="2" t="s">
        <v>63</v>
      </c>
      <c r="C2214" s="2">
        <v>0.148678</v>
      </c>
      <c r="D2214" s="60">
        <v>10.407500000000001</v>
      </c>
      <c r="E2214" s="2">
        <v>11</v>
      </c>
      <c r="F2214" s="2">
        <v>4</v>
      </c>
      <c r="G2214" s="2">
        <v>18.605499999999999</v>
      </c>
      <c r="H2214" s="2">
        <v>24.581399999999999</v>
      </c>
      <c r="I2214" s="2">
        <v>0</v>
      </c>
      <c r="J2214" s="2">
        <v>0</v>
      </c>
    </row>
    <row r="2215" spans="1:10">
      <c r="A2215" s="2" t="s">
        <v>148</v>
      </c>
      <c r="B2215" s="2" t="s">
        <v>101</v>
      </c>
      <c r="C2215" s="2">
        <v>8.2547599999999999E-2</v>
      </c>
      <c r="D2215" s="60">
        <v>0</v>
      </c>
      <c r="E2215" s="2">
        <v>9.4</v>
      </c>
      <c r="F2215" s="2">
        <v>1.6</v>
      </c>
      <c r="G2215" s="2">
        <v>24.581399999999999</v>
      </c>
      <c r="H2215" s="2">
        <v>26.6296</v>
      </c>
      <c r="I2215" s="2">
        <v>0</v>
      </c>
      <c r="J2215" s="2">
        <v>0</v>
      </c>
    </row>
    <row r="2216" spans="1:10">
      <c r="A2216" s="2" t="s">
        <v>148</v>
      </c>
      <c r="B2216" s="2" t="s">
        <v>60</v>
      </c>
      <c r="C2216" s="2">
        <v>0.26204699999999997</v>
      </c>
      <c r="D2216" s="60">
        <v>23.584299999999999</v>
      </c>
      <c r="E2216" s="2">
        <v>5.4</v>
      </c>
      <c r="F2216" s="2">
        <v>4</v>
      </c>
      <c r="G2216" s="2">
        <v>26.6296</v>
      </c>
      <c r="H2216" s="2">
        <v>30.902100000000001</v>
      </c>
      <c r="I2216" s="2">
        <v>0</v>
      </c>
      <c r="J2216" s="2">
        <v>0</v>
      </c>
    </row>
    <row r="2217" spans="1:10">
      <c r="A2217" s="2" t="s">
        <v>148</v>
      </c>
      <c r="B2217" s="2" t="s">
        <v>59</v>
      </c>
      <c r="C2217" s="2">
        <v>0.34201199999999998</v>
      </c>
      <c r="D2217" s="60">
        <v>34.2012</v>
      </c>
      <c r="E2217" s="2">
        <v>1.4</v>
      </c>
      <c r="F2217" s="2">
        <v>4</v>
      </c>
      <c r="G2217" s="2">
        <v>30.902100000000001</v>
      </c>
      <c r="H2217" s="2">
        <v>35.790100000000002</v>
      </c>
      <c r="I2217" s="2">
        <v>0</v>
      </c>
      <c r="J2217" s="2">
        <v>0</v>
      </c>
    </row>
    <row r="2218" spans="1:10">
      <c r="A2218" s="2" t="s">
        <v>148</v>
      </c>
      <c r="B2218" s="2" t="s">
        <v>101</v>
      </c>
      <c r="C2218" s="2">
        <v>0.122596</v>
      </c>
      <c r="D2218" s="60">
        <v>0</v>
      </c>
      <c r="E2218" s="2">
        <v>0.3</v>
      </c>
      <c r="F2218" s="2">
        <v>1.1000000000000001</v>
      </c>
      <c r="G2218" s="2">
        <v>35.790100000000002</v>
      </c>
      <c r="H2218" s="2">
        <v>40.179600000000001</v>
      </c>
      <c r="I2218" s="2">
        <v>0</v>
      </c>
      <c r="J2218" s="2">
        <v>0</v>
      </c>
    </row>
    <row r="2219" spans="1:10">
      <c r="A2219" s="2" t="s">
        <v>138</v>
      </c>
      <c r="B2219" s="2">
        <v>19</v>
      </c>
      <c r="C2219" s="2">
        <v>13.698399999999999</v>
      </c>
      <c r="D2219" s="60" t="s">
        <v>129</v>
      </c>
      <c r="E2219" s="2" t="s">
        <v>175</v>
      </c>
    </row>
    <row r="2220" spans="1:10">
      <c r="A2220" s="2" t="s">
        <v>140</v>
      </c>
      <c r="B2220" s="2">
        <v>0</v>
      </c>
      <c r="C2220" s="2">
        <v>42.883299999999998</v>
      </c>
      <c r="D2220" s="60">
        <v>25.428599999999999</v>
      </c>
      <c r="E2220" s="2">
        <v>0</v>
      </c>
      <c r="F2220" s="2">
        <v>18.899999999999999</v>
      </c>
    </row>
    <row r="2221" spans="1:10">
      <c r="A2221" s="2" t="s">
        <v>141</v>
      </c>
      <c r="B2221" s="2">
        <v>0</v>
      </c>
      <c r="C2221" s="2">
        <v>6.7</v>
      </c>
      <c r="D2221" s="60" t="s">
        <v>142</v>
      </c>
    </row>
    <row r="2222" spans="1:10">
      <c r="A2222" s="2" t="s">
        <v>141</v>
      </c>
      <c r="B2222" s="2">
        <v>0</v>
      </c>
      <c r="C2222" s="2">
        <v>6.7</v>
      </c>
      <c r="D2222" s="60" t="s">
        <v>146</v>
      </c>
    </row>
    <row r="2223" spans="1:10">
      <c r="A2223" s="2" t="s">
        <v>141</v>
      </c>
      <c r="B2223" s="2">
        <v>6.7</v>
      </c>
      <c r="C2223" s="2">
        <v>7</v>
      </c>
      <c r="D2223" s="60" t="s">
        <v>153</v>
      </c>
    </row>
    <row r="2224" spans="1:10">
      <c r="A2224" s="2" t="s">
        <v>141</v>
      </c>
      <c r="B2224" s="2">
        <v>6.7</v>
      </c>
      <c r="C2224" s="2">
        <v>7</v>
      </c>
      <c r="D2224" s="60" t="s">
        <v>154</v>
      </c>
    </row>
    <row r="2225" spans="1:10">
      <c r="A2225" s="2" t="s">
        <v>141</v>
      </c>
      <c r="B2225" s="2">
        <v>6.7</v>
      </c>
      <c r="C2225" s="2">
        <v>11</v>
      </c>
      <c r="D2225" s="60" t="s">
        <v>152</v>
      </c>
    </row>
    <row r="2226" spans="1:10">
      <c r="A2226" s="2" t="s">
        <v>141</v>
      </c>
      <c r="B2226" s="2">
        <v>6.7</v>
      </c>
      <c r="C2226" s="2">
        <v>20.3338</v>
      </c>
      <c r="D2226" s="60" t="s">
        <v>144</v>
      </c>
    </row>
    <row r="2227" spans="1:10">
      <c r="A2227" s="2" t="s">
        <v>141</v>
      </c>
      <c r="B2227" s="2">
        <v>11</v>
      </c>
      <c r="C2227" s="2">
        <v>20.3338</v>
      </c>
      <c r="D2227" s="60" t="s">
        <v>146</v>
      </c>
    </row>
    <row r="2228" spans="1:10">
      <c r="A2228" s="2" t="s">
        <v>156</v>
      </c>
      <c r="B2228" s="2">
        <v>6.7</v>
      </c>
      <c r="C2228" s="2">
        <v>30.414100000000001</v>
      </c>
    </row>
    <row r="2229" spans="1:10">
      <c r="A2229" s="2" t="s">
        <v>148</v>
      </c>
      <c r="B2229" s="2" t="s">
        <v>99</v>
      </c>
      <c r="C2229" s="2">
        <v>4.5570699999999999E-2</v>
      </c>
      <c r="D2229" s="60">
        <v>0</v>
      </c>
      <c r="E2229" s="2">
        <v>0</v>
      </c>
      <c r="F2229" s="2">
        <v>0.3</v>
      </c>
      <c r="G2229" s="2">
        <v>42.901299999999999</v>
      </c>
      <c r="H2229" s="2">
        <v>45.143300000000004</v>
      </c>
      <c r="I2229" s="2">
        <v>0</v>
      </c>
      <c r="J2229" s="2">
        <v>0</v>
      </c>
    </row>
    <row r="2230" spans="1:10">
      <c r="A2230" s="2" t="s">
        <v>148</v>
      </c>
      <c r="B2230" s="2" t="s">
        <v>100</v>
      </c>
      <c r="C2230" s="2">
        <v>1.3084500000000001E-3</v>
      </c>
      <c r="D2230" s="60">
        <v>0</v>
      </c>
      <c r="E2230" s="2">
        <v>18.729600000000001</v>
      </c>
      <c r="F2230" s="2">
        <v>0.170372</v>
      </c>
      <c r="G2230" s="2">
        <v>9.7767599999999995</v>
      </c>
      <c r="H2230" s="2">
        <v>10</v>
      </c>
      <c r="I2230" s="2">
        <v>0</v>
      </c>
      <c r="J2230" s="2">
        <v>0</v>
      </c>
    </row>
    <row r="2231" spans="1:10">
      <c r="A2231" s="2" t="s">
        <v>148</v>
      </c>
      <c r="B2231" s="2" t="s">
        <v>101</v>
      </c>
      <c r="C2231" s="2">
        <v>2.33601E-4</v>
      </c>
      <c r="D2231" s="60">
        <v>0</v>
      </c>
      <c r="E2231" s="2">
        <v>18.7</v>
      </c>
      <c r="F2231" s="2">
        <v>2.96277E-2</v>
      </c>
      <c r="G2231" s="2">
        <v>10</v>
      </c>
      <c r="H2231" s="2">
        <v>10.0389</v>
      </c>
      <c r="I2231" s="2">
        <v>0</v>
      </c>
      <c r="J2231" s="2">
        <v>0</v>
      </c>
    </row>
    <row r="2232" spans="1:10">
      <c r="A2232" s="2" t="s">
        <v>148</v>
      </c>
      <c r="B2232" s="2" t="s">
        <v>64</v>
      </c>
      <c r="C2232" s="2">
        <v>4.56272E-2</v>
      </c>
      <c r="D2232" s="60">
        <v>1.3688199999999999</v>
      </c>
      <c r="E2232" s="2">
        <v>15</v>
      </c>
      <c r="F2232" s="2">
        <v>3.7</v>
      </c>
      <c r="G2232" s="2">
        <v>10.0389</v>
      </c>
      <c r="H2232" s="2">
        <v>14.8287</v>
      </c>
      <c r="I2232" s="2">
        <v>0</v>
      </c>
      <c r="J2232" s="2">
        <v>0</v>
      </c>
    </row>
    <row r="2233" spans="1:10">
      <c r="A2233" s="2" t="s">
        <v>148</v>
      </c>
      <c r="B2233" s="2" t="s">
        <v>63</v>
      </c>
      <c r="C2233" s="2">
        <v>9.3490599999999993E-2</v>
      </c>
      <c r="D2233" s="60">
        <v>6.54434</v>
      </c>
      <c r="E2233" s="2">
        <v>11</v>
      </c>
      <c r="F2233" s="2">
        <v>4</v>
      </c>
      <c r="G2233" s="2">
        <v>14.8287</v>
      </c>
      <c r="H2233" s="2">
        <v>19.426400000000001</v>
      </c>
      <c r="I2233" s="2">
        <v>0</v>
      </c>
      <c r="J2233" s="2">
        <v>0</v>
      </c>
    </row>
    <row r="2234" spans="1:10">
      <c r="A2234" s="2" t="s">
        <v>148</v>
      </c>
      <c r="B2234" s="2" t="s">
        <v>64</v>
      </c>
      <c r="C2234" s="2">
        <v>0.14326900000000001</v>
      </c>
      <c r="D2234" s="60">
        <v>4.2980700000000001</v>
      </c>
      <c r="E2234" s="2">
        <v>7</v>
      </c>
      <c r="F2234" s="2">
        <v>4</v>
      </c>
      <c r="G2234" s="2">
        <v>19.426400000000001</v>
      </c>
      <c r="H2234" s="2">
        <v>23.0715</v>
      </c>
      <c r="I2234" s="2">
        <v>0</v>
      </c>
      <c r="J2234" s="2">
        <v>0</v>
      </c>
    </row>
    <row r="2235" spans="1:10">
      <c r="A2235" s="2" t="s">
        <v>148</v>
      </c>
      <c r="B2235" s="2" t="s">
        <v>101</v>
      </c>
      <c r="C2235" s="2">
        <v>4.4671299999999997E-2</v>
      </c>
      <c r="D2235" s="60">
        <v>0</v>
      </c>
      <c r="E2235" s="2">
        <v>6.3</v>
      </c>
      <c r="F2235" s="2">
        <v>0.7</v>
      </c>
      <c r="G2235" s="2">
        <v>23.0715</v>
      </c>
      <c r="H2235" s="2">
        <v>32.124899999999997</v>
      </c>
      <c r="I2235" s="2">
        <v>0</v>
      </c>
      <c r="J2235" s="2">
        <v>0</v>
      </c>
    </row>
    <row r="2236" spans="1:10">
      <c r="A2236" s="2" t="s">
        <v>148</v>
      </c>
      <c r="B2236" s="2" t="s">
        <v>59</v>
      </c>
      <c r="C2236" s="2">
        <v>0.60551500000000003</v>
      </c>
      <c r="D2236" s="60">
        <v>60.551499999999997</v>
      </c>
      <c r="E2236" s="2">
        <v>0.3</v>
      </c>
      <c r="F2236" s="2">
        <v>6</v>
      </c>
      <c r="G2236" s="2">
        <v>32.124899999999997</v>
      </c>
      <c r="H2236" s="2">
        <v>42.901299999999999</v>
      </c>
      <c r="I2236" s="2">
        <v>0</v>
      </c>
      <c r="J2236" s="2">
        <v>0</v>
      </c>
    </row>
    <row r="2237" spans="1:10">
      <c r="A2237" s="2" t="s">
        <v>140</v>
      </c>
      <c r="B2237" s="2">
        <v>1</v>
      </c>
      <c r="C2237" s="2">
        <v>24.4758</v>
      </c>
      <c r="D2237" s="60">
        <v>25.428599999999999</v>
      </c>
      <c r="E2237" s="2">
        <v>6.7</v>
      </c>
    </row>
    <row r="2238" spans="1:10">
      <c r="A2238" s="2" t="s">
        <v>141</v>
      </c>
      <c r="B2238" s="2">
        <v>6.7</v>
      </c>
      <c r="C2238" s="2">
        <v>7</v>
      </c>
      <c r="D2238" s="60" t="s">
        <v>153</v>
      </c>
    </row>
    <row r="2239" spans="1:10">
      <c r="A2239" s="2" t="s">
        <v>141</v>
      </c>
      <c r="B2239" s="2">
        <v>6.7</v>
      </c>
      <c r="C2239" s="2">
        <v>16.899999999999999</v>
      </c>
      <c r="D2239" s="60" t="s">
        <v>155</v>
      </c>
    </row>
    <row r="2240" spans="1:10">
      <c r="A2240" s="2" t="s">
        <v>141</v>
      </c>
      <c r="B2240" s="2">
        <v>6.7</v>
      </c>
      <c r="C2240" s="2">
        <v>20.3338</v>
      </c>
      <c r="D2240" s="60" t="s">
        <v>144</v>
      </c>
    </row>
    <row r="2241" spans="1:10">
      <c r="A2241" s="2" t="s">
        <v>141</v>
      </c>
      <c r="B2241" s="2">
        <v>16.899999999999999</v>
      </c>
      <c r="C2241" s="2">
        <v>20.3338</v>
      </c>
      <c r="D2241" s="60" t="s">
        <v>161</v>
      </c>
    </row>
    <row r="2242" spans="1:10">
      <c r="A2242" s="2" t="s">
        <v>148</v>
      </c>
      <c r="B2242" s="2" t="s">
        <v>100</v>
      </c>
      <c r="C2242" s="2">
        <v>2.4552500000000001E-2</v>
      </c>
      <c r="D2242" s="60">
        <v>0</v>
      </c>
      <c r="E2242" s="2">
        <v>17.0929</v>
      </c>
      <c r="F2242" s="2">
        <v>8.3357399999999995</v>
      </c>
      <c r="G2242" s="2">
        <v>0</v>
      </c>
      <c r="H2242" s="2">
        <v>10</v>
      </c>
      <c r="I2242" s="2">
        <v>0</v>
      </c>
      <c r="J2242" s="2">
        <v>0</v>
      </c>
    </row>
    <row r="2243" spans="1:10">
      <c r="A2243" s="2" t="s">
        <v>148</v>
      </c>
      <c r="B2243" s="2" t="s">
        <v>98</v>
      </c>
      <c r="C2243" s="2">
        <v>3.97753E-2</v>
      </c>
      <c r="D2243" s="60">
        <v>0</v>
      </c>
      <c r="E2243" s="2">
        <v>13.5282</v>
      </c>
      <c r="F2243" s="2">
        <v>3.5647099999999998</v>
      </c>
      <c r="G2243" s="2">
        <v>10</v>
      </c>
      <c r="H2243" s="2">
        <v>13.681699999999999</v>
      </c>
      <c r="I2243" s="2">
        <v>0</v>
      </c>
      <c r="J2243" s="2">
        <v>0</v>
      </c>
    </row>
    <row r="2244" spans="1:10">
      <c r="A2244" s="2" t="s">
        <v>148</v>
      </c>
      <c r="B2244" s="2" t="s">
        <v>101</v>
      </c>
      <c r="C2244" s="2">
        <v>8.0582299999999996E-3</v>
      </c>
      <c r="D2244" s="60">
        <v>0</v>
      </c>
      <c r="E2244" s="2">
        <v>13</v>
      </c>
      <c r="F2244" s="2">
        <v>0.52818699999999996</v>
      </c>
      <c r="G2244" s="2">
        <v>13.681699999999999</v>
      </c>
      <c r="H2244" s="2">
        <v>14.189399999999999</v>
      </c>
      <c r="I2244" s="2">
        <v>0</v>
      </c>
      <c r="J2244" s="2">
        <v>0</v>
      </c>
    </row>
    <row r="2245" spans="1:10">
      <c r="A2245" s="2" t="s">
        <v>148</v>
      </c>
      <c r="B2245" s="2" t="s">
        <v>63</v>
      </c>
      <c r="C2245" s="2">
        <v>0.132995</v>
      </c>
      <c r="D2245" s="60">
        <v>9.3096399999999999</v>
      </c>
      <c r="E2245" s="2">
        <v>7</v>
      </c>
      <c r="F2245" s="2">
        <v>6</v>
      </c>
      <c r="G2245" s="2">
        <v>14.189399999999999</v>
      </c>
      <c r="H2245" s="2">
        <v>18.9937</v>
      </c>
      <c r="I2245" s="2">
        <v>0</v>
      </c>
      <c r="J2245" s="2">
        <v>0</v>
      </c>
    </row>
    <row r="2246" spans="1:10">
      <c r="A2246" s="2" t="s">
        <v>148</v>
      </c>
      <c r="B2246" s="2" t="s">
        <v>101</v>
      </c>
      <c r="C2246" s="2">
        <v>8.5881199999999994E-3</v>
      </c>
      <c r="D2246" s="60">
        <v>0</v>
      </c>
      <c r="E2246" s="2">
        <v>6.7</v>
      </c>
      <c r="F2246" s="2">
        <v>0.3</v>
      </c>
      <c r="G2246" s="2">
        <v>18.9937</v>
      </c>
      <c r="H2246" s="2">
        <v>19.188800000000001</v>
      </c>
      <c r="I2246" s="2">
        <v>0</v>
      </c>
      <c r="J2246" s="2">
        <v>0</v>
      </c>
    </row>
    <row r="2247" spans="1:10">
      <c r="A2247" s="2" t="s">
        <v>138</v>
      </c>
      <c r="B2247" s="2">
        <v>20</v>
      </c>
      <c r="C2247" s="2">
        <v>13.9185</v>
      </c>
      <c r="D2247" s="60" t="s">
        <v>129</v>
      </c>
      <c r="E2247" s="2" t="s">
        <v>149</v>
      </c>
    </row>
    <row r="2248" spans="1:10">
      <c r="A2248" s="2" t="s">
        <v>140</v>
      </c>
      <c r="B2248" s="2">
        <v>0</v>
      </c>
      <c r="C2248" s="2">
        <v>49.737499999999997</v>
      </c>
      <c r="D2248" s="60">
        <v>26.0608</v>
      </c>
    </row>
    <row r="2249" spans="1:10">
      <c r="A2249" s="2" t="s">
        <v>141</v>
      </c>
      <c r="B2249" s="2">
        <v>0</v>
      </c>
      <c r="C2249" s="2">
        <v>4.3</v>
      </c>
      <c r="D2249" s="60" t="s">
        <v>158</v>
      </c>
    </row>
    <row r="2250" spans="1:10">
      <c r="A2250" s="2" t="s">
        <v>141</v>
      </c>
      <c r="B2250" s="2">
        <v>0</v>
      </c>
      <c r="C2250" s="2">
        <v>9</v>
      </c>
      <c r="D2250" s="60" t="s">
        <v>144</v>
      </c>
    </row>
    <row r="2251" spans="1:10">
      <c r="A2251" s="2" t="s">
        <v>141</v>
      </c>
      <c r="B2251" s="2">
        <v>0</v>
      </c>
      <c r="C2251" s="2">
        <v>13</v>
      </c>
      <c r="D2251" s="60" t="s">
        <v>146</v>
      </c>
    </row>
    <row r="2252" spans="1:10">
      <c r="A2252" s="2" t="s">
        <v>141</v>
      </c>
      <c r="B2252" s="2">
        <v>4.3</v>
      </c>
      <c r="C2252" s="2">
        <v>4.8</v>
      </c>
      <c r="D2252" s="60" t="s">
        <v>177</v>
      </c>
    </row>
    <row r="2253" spans="1:10">
      <c r="A2253" s="2" t="s">
        <v>141</v>
      </c>
      <c r="B2253" s="2">
        <v>9</v>
      </c>
      <c r="C2253" s="2">
        <v>13</v>
      </c>
      <c r="D2253" s="60" t="s">
        <v>145</v>
      </c>
    </row>
    <row r="2254" spans="1:10">
      <c r="A2254" s="2" t="s">
        <v>141</v>
      </c>
      <c r="B2254" s="2">
        <v>13</v>
      </c>
      <c r="C2254" s="2">
        <v>13.5</v>
      </c>
      <c r="D2254" s="60" t="s">
        <v>147</v>
      </c>
    </row>
    <row r="2255" spans="1:10">
      <c r="A2255" s="2" t="s">
        <v>141</v>
      </c>
      <c r="B2255" s="2">
        <v>13</v>
      </c>
      <c r="C2255" s="2">
        <v>13.5</v>
      </c>
      <c r="D2255" s="60" t="s">
        <v>159</v>
      </c>
    </row>
    <row r="2256" spans="1:10">
      <c r="A2256" s="2" t="s">
        <v>141</v>
      </c>
      <c r="B2256" s="2">
        <v>13.5</v>
      </c>
      <c r="C2256" s="2">
        <v>20.807099999999998</v>
      </c>
      <c r="D2256" s="60" t="s">
        <v>144</v>
      </c>
    </row>
    <row r="2257" spans="1:10">
      <c r="A2257" s="2" t="s">
        <v>141</v>
      </c>
      <c r="B2257" s="2">
        <v>13.5</v>
      </c>
      <c r="C2257" s="2">
        <v>20.807099999999998</v>
      </c>
      <c r="D2257" s="60" t="s">
        <v>152</v>
      </c>
    </row>
    <row r="2258" spans="1:10">
      <c r="A2258" s="2" t="s">
        <v>148</v>
      </c>
      <c r="B2258" s="2" t="s">
        <v>99</v>
      </c>
      <c r="C2258" s="2">
        <v>5.9517800000000003E-2</v>
      </c>
      <c r="D2258" s="60">
        <v>0</v>
      </c>
      <c r="E2258" s="2">
        <v>0</v>
      </c>
      <c r="F2258" s="2">
        <v>0.3</v>
      </c>
      <c r="G2258" s="2">
        <v>49.054400000000001</v>
      </c>
      <c r="H2258" s="2">
        <v>51.560699999999997</v>
      </c>
      <c r="I2258" s="2">
        <v>0</v>
      </c>
      <c r="J2258" s="2">
        <v>0</v>
      </c>
    </row>
    <row r="2259" spans="1:10">
      <c r="A2259" s="2" t="s">
        <v>148</v>
      </c>
      <c r="B2259" s="2" t="s">
        <v>100</v>
      </c>
      <c r="C2259" s="2">
        <v>1.35905E-2</v>
      </c>
      <c r="D2259" s="60">
        <v>0</v>
      </c>
      <c r="E2259" s="2">
        <v>22.044499999999999</v>
      </c>
      <c r="F2259" s="2">
        <v>4.0162800000000001</v>
      </c>
      <c r="G2259" s="2">
        <v>0</v>
      </c>
      <c r="H2259" s="2">
        <v>10</v>
      </c>
      <c r="I2259" s="2">
        <v>0</v>
      </c>
      <c r="J2259" s="2">
        <v>0</v>
      </c>
    </row>
    <row r="2260" spans="1:10">
      <c r="A2260" s="2" t="s">
        <v>148</v>
      </c>
      <c r="B2260" s="2" t="s">
        <v>98</v>
      </c>
      <c r="C2260" s="2">
        <v>6.91161E-2</v>
      </c>
      <c r="D2260" s="60">
        <v>0</v>
      </c>
      <c r="E2260" s="2">
        <v>17.7712</v>
      </c>
      <c r="F2260" s="2">
        <v>4.2733499999999998</v>
      </c>
      <c r="G2260" s="2">
        <v>10</v>
      </c>
      <c r="H2260" s="2">
        <v>18.368500000000001</v>
      </c>
      <c r="I2260" s="2">
        <v>0</v>
      </c>
      <c r="J2260" s="2">
        <v>0</v>
      </c>
    </row>
    <row r="2261" spans="1:10">
      <c r="A2261" s="2" t="s">
        <v>148</v>
      </c>
      <c r="B2261" s="2" t="s">
        <v>101</v>
      </c>
      <c r="C2261" s="2">
        <v>1.9010699999999999E-3</v>
      </c>
      <c r="D2261" s="60">
        <v>0</v>
      </c>
      <c r="E2261" s="2">
        <v>17.7</v>
      </c>
      <c r="F2261" s="2">
        <v>7.1191099999999993E-2</v>
      </c>
      <c r="G2261" s="2">
        <v>18.368500000000001</v>
      </c>
      <c r="H2261" s="2">
        <v>18.509699999999999</v>
      </c>
      <c r="I2261" s="2">
        <v>0</v>
      </c>
      <c r="J2261" s="2">
        <v>0</v>
      </c>
    </row>
    <row r="2262" spans="1:10">
      <c r="A2262" s="2" t="s">
        <v>148</v>
      </c>
      <c r="B2262" s="2" t="s">
        <v>64</v>
      </c>
      <c r="C2262" s="2">
        <v>0.16972699999999999</v>
      </c>
      <c r="D2262" s="60">
        <v>5.0918099999999997</v>
      </c>
      <c r="E2262" s="2">
        <v>13.5</v>
      </c>
      <c r="F2262" s="2">
        <v>4.2</v>
      </c>
      <c r="G2262" s="2">
        <v>18.509699999999999</v>
      </c>
      <c r="H2262" s="2">
        <v>26.466000000000001</v>
      </c>
      <c r="I2262" s="2">
        <v>0</v>
      </c>
      <c r="J2262" s="2">
        <v>0</v>
      </c>
    </row>
    <row r="2263" spans="1:10">
      <c r="A2263" s="2" t="s">
        <v>148</v>
      </c>
      <c r="B2263" s="2" t="s">
        <v>101</v>
      </c>
      <c r="C2263" s="2">
        <v>4.0312399999999998E-2</v>
      </c>
      <c r="D2263" s="60">
        <v>0</v>
      </c>
      <c r="E2263" s="2">
        <v>12.8</v>
      </c>
      <c r="F2263" s="2">
        <v>0.7</v>
      </c>
      <c r="G2263" s="2">
        <v>26.466000000000001</v>
      </c>
      <c r="H2263" s="2">
        <v>27.6798</v>
      </c>
      <c r="I2263" s="2">
        <v>0</v>
      </c>
      <c r="J2263" s="2">
        <v>0</v>
      </c>
    </row>
    <row r="2264" spans="1:10">
      <c r="A2264" s="2" t="s">
        <v>148</v>
      </c>
      <c r="B2264" s="2" t="s">
        <v>60</v>
      </c>
      <c r="C2264" s="2">
        <v>0.29996499999999998</v>
      </c>
      <c r="D2264" s="60">
        <v>26.9968</v>
      </c>
      <c r="E2264" s="2">
        <v>8.8000000000000007</v>
      </c>
      <c r="F2264" s="2">
        <v>4</v>
      </c>
      <c r="G2264" s="2">
        <v>27.6798</v>
      </c>
      <c r="H2264" s="2">
        <v>33.7744</v>
      </c>
      <c r="I2264" s="2">
        <v>0</v>
      </c>
      <c r="J2264" s="2">
        <v>0</v>
      </c>
    </row>
    <row r="2265" spans="1:10">
      <c r="A2265" s="2" t="s">
        <v>148</v>
      </c>
      <c r="B2265" s="2" t="s">
        <v>59</v>
      </c>
      <c r="C2265" s="2">
        <v>0.413352</v>
      </c>
      <c r="D2265" s="60">
        <v>41.3352</v>
      </c>
      <c r="E2265" s="2">
        <v>4.8</v>
      </c>
      <c r="F2265" s="2">
        <v>4</v>
      </c>
      <c r="G2265" s="2">
        <v>33.7744</v>
      </c>
      <c r="H2265" s="2">
        <v>38.5563</v>
      </c>
      <c r="I2265" s="2">
        <v>0</v>
      </c>
      <c r="J2265" s="2">
        <v>0</v>
      </c>
    </row>
    <row r="2266" spans="1:10">
      <c r="A2266" s="2" t="s">
        <v>148</v>
      </c>
      <c r="B2266" s="2" t="s">
        <v>101</v>
      </c>
      <c r="C2266" s="2">
        <v>5.9222700000000003E-2</v>
      </c>
      <c r="D2266" s="60">
        <v>0</v>
      </c>
      <c r="E2266" s="2">
        <v>4.3</v>
      </c>
      <c r="F2266" s="2">
        <v>0.5</v>
      </c>
      <c r="G2266" s="2">
        <v>38.5563</v>
      </c>
      <c r="H2266" s="2">
        <v>39.112499999999997</v>
      </c>
      <c r="I2266" s="2">
        <v>0</v>
      </c>
      <c r="J2266" s="2">
        <v>0</v>
      </c>
    </row>
    <row r="2267" spans="1:10">
      <c r="A2267" s="2" t="s">
        <v>148</v>
      </c>
      <c r="B2267" s="2" t="s">
        <v>59</v>
      </c>
      <c r="C2267" s="2">
        <v>0.56743600000000005</v>
      </c>
      <c r="D2267" s="60">
        <v>56.743600000000001</v>
      </c>
      <c r="E2267" s="2">
        <v>0.3</v>
      </c>
      <c r="F2267" s="2">
        <v>4</v>
      </c>
      <c r="G2267" s="2">
        <v>39.112499999999997</v>
      </c>
      <c r="H2267" s="2">
        <v>49.054400000000001</v>
      </c>
      <c r="I2267" s="2">
        <v>0</v>
      </c>
      <c r="J2267" s="2">
        <v>0</v>
      </c>
    </row>
    <row r="2268" spans="1:10">
      <c r="A2268" s="2" t="s">
        <v>138</v>
      </c>
      <c r="B2268" s="2">
        <v>21</v>
      </c>
      <c r="C2268" s="2">
        <v>14.2178</v>
      </c>
      <c r="D2268" s="60" t="s">
        <v>129</v>
      </c>
      <c r="E2268" s="2" t="s">
        <v>149</v>
      </c>
    </row>
    <row r="2269" spans="1:10">
      <c r="A2269" s="2" t="s">
        <v>140</v>
      </c>
      <c r="B2269" s="2">
        <v>0</v>
      </c>
      <c r="C2269" s="2">
        <v>82.590500000000006</v>
      </c>
      <c r="D2269" s="60">
        <v>28.0459</v>
      </c>
    </row>
    <row r="2270" spans="1:10">
      <c r="A2270" s="2" t="s">
        <v>141</v>
      </c>
      <c r="B2270" s="2">
        <v>0</v>
      </c>
      <c r="C2270" s="2">
        <v>3.5</v>
      </c>
      <c r="D2270" s="60" t="s">
        <v>158</v>
      </c>
    </row>
    <row r="2271" spans="1:10">
      <c r="A2271" s="2" t="s">
        <v>141</v>
      </c>
      <c r="B2271" s="2">
        <v>0</v>
      </c>
      <c r="C2271" s="2">
        <v>8.9</v>
      </c>
      <c r="D2271" s="60" t="s">
        <v>144</v>
      </c>
    </row>
    <row r="2272" spans="1:10">
      <c r="A2272" s="2" t="s">
        <v>141</v>
      </c>
      <c r="B2272" s="2">
        <v>0</v>
      </c>
      <c r="C2272" s="2">
        <v>13</v>
      </c>
      <c r="D2272" s="60" t="s">
        <v>146</v>
      </c>
    </row>
    <row r="2273" spans="1:10">
      <c r="A2273" s="2" t="s">
        <v>141</v>
      </c>
      <c r="B2273" s="2">
        <v>3.5</v>
      </c>
      <c r="C2273" s="2">
        <v>4</v>
      </c>
      <c r="D2273" s="60" t="s">
        <v>178</v>
      </c>
    </row>
    <row r="2274" spans="1:10">
      <c r="A2274" s="2" t="s">
        <v>141</v>
      </c>
      <c r="B2274" s="2">
        <v>8.9</v>
      </c>
      <c r="C2274" s="2">
        <v>13</v>
      </c>
      <c r="D2274" s="60" t="s">
        <v>145</v>
      </c>
    </row>
    <row r="2275" spans="1:10">
      <c r="A2275" s="2" t="s">
        <v>141</v>
      </c>
      <c r="B2275" s="2">
        <v>13</v>
      </c>
      <c r="C2275" s="2">
        <v>14.4</v>
      </c>
      <c r="D2275" s="60" t="s">
        <v>190</v>
      </c>
    </row>
    <row r="2276" spans="1:10">
      <c r="A2276" s="2" t="s">
        <v>141</v>
      </c>
      <c r="B2276" s="2">
        <v>13</v>
      </c>
      <c r="C2276" s="2">
        <v>14.4</v>
      </c>
      <c r="D2276" s="60" t="s">
        <v>159</v>
      </c>
    </row>
    <row r="2277" spans="1:10">
      <c r="A2277" s="2" t="s">
        <v>141</v>
      </c>
      <c r="B2277" s="2">
        <v>14.4</v>
      </c>
      <c r="C2277" s="2">
        <v>14.7</v>
      </c>
      <c r="D2277" s="60" t="s">
        <v>154</v>
      </c>
    </row>
    <row r="2278" spans="1:10">
      <c r="A2278" s="2" t="s">
        <v>141</v>
      </c>
      <c r="B2278" s="2">
        <v>14.4</v>
      </c>
      <c r="C2278" s="2">
        <v>22.293299999999999</v>
      </c>
      <c r="D2278" s="60" t="s">
        <v>144</v>
      </c>
    </row>
    <row r="2279" spans="1:10">
      <c r="A2279" s="2" t="s">
        <v>141</v>
      </c>
      <c r="B2279" s="2">
        <v>14.4</v>
      </c>
      <c r="C2279" s="2">
        <v>22.293299999999999</v>
      </c>
      <c r="D2279" s="60" t="s">
        <v>161</v>
      </c>
    </row>
    <row r="2280" spans="1:10">
      <c r="A2280" s="2" t="s">
        <v>156</v>
      </c>
      <c r="B2280" s="2">
        <v>14.4</v>
      </c>
      <c r="C2280" s="2">
        <v>63.374200000000002</v>
      </c>
    </row>
    <row r="2281" spans="1:10">
      <c r="A2281" s="2" t="s">
        <v>148</v>
      </c>
      <c r="B2281" s="2" t="s">
        <v>99</v>
      </c>
      <c r="C2281" s="2">
        <v>0.148256</v>
      </c>
      <c r="D2281" s="60">
        <v>0</v>
      </c>
      <c r="E2281" s="2">
        <v>0</v>
      </c>
      <c r="F2281" s="2">
        <v>0.3</v>
      </c>
      <c r="G2281" s="2">
        <v>77.538499999999999</v>
      </c>
      <c r="H2281" s="2">
        <v>81.239900000000006</v>
      </c>
      <c r="I2281" s="2">
        <v>0</v>
      </c>
      <c r="J2281" s="2">
        <v>0</v>
      </c>
    </row>
    <row r="2282" spans="1:10">
      <c r="A2282" s="2" t="s">
        <v>148</v>
      </c>
      <c r="B2282" s="2" t="s">
        <v>100</v>
      </c>
      <c r="C2282" s="2">
        <v>1.1350499999999999E-2</v>
      </c>
      <c r="D2282" s="60">
        <v>0</v>
      </c>
      <c r="E2282" s="2">
        <v>24.858799999999999</v>
      </c>
      <c r="F2282" s="2">
        <v>3.1871900000000002</v>
      </c>
      <c r="G2282" s="2">
        <v>0</v>
      </c>
      <c r="H2282" s="2">
        <v>10.000400000000001</v>
      </c>
      <c r="I2282" s="2">
        <v>0</v>
      </c>
      <c r="J2282" s="2">
        <v>0</v>
      </c>
    </row>
    <row r="2283" spans="1:10">
      <c r="A2283" s="2" t="s">
        <v>148</v>
      </c>
      <c r="B2283" s="2" t="s">
        <v>98</v>
      </c>
      <c r="C2283" s="2">
        <v>9.0654399999999996E-2</v>
      </c>
      <c r="D2283" s="60">
        <v>0</v>
      </c>
      <c r="E2283" s="2">
        <v>20.081299999999999</v>
      </c>
      <c r="F2283" s="2">
        <v>4.7774299999999998</v>
      </c>
      <c r="G2283" s="2">
        <v>10.000400000000001</v>
      </c>
      <c r="H2283" s="2">
        <v>20.634499999999999</v>
      </c>
      <c r="I2283" s="2">
        <v>0</v>
      </c>
      <c r="J2283" s="2">
        <v>0</v>
      </c>
    </row>
    <row r="2284" spans="1:10">
      <c r="A2284" s="2" t="s">
        <v>148</v>
      </c>
      <c r="B2284" s="2" t="s">
        <v>101</v>
      </c>
      <c r="C2284" s="2">
        <v>0.66092799999999996</v>
      </c>
      <c r="D2284" s="60">
        <v>0</v>
      </c>
      <c r="E2284" s="2">
        <v>12.3</v>
      </c>
      <c r="F2284" s="2">
        <v>7.7813299999999996</v>
      </c>
      <c r="G2284" s="2">
        <v>20.634499999999999</v>
      </c>
      <c r="H2284" s="2">
        <v>47.164400000000001</v>
      </c>
      <c r="I2284" s="2">
        <v>0</v>
      </c>
      <c r="J2284" s="2">
        <v>0</v>
      </c>
    </row>
    <row r="2285" spans="1:10">
      <c r="A2285" s="2" t="s">
        <v>148</v>
      </c>
      <c r="B2285" s="2" t="s">
        <v>58</v>
      </c>
      <c r="C2285" s="2">
        <v>0.83381499999999997</v>
      </c>
      <c r="D2285" s="60">
        <v>87.5505</v>
      </c>
      <c r="E2285" s="2">
        <v>8.3000000000000007</v>
      </c>
      <c r="F2285" s="2">
        <v>4</v>
      </c>
      <c r="G2285" s="2">
        <v>47.164400000000001</v>
      </c>
      <c r="H2285" s="2">
        <v>55.431899999999999</v>
      </c>
      <c r="I2285" s="2">
        <v>0</v>
      </c>
      <c r="J2285" s="2">
        <v>0</v>
      </c>
    </row>
    <row r="2286" spans="1:10">
      <c r="A2286" s="2" t="s">
        <v>148</v>
      </c>
      <c r="B2286" s="2" t="s">
        <v>58</v>
      </c>
      <c r="C2286" s="2">
        <v>1.0896999999999999</v>
      </c>
      <c r="D2286" s="60">
        <v>114.419</v>
      </c>
      <c r="E2286" s="2">
        <v>4.3</v>
      </c>
      <c r="F2286" s="2">
        <v>4</v>
      </c>
      <c r="G2286" s="2">
        <v>55.431899999999999</v>
      </c>
      <c r="H2286" s="2">
        <v>62.168500000000002</v>
      </c>
      <c r="I2286" s="2">
        <v>0</v>
      </c>
      <c r="J2286" s="2">
        <v>0</v>
      </c>
    </row>
    <row r="2287" spans="1:10">
      <c r="A2287" s="2" t="s">
        <v>148</v>
      </c>
      <c r="B2287" s="2" t="s">
        <v>62</v>
      </c>
      <c r="C2287" s="2">
        <v>1.4281999999999999</v>
      </c>
      <c r="D2287" s="60">
        <v>114.256</v>
      </c>
      <c r="E2287" s="2">
        <v>0.3</v>
      </c>
      <c r="F2287" s="2">
        <v>4</v>
      </c>
      <c r="G2287" s="2">
        <v>62.168500000000002</v>
      </c>
      <c r="H2287" s="2">
        <v>77.538499999999999</v>
      </c>
      <c r="I2287" s="2">
        <v>0</v>
      </c>
      <c r="J2287" s="2">
        <v>0</v>
      </c>
    </row>
    <row r="2288" spans="1:10">
      <c r="A2288" s="2" t="s">
        <v>138</v>
      </c>
      <c r="B2288" s="2">
        <v>22</v>
      </c>
      <c r="C2288" s="2">
        <v>13.167199999999999</v>
      </c>
      <c r="D2288" s="60" t="s">
        <v>129</v>
      </c>
      <c r="E2288" s="2" t="s">
        <v>149</v>
      </c>
    </row>
    <row r="2289" spans="1:10">
      <c r="A2289" s="2" t="s">
        <v>140</v>
      </c>
      <c r="B2289" s="2">
        <v>0</v>
      </c>
      <c r="C2289" s="2">
        <v>34.671500000000002</v>
      </c>
      <c r="D2289" s="60">
        <v>24.5229</v>
      </c>
    </row>
    <row r="2290" spans="1:10">
      <c r="A2290" s="2" t="s">
        <v>141</v>
      </c>
      <c r="B2290" s="2">
        <v>0</v>
      </c>
      <c r="C2290" s="2">
        <v>6.3</v>
      </c>
      <c r="D2290" s="60" t="s">
        <v>142</v>
      </c>
    </row>
    <row r="2291" spans="1:10">
      <c r="A2291" s="2" t="s">
        <v>141</v>
      </c>
      <c r="B2291" s="2">
        <v>0</v>
      </c>
      <c r="C2291" s="2">
        <v>11.6</v>
      </c>
      <c r="D2291" s="60" t="s">
        <v>146</v>
      </c>
    </row>
    <row r="2292" spans="1:10">
      <c r="A2292" s="2" t="s">
        <v>141</v>
      </c>
      <c r="B2292" s="2">
        <v>6.3</v>
      </c>
      <c r="C2292" s="2">
        <v>6.6</v>
      </c>
      <c r="D2292" s="60" t="s">
        <v>145</v>
      </c>
    </row>
    <row r="2293" spans="1:10">
      <c r="A2293" s="2" t="s">
        <v>141</v>
      </c>
      <c r="B2293" s="2">
        <v>6.6</v>
      </c>
      <c r="C2293" s="2">
        <v>11.6</v>
      </c>
      <c r="D2293" s="60" t="s">
        <v>144</v>
      </c>
    </row>
    <row r="2294" spans="1:10">
      <c r="A2294" s="2" t="s">
        <v>141</v>
      </c>
      <c r="B2294" s="2">
        <v>11.6</v>
      </c>
      <c r="C2294" s="2">
        <v>12</v>
      </c>
      <c r="D2294" s="60" t="s">
        <v>145</v>
      </c>
    </row>
    <row r="2295" spans="1:10">
      <c r="A2295" s="2" t="s">
        <v>141</v>
      </c>
      <c r="B2295" s="2">
        <v>11.6</v>
      </c>
      <c r="C2295" s="2">
        <v>12</v>
      </c>
      <c r="D2295" s="60" t="s">
        <v>152</v>
      </c>
    </row>
    <row r="2296" spans="1:10">
      <c r="A2296" s="2" t="s">
        <v>141</v>
      </c>
      <c r="B2296" s="2">
        <v>12</v>
      </c>
      <c r="C2296" s="2">
        <v>14.2</v>
      </c>
      <c r="D2296" s="60" t="s">
        <v>146</v>
      </c>
    </row>
    <row r="2297" spans="1:10">
      <c r="A2297" s="2" t="s">
        <v>141</v>
      </c>
      <c r="B2297" s="2">
        <v>12</v>
      </c>
      <c r="C2297" s="2">
        <v>19.6557</v>
      </c>
      <c r="D2297" s="60" t="s">
        <v>144</v>
      </c>
    </row>
    <row r="2298" spans="1:10">
      <c r="A2298" s="2" t="s">
        <v>141</v>
      </c>
      <c r="B2298" s="2">
        <v>14.2</v>
      </c>
      <c r="C2298" s="2">
        <v>14.6</v>
      </c>
      <c r="D2298" s="60" t="s">
        <v>159</v>
      </c>
    </row>
    <row r="2299" spans="1:10">
      <c r="A2299" s="2" t="s">
        <v>141</v>
      </c>
      <c r="B2299" s="2">
        <v>14.6</v>
      </c>
      <c r="C2299" s="2">
        <v>19.6557</v>
      </c>
      <c r="D2299" s="60" t="s">
        <v>146</v>
      </c>
    </row>
    <row r="2300" spans="1:10">
      <c r="A2300" s="2" t="s">
        <v>148</v>
      </c>
      <c r="B2300" s="2" t="s">
        <v>99</v>
      </c>
      <c r="C2300" s="2">
        <v>3.1076599999999999E-2</v>
      </c>
      <c r="D2300" s="60">
        <v>0</v>
      </c>
      <c r="E2300" s="2">
        <v>0</v>
      </c>
      <c r="F2300" s="2">
        <v>0.3</v>
      </c>
      <c r="G2300" s="2">
        <v>35.399700000000003</v>
      </c>
      <c r="H2300" s="2">
        <v>37.3125</v>
      </c>
      <c r="I2300" s="2">
        <v>0</v>
      </c>
      <c r="J2300" s="2">
        <v>0</v>
      </c>
    </row>
    <row r="2301" spans="1:10">
      <c r="A2301" s="2" t="s">
        <v>148</v>
      </c>
      <c r="B2301" s="2" t="s">
        <v>100</v>
      </c>
      <c r="C2301" s="2">
        <v>1.7641799999999999E-2</v>
      </c>
      <c r="D2301" s="60">
        <v>0</v>
      </c>
      <c r="E2301" s="2">
        <v>18.878699999999998</v>
      </c>
      <c r="F2301" s="2">
        <v>5.6442100000000002</v>
      </c>
      <c r="G2301" s="2">
        <v>0</v>
      </c>
      <c r="H2301" s="2">
        <v>10</v>
      </c>
      <c r="I2301" s="2">
        <v>0</v>
      </c>
      <c r="J2301" s="2">
        <v>0</v>
      </c>
    </row>
    <row r="2302" spans="1:10">
      <c r="A2302" s="2" t="s">
        <v>148</v>
      </c>
      <c r="B2302" s="2" t="s">
        <v>101</v>
      </c>
      <c r="C2302" s="2">
        <v>6.2534199999999998E-4</v>
      </c>
      <c r="D2302" s="60">
        <v>0</v>
      </c>
      <c r="E2302" s="2">
        <v>18.8</v>
      </c>
      <c r="F2302" s="2">
        <v>7.8679600000000002E-2</v>
      </c>
      <c r="G2302" s="2">
        <v>10</v>
      </c>
      <c r="H2302" s="2">
        <v>10.119199999999999</v>
      </c>
      <c r="I2302" s="2">
        <v>0</v>
      </c>
      <c r="J2302" s="2">
        <v>0</v>
      </c>
    </row>
    <row r="2303" spans="1:10">
      <c r="A2303" s="2" t="s">
        <v>148</v>
      </c>
      <c r="B2303" s="2" t="s">
        <v>64</v>
      </c>
      <c r="C2303" s="2">
        <v>5.9615099999999997E-2</v>
      </c>
      <c r="D2303" s="60">
        <v>1.7884500000000001</v>
      </c>
      <c r="E2303" s="2">
        <v>14.6</v>
      </c>
      <c r="F2303" s="2">
        <v>4.2</v>
      </c>
      <c r="G2303" s="2">
        <v>10.119199999999999</v>
      </c>
      <c r="H2303" s="2">
        <v>16.475000000000001</v>
      </c>
      <c r="I2303" s="2">
        <v>0</v>
      </c>
      <c r="J2303" s="2">
        <v>0</v>
      </c>
    </row>
    <row r="2304" spans="1:10">
      <c r="A2304" s="2" t="s">
        <v>148</v>
      </c>
      <c r="B2304" s="2" t="s">
        <v>101</v>
      </c>
      <c r="C2304" s="2">
        <v>8.8319799999999997E-3</v>
      </c>
      <c r="D2304" s="60">
        <v>0</v>
      </c>
      <c r="E2304" s="2">
        <v>14.2</v>
      </c>
      <c r="F2304" s="2">
        <v>0.4</v>
      </c>
      <c r="G2304" s="2">
        <v>16.475000000000001</v>
      </c>
      <c r="H2304" s="2">
        <v>17.055900000000001</v>
      </c>
      <c r="I2304" s="2">
        <v>0</v>
      </c>
      <c r="J2304" s="2">
        <v>0</v>
      </c>
    </row>
    <row r="2305" spans="1:10">
      <c r="A2305" s="2" t="s">
        <v>148</v>
      </c>
      <c r="B2305" s="2" t="s">
        <v>64</v>
      </c>
      <c r="C2305" s="2">
        <v>0.11976100000000001</v>
      </c>
      <c r="D2305" s="60">
        <v>3.5928300000000002</v>
      </c>
      <c r="E2305" s="2">
        <v>10.3</v>
      </c>
      <c r="F2305" s="2">
        <v>3.9</v>
      </c>
      <c r="G2305" s="2">
        <v>17.055900000000001</v>
      </c>
      <c r="H2305" s="2">
        <v>22.207899999999999</v>
      </c>
      <c r="I2305" s="2">
        <v>0</v>
      </c>
      <c r="J2305" s="2">
        <v>0</v>
      </c>
    </row>
    <row r="2306" spans="1:10">
      <c r="A2306" s="2" t="s">
        <v>148</v>
      </c>
      <c r="B2306" s="2" t="s">
        <v>60</v>
      </c>
      <c r="C2306" s="2">
        <v>0.187082</v>
      </c>
      <c r="D2306" s="60">
        <v>16.837399999999999</v>
      </c>
      <c r="E2306" s="2">
        <v>6.3</v>
      </c>
      <c r="F2306" s="2">
        <v>4</v>
      </c>
      <c r="G2306" s="2">
        <v>22.207899999999999</v>
      </c>
      <c r="H2306" s="2">
        <v>26.3507</v>
      </c>
      <c r="I2306" s="2">
        <v>0</v>
      </c>
      <c r="J2306" s="2">
        <v>0</v>
      </c>
    </row>
    <row r="2307" spans="1:10">
      <c r="A2307" s="2" t="s">
        <v>148</v>
      </c>
      <c r="B2307" s="2" t="s">
        <v>60</v>
      </c>
      <c r="C2307" s="2">
        <v>0.41020600000000002</v>
      </c>
      <c r="D2307" s="60">
        <v>36.918599999999998</v>
      </c>
      <c r="E2307" s="2">
        <v>0.3</v>
      </c>
      <c r="F2307" s="2">
        <v>6</v>
      </c>
      <c r="G2307" s="2">
        <v>26.3507</v>
      </c>
      <c r="H2307" s="2">
        <v>35.399700000000003</v>
      </c>
      <c r="I2307" s="2">
        <v>0</v>
      </c>
      <c r="J2307" s="2">
        <v>0</v>
      </c>
    </row>
    <row r="2308" spans="1:10">
      <c r="A2308" s="2" t="s">
        <v>138</v>
      </c>
      <c r="B2308" s="2">
        <v>23</v>
      </c>
      <c r="C2308" s="2">
        <v>13.3035</v>
      </c>
      <c r="D2308" s="60" t="s">
        <v>129</v>
      </c>
      <c r="E2308" s="2" t="s">
        <v>149</v>
      </c>
    </row>
    <row r="2309" spans="1:10">
      <c r="A2309" s="2" t="s">
        <v>140</v>
      </c>
      <c r="B2309" s="2">
        <v>0</v>
      </c>
      <c r="C2309" s="2">
        <v>36.196800000000003</v>
      </c>
      <c r="D2309" s="60">
        <v>24.708200000000001</v>
      </c>
    </row>
    <row r="2310" spans="1:10">
      <c r="A2310" s="2" t="s">
        <v>141</v>
      </c>
      <c r="B2310" s="2">
        <v>0</v>
      </c>
      <c r="C2310" s="2">
        <v>6.2</v>
      </c>
      <c r="D2310" s="60" t="s">
        <v>142</v>
      </c>
    </row>
    <row r="2311" spans="1:10">
      <c r="A2311" s="2" t="s">
        <v>141</v>
      </c>
      <c r="B2311" s="2">
        <v>0</v>
      </c>
      <c r="C2311" s="2">
        <v>6.6</v>
      </c>
      <c r="D2311" s="60" t="s">
        <v>146</v>
      </c>
    </row>
    <row r="2312" spans="1:10">
      <c r="A2312" s="2" t="s">
        <v>141</v>
      </c>
      <c r="B2312" s="2">
        <v>6.2</v>
      </c>
      <c r="C2312" s="2">
        <v>11.7</v>
      </c>
      <c r="D2312" s="60" t="s">
        <v>144</v>
      </c>
    </row>
    <row r="2313" spans="1:10">
      <c r="A2313" s="2" t="s">
        <v>141</v>
      </c>
      <c r="B2313" s="2">
        <v>6.6</v>
      </c>
      <c r="C2313" s="2">
        <v>6.9</v>
      </c>
      <c r="D2313" s="60" t="s">
        <v>159</v>
      </c>
    </row>
    <row r="2314" spans="1:10">
      <c r="A2314" s="2" t="s">
        <v>141</v>
      </c>
      <c r="B2314" s="2">
        <v>6.9</v>
      </c>
      <c r="C2314" s="2">
        <v>14</v>
      </c>
      <c r="D2314" s="60" t="s">
        <v>146</v>
      </c>
    </row>
    <row r="2315" spans="1:10">
      <c r="A2315" s="2" t="s">
        <v>141</v>
      </c>
      <c r="B2315" s="2">
        <v>11.7</v>
      </c>
      <c r="C2315" s="2">
        <v>13</v>
      </c>
      <c r="D2315" s="60" t="s">
        <v>145</v>
      </c>
    </row>
    <row r="2316" spans="1:10">
      <c r="A2316" s="2" t="s">
        <v>141</v>
      </c>
      <c r="B2316" s="2">
        <v>13</v>
      </c>
      <c r="C2316" s="2">
        <v>19.7944</v>
      </c>
      <c r="D2316" s="60" t="s">
        <v>144</v>
      </c>
    </row>
    <row r="2317" spans="1:10">
      <c r="A2317" s="2" t="s">
        <v>141</v>
      </c>
      <c r="B2317" s="2">
        <v>14</v>
      </c>
      <c r="C2317" s="2">
        <v>19.7944</v>
      </c>
      <c r="D2317" s="60" t="s">
        <v>161</v>
      </c>
    </row>
    <row r="2318" spans="1:10">
      <c r="A2318" s="2" t="s">
        <v>148</v>
      </c>
      <c r="B2318" s="2" t="s">
        <v>99</v>
      </c>
      <c r="C2318" s="2">
        <v>3.3582300000000002E-2</v>
      </c>
      <c r="D2318" s="60">
        <v>0</v>
      </c>
      <c r="E2318" s="2">
        <v>0</v>
      </c>
      <c r="F2318" s="2">
        <v>0.3</v>
      </c>
      <c r="G2318" s="2">
        <v>36.805300000000003</v>
      </c>
      <c r="H2318" s="2">
        <v>38.780299999999997</v>
      </c>
      <c r="I2318" s="2">
        <v>0</v>
      </c>
      <c r="J2318" s="2">
        <v>0</v>
      </c>
    </row>
    <row r="2319" spans="1:10">
      <c r="A2319" s="2" t="s">
        <v>148</v>
      </c>
      <c r="B2319" s="2" t="s">
        <v>100</v>
      </c>
      <c r="C2319" s="2">
        <v>1.71392E-2</v>
      </c>
      <c r="D2319" s="60">
        <v>0</v>
      </c>
      <c r="E2319" s="2">
        <v>19.273800000000001</v>
      </c>
      <c r="F2319" s="2">
        <v>5.43438</v>
      </c>
      <c r="G2319" s="2">
        <v>0</v>
      </c>
      <c r="H2319" s="2">
        <v>10</v>
      </c>
      <c r="I2319" s="2">
        <v>0</v>
      </c>
      <c r="J2319" s="2">
        <v>0</v>
      </c>
    </row>
    <row r="2320" spans="1:10">
      <c r="A2320" s="2" t="s">
        <v>148</v>
      </c>
      <c r="B2320" s="2" t="s">
        <v>98</v>
      </c>
      <c r="C2320" s="2">
        <v>4.3313299999999999E-2</v>
      </c>
      <c r="D2320" s="60">
        <v>0</v>
      </c>
      <c r="E2320" s="2">
        <v>15.884600000000001</v>
      </c>
      <c r="F2320" s="2">
        <v>3.3891900000000001</v>
      </c>
      <c r="G2320" s="2">
        <v>10</v>
      </c>
      <c r="H2320" s="2">
        <v>15.324299999999999</v>
      </c>
      <c r="I2320" s="2">
        <v>0</v>
      </c>
      <c r="J2320" s="2">
        <v>0</v>
      </c>
    </row>
    <row r="2321" spans="1:10">
      <c r="A2321" s="2" t="s">
        <v>148</v>
      </c>
      <c r="B2321" s="2" t="s">
        <v>101</v>
      </c>
      <c r="C2321" s="2">
        <v>7.2844500000000006E-2</v>
      </c>
      <c r="D2321" s="60">
        <v>0</v>
      </c>
      <c r="E2321" s="2">
        <v>12.9</v>
      </c>
      <c r="F2321" s="2">
        <v>2.9845899999999999</v>
      </c>
      <c r="G2321" s="2">
        <v>15.324299999999999</v>
      </c>
      <c r="H2321" s="2">
        <v>19.764700000000001</v>
      </c>
      <c r="I2321" s="2">
        <v>0</v>
      </c>
      <c r="J2321" s="2">
        <v>0</v>
      </c>
    </row>
    <row r="2322" spans="1:10">
      <c r="A2322" s="2" t="s">
        <v>148</v>
      </c>
      <c r="B2322" s="2" t="s">
        <v>61</v>
      </c>
      <c r="C2322" s="2">
        <v>0.26311800000000002</v>
      </c>
      <c r="D2322" s="60">
        <v>22.365100000000002</v>
      </c>
      <c r="E2322" s="2">
        <v>6.9</v>
      </c>
      <c r="F2322" s="2">
        <v>6</v>
      </c>
      <c r="G2322" s="2">
        <v>19.764700000000001</v>
      </c>
      <c r="H2322" s="2">
        <v>26.863600000000002</v>
      </c>
      <c r="I2322" s="2">
        <v>0</v>
      </c>
      <c r="J2322" s="2">
        <v>0</v>
      </c>
    </row>
    <row r="2323" spans="1:10">
      <c r="A2323" s="2" t="s">
        <v>148</v>
      </c>
      <c r="B2323" s="2" t="s">
        <v>101</v>
      </c>
      <c r="C2323" s="2">
        <v>3.4735599999999998E-2</v>
      </c>
      <c r="D2323" s="60">
        <v>0</v>
      </c>
      <c r="E2323" s="2">
        <v>6.3</v>
      </c>
      <c r="F2323" s="2">
        <v>0.6</v>
      </c>
      <c r="G2323" s="2">
        <v>26.863600000000002</v>
      </c>
      <c r="H2323" s="2">
        <v>27.431699999999999</v>
      </c>
      <c r="I2323" s="2">
        <v>0</v>
      </c>
      <c r="J2323" s="2">
        <v>0</v>
      </c>
    </row>
    <row r="2324" spans="1:10">
      <c r="A2324" s="2" t="s">
        <v>148</v>
      </c>
      <c r="B2324" s="2" t="s">
        <v>60</v>
      </c>
      <c r="C2324" s="2">
        <v>0.44389600000000001</v>
      </c>
      <c r="D2324" s="60">
        <v>39.950600000000001</v>
      </c>
      <c r="E2324" s="2">
        <v>0.3</v>
      </c>
      <c r="F2324" s="2">
        <v>6</v>
      </c>
      <c r="G2324" s="2">
        <v>27.431699999999999</v>
      </c>
      <c r="H2324" s="2">
        <v>36.805300000000003</v>
      </c>
      <c r="I2324" s="2">
        <v>0</v>
      </c>
      <c r="J2324" s="2">
        <v>0</v>
      </c>
    </row>
    <row r="2325" spans="1:10">
      <c r="A2325" s="2" t="s">
        <v>138</v>
      </c>
      <c r="B2325" s="2">
        <v>24</v>
      </c>
      <c r="C2325" s="2">
        <v>14.174799999999999</v>
      </c>
      <c r="D2325" s="60" t="s">
        <v>129</v>
      </c>
      <c r="E2325" s="2" t="s">
        <v>139</v>
      </c>
    </row>
    <row r="2326" spans="1:10">
      <c r="A2326" s="2" t="s">
        <v>140</v>
      </c>
      <c r="B2326" s="2">
        <v>0</v>
      </c>
      <c r="C2326" s="2">
        <v>67.051400000000001</v>
      </c>
      <c r="D2326" s="60">
        <v>31.126999999999999</v>
      </c>
    </row>
    <row r="2327" spans="1:10">
      <c r="A2327" s="2" t="s">
        <v>141</v>
      </c>
      <c r="B2327" s="2">
        <v>0</v>
      </c>
      <c r="C2327" s="2">
        <v>6.3</v>
      </c>
      <c r="D2327" s="60" t="s">
        <v>142</v>
      </c>
    </row>
    <row r="2328" spans="1:10">
      <c r="A2328" s="2" t="s">
        <v>141</v>
      </c>
      <c r="B2328" s="2">
        <v>0</v>
      </c>
      <c r="C2328" s="2">
        <v>13.8</v>
      </c>
      <c r="D2328" s="60" t="s">
        <v>146</v>
      </c>
    </row>
    <row r="2329" spans="1:10">
      <c r="A2329" s="2" t="s">
        <v>141</v>
      </c>
      <c r="B2329" s="2">
        <v>6.3</v>
      </c>
      <c r="C2329" s="2">
        <v>8.6999999999999993</v>
      </c>
      <c r="D2329" s="60" t="s">
        <v>144</v>
      </c>
    </row>
    <row r="2330" spans="1:10">
      <c r="A2330" s="2" t="s">
        <v>141</v>
      </c>
      <c r="B2330" s="2">
        <v>8.6999999999999993</v>
      </c>
      <c r="C2330" s="2">
        <v>12</v>
      </c>
      <c r="D2330" s="60" t="s">
        <v>145</v>
      </c>
    </row>
    <row r="2331" spans="1:10">
      <c r="A2331" s="2" t="s">
        <v>141</v>
      </c>
      <c r="B2331" s="2">
        <v>12</v>
      </c>
      <c r="C2331" s="2">
        <v>24.6</v>
      </c>
      <c r="D2331" s="60" t="s">
        <v>147</v>
      </c>
    </row>
    <row r="2332" spans="1:10">
      <c r="A2332" s="2" t="s">
        <v>141</v>
      </c>
      <c r="B2332" s="2">
        <v>13.8</v>
      </c>
      <c r="C2332" s="2">
        <v>14.4</v>
      </c>
      <c r="D2332" s="60" t="s">
        <v>159</v>
      </c>
    </row>
    <row r="2333" spans="1:10">
      <c r="A2333" s="2" t="s">
        <v>141</v>
      </c>
      <c r="B2333" s="2">
        <v>14.4</v>
      </c>
      <c r="C2333" s="2">
        <v>24.6</v>
      </c>
      <c r="D2333" s="60" t="s">
        <v>146</v>
      </c>
    </row>
    <row r="2334" spans="1:10">
      <c r="A2334" s="2" t="s">
        <v>148</v>
      </c>
      <c r="B2334" s="2" t="s">
        <v>99</v>
      </c>
      <c r="C2334" s="2">
        <v>0.102755</v>
      </c>
      <c r="D2334" s="60">
        <v>0</v>
      </c>
      <c r="E2334" s="2">
        <v>0</v>
      </c>
      <c r="F2334" s="2">
        <v>0.3</v>
      </c>
      <c r="G2334" s="2">
        <v>64.682400000000001</v>
      </c>
      <c r="H2334" s="2">
        <v>67.484200000000001</v>
      </c>
      <c r="I2334" s="2">
        <v>0</v>
      </c>
      <c r="J2334" s="2">
        <v>0</v>
      </c>
    </row>
    <row r="2335" spans="1:10">
      <c r="A2335" s="2" t="s">
        <v>148</v>
      </c>
      <c r="B2335" s="2" t="s">
        <v>100</v>
      </c>
      <c r="C2335" s="2">
        <v>1.1784899999999999E-2</v>
      </c>
      <c r="D2335" s="60">
        <v>0</v>
      </c>
      <c r="E2335" s="2">
        <v>27.853300000000001</v>
      </c>
      <c r="F2335" s="2">
        <v>3.2736999999999998</v>
      </c>
      <c r="G2335" s="2">
        <v>0</v>
      </c>
      <c r="H2335" s="2">
        <v>10.0002</v>
      </c>
      <c r="I2335" s="2">
        <v>0</v>
      </c>
      <c r="J2335" s="2">
        <v>0</v>
      </c>
    </row>
    <row r="2336" spans="1:10">
      <c r="A2336" s="2" t="s">
        <v>148</v>
      </c>
      <c r="B2336" s="2" t="s">
        <v>98</v>
      </c>
      <c r="C2336" s="2">
        <v>0.915377</v>
      </c>
      <c r="D2336" s="60">
        <v>0</v>
      </c>
      <c r="E2336" s="2">
        <v>12.534599999999999</v>
      </c>
      <c r="F2336" s="2">
        <v>15.3187</v>
      </c>
      <c r="G2336" s="2">
        <v>10.0002</v>
      </c>
      <c r="H2336" s="2">
        <v>41.062100000000001</v>
      </c>
      <c r="I2336" s="2">
        <v>0</v>
      </c>
      <c r="J2336" s="2">
        <v>0</v>
      </c>
    </row>
    <row r="2337" spans="1:10">
      <c r="A2337" s="2" t="s">
        <v>148</v>
      </c>
      <c r="B2337" s="2" t="s">
        <v>101</v>
      </c>
      <c r="C2337" s="2">
        <v>4.48987E-2</v>
      </c>
      <c r="D2337" s="60">
        <v>0</v>
      </c>
      <c r="E2337" s="2">
        <v>12.2</v>
      </c>
      <c r="F2337" s="2">
        <v>0.33458700000000002</v>
      </c>
      <c r="G2337" s="2">
        <v>41.062100000000001</v>
      </c>
      <c r="H2337" s="2">
        <v>41.605600000000003</v>
      </c>
      <c r="I2337" s="2">
        <v>0</v>
      </c>
      <c r="J2337" s="2">
        <v>0</v>
      </c>
    </row>
    <row r="2338" spans="1:10">
      <c r="A2338" s="2" t="s">
        <v>148</v>
      </c>
      <c r="B2338" s="2" t="s">
        <v>58</v>
      </c>
      <c r="C2338" s="2">
        <v>0.99794400000000005</v>
      </c>
      <c r="D2338" s="60">
        <v>104.78400000000001</v>
      </c>
      <c r="E2338" s="2">
        <v>6.2</v>
      </c>
      <c r="F2338" s="2">
        <v>6</v>
      </c>
      <c r="G2338" s="2">
        <v>41.605600000000003</v>
      </c>
      <c r="H2338" s="2">
        <v>49.896900000000002</v>
      </c>
      <c r="I2338" s="2">
        <v>0</v>
      </c>
      <c r="J2338" s="2">
        <v>0</v>
      </c>
    </row>
    <row r="2339" spans="1:10">
      <c r="A2339" s="2" t="s">
        <v>148</v>
      </c>
      <c r="B2339" s="2" t="s">
        <v>55</v>
      </c>
      <c r="C2339" s="2">
        <v>1.3935299999999999</v>
      </c>
      <c r="D2339" s="60">
        <v>202.06200000000001</v>
      </c>
      <c r="E2339" s="2">
        <v>0.3</v>
      </c>
      <c r="F2339" s="2">
        <v>5.9</v>
      </c>
      <c r="G2339" s="2">
        <v>49.896900000000002</v>
      </c>
      <c r="H2339" s="2">
        <v>64.682400000000001</v>
      </c>
      <c r="I2339" s="2">
        <v>0</v>
      </c>
      <c r="J2339" s="2">
        <v>0</v>
      </c>
    </row>
    <row r="2340" spans="1:10">
      <c r="A2340" s="2" t="s">
        <v>138</v>
      </c>
      <c r="B2340" s="2">
        <v>25</v>
      </c>
      <c r="C2340" s="2">
        <v>12.587300000000001</v>
      </c>
      <c r="D2340" s="60" t="s">
        <v>129</v>
      </c>
      <c r="E2340" s="2" t="s">
        <v>175</v>
      </c>
    </row>
    <row r="2341" spans="1:10">
      <c r="A2341" s="2" t="s">
        <v>140</v>
      </c>
      <c r="B2341" s="2">
        <v>0</v>
      </c>
      <c r="C2341" s="2">
        <v>30.610600000000002</v>
      </c>
      <c r="D2341" s="60">
        <v>23.886299999999999</v>
      </c>
      <c r="E2341" s="2">
        <v>0</v>
      </c>
      <c r="F2341" s="2">
        <v>9.9</v>
      </c>
    </row>
    <row r="2342" spans="1:10">
      <c r="A2342" s="2" t="s">
        <v>141</v>
      </c>
      <c r="B2342" s="2">
        <v>0</v>
      </c>
      <c r="C2342" s="2">
        <v>6.7</v>
      </c>
      <c r="D2342" s="60" t="s">
        <v>142</v>
      </c>
    </row>
    <row r="2343" spans="1:10">
      <c r="A2343" s="2" t="s">
        <v>141</v>
      </c>
      <c r="B2343" s="2">
        <v>0</v>
      </c>
      <c r="C2343" s="2">
        <v>6.7</v>
      </c>
      <c r="D2343" s="60" t="s">
        <v>146</v>
      </c>
    </row>
    <row r="2344" spans="1:10">
      <c r="A2344" s="2" t="s">
        <v>141</v>
      </c>
      <c r="B2344" s="2">
        <v>6.7</v>
      </c>
      <c r="C2344" s="2">
        <v>7</v>
      </c>
      <c r="D2344" s="60" t="s">
        <v>159</v>
      </c>
    </row>
    <row r="2345" spans="1:10">
      <c r="A2345" s="2" t="s">
        <v>141</v>
      </c>
      <c r="B2345" s="2">
        <v>6.7</v>
      </c>
      <c r="C2345" s="2">
        <v>19.179099999999998</v>
      </c>
      <c r="D2345" s="60" t="s">
        <v>144</v>
      </c>
    </row>
    <row r="2346" spans="1:10">
      <c r="A2346" s="2" t="s">
        <v>141</v>
      </c>
      <c r="B2346" s="2">
        <v>7</v>
      </c>
      <c r="C2346" s="2">
        <v>19.179099999999998</v>
      </c>
      <c r="D2346" s="60" t="s">
        <v>155</v>
      </c>
    </row>
    <row r="2347" spans="1:10">
      <c r="A2347" s="2" t="s">
        <v>148</v>
      </c>
      <c r="B2347" s="2" t="s">
        <v>99</v>
      </c>
      <c r="C2347" s="2">
        <v>2.4824499999999999E-2</v>
      </c>
      <c r="D2347" s="60">
        <v>0</v>
      </c>
      <c r="E2347" s="2">
        <v>0</v>
      </c>
      <c r="F2347" s="2">
        <v>0.3</v>
      </c>
      <c r="G2347" s="2">
        <v>31.6205</v>
      </c>
      <c r="H2347" s="2">
        <v>33.370699999999999</v>
      </c>
      <c r="I2347" s="2">
        <v>0</v>
      </c>
      <c r="J2347" s="2">
        <v>0</v>
      </c>
    </row>
    <row r="2348" spans="1:10">
      <c r="A2348" s="2" t="s">
        <v>148</v>
      </c>
      <c r="B2348" s="2" t="s">
        <v>98</v>
      </c>
      <c r="C2348" s="2">
        <v>7.2082800000000002E-2</v>
      </c>
      <c r="D2348" s="60">
        <v>0</v>
      </c>
      <c r="E2348" s="2">
        <v>7.8336100000000002</v>
      </c>
      <c r="F2348" s="2">
        <v>2.0663900000000002</v>
      </c>
      <c r="G2348" s="2">
        <v>20.005199999999999</v>
      </c>
      <c r="H2348" s="2">
        <v>22.077000000000002</v>
      </c>
      <c r="I2348" s="2">
        <v>0</v>
      </c>
      <c r="J2348" s="2">
        <v>0</v>
      </c>
    </row>
    <row r="2349" spans="1:10">
      <c r="A2349" s="2" t="s">
        <v>148</v>
      </c>
      <c r="B2349" s="2" t="s">
        <v>101</v>
      </c>
      <c r="C2349" s="2">
        <v>6.2443899999999997E-2</v>
      </c>
      <c r="D2349" s="60">
        <v>0</v>
      </c>
      <c r="E2349" s="2">
        <v>6.3</v>
      </c>
      <c r="F2349" s="2">
        <v>1.5336099999999999</v>
      </c>
      <c r="G2349" s="2">
        <v>22.077000000000002</v>
      </c>
      <c r="H2349" s="2">
        <v>23.430499999999999</v>
      </c>
      <c r="I2349" s="2">
        <v>0</v>
      </c>
      <c r="J2349" s="2">
        <v>0</v>
      </c>
    </row>
    <row r="2350" spans="1:10">
      <c r="A2350" s="2" t="s">
        <v>148</v>
      </c>
      <c r="B2350" s="2" t="s">
        <v>60</v>
      </c>
      <c r="C2350" s="2">
        <v>0.32607700000000001</v>
      </c>
      <c r="D2350" s="60">
        <v>29.347000000000001</v>
      </c>
      <c r="E2350" s="2">
        <v>0.3</v>
      </c>
      <c r="F2350" s="2">
        <v>6</v>
      </c>
      <c r="G2350" s="2">
        <v>23.430499999999999</v>
      </c>
      <c r="H2350" s="2">
        <v>31.6205</v>
      </c>
      <c r="I2350" s="2">
        <v>0</v>
      </c>
      <c r="J2350" s="2">
        <v>0</v>
      </c>
    </row>
    <row r="2351" spans="1:10">
      <c r="A2351" s="2" t="s">
        <v>138</v>
      </c>
      <c r="B2351" s="2">
        <v>26</v>
      </c>
      <c r="C2351" s="2">
        <v>13.622999999999999</v>
      </c>
      <c r="D2351" s="60" t="s">
        <v>129</v>
      </c>
      <c r="E2351" s="2" t="s">
        <v>149</v>
      </c>
    </row>
    <row r="2352" spans="1:10">
      <c r="A2352" s="2" t="s">
        <v>140</v>
      </c>
      <c r="B2352" s="2">
        <v>0</v>
      </c>
      <c r="C2352" s="2">
        <v>41.241300000000003</v>
      </c>
      <c r="D2352" s="60">
        <v>25.261700000000001</v>
      </c>
    </row>
    <row r="2353" spans="1:10">
      <c r="A2353" s="2" t="s">
        <v>141</v>
      </c>
      <c r="B2353" s="2">
        <v>0</v>
      </c>
      <c r="C2353" s="2">
        <v>7</v>
      </c>
      <c r="D2353" s="60" t="s">
        <v>142</v>
      </c>
    </row>
    <row r="2354" spans="1:10">
      <c r="A2354" s="2" t="s">
        <v>141</v>
      </c>
      <c r="B2354" s="2">
        <v>0</v>
      </c>
      <c r="C2354" s="2">
        <v>20.2088</v>
      </c>
      <c r="D2354" s="60" t="s">
        <v>146</v>
      </c>
    </row>
    <row r="2355" spans="1:10">
      <c r="A2355" s="2" t="s">
        <v>141</v>
      </c>
      <c r="B2355" s="2">
        <v>7</v>
      </c>
      <c r="C2355" s="2">
        <v>10.1</v>
      </c>
      <c r="D2355" s="60" t="s">
        <v>145</v>
      </c>
    </row>
    <row r="2356" spans="1:10">
      <c r="A2356" s="2" t="s">
        <v>141</v>
      </c>
      <c r="B2356" s="2">
        <v>10.1</v>
      </c>
      <c r="C2356" s="2">
        <v>13.7</v>
      </c>
      <c r="D2356" s="60" t="s">
        <v>147</v>
      </c>
    </row>
    <row r="2357" spans="1:10">
      <c r="A2357" s="2" t="s">
        <v>141</v>
      </c>
      <c r="B2357" s="2">
        <v>13.7</v>
      </c>
      <c r="C2357" s="2">
        <v>14</v>
      </c>
      <c r="D2357" s="60" t="s">
        <v>154</v>
      </c>
    </row>
    <row r="2358" spans="1:10">
      <c r="A2358" s="2" t="s">
        <v>141</v>
      </c>
      <c r="B2358" s="2">
        <v>13.7</v>
      </c>
      <c r="C2358" s="2">
        <v>20.2088</v>
      </c>
      <c r="D2358" s="60" t="s">
        <v>144</v>
      </c>
    </row>
    <row r="2359" spans="1:10">
      <c r="A2359" s="2" t="s">
        <v>156</v>
      </c>
      <c r="B2359" s="2">
        <v>13.7</v>
      </c>
      <c r="C2359" s="2">
        <v>36.223500000000001</v>
      </c>
    </row>
    <row r="2360" spans="1:10">
      <c r="A2360" s="2" t="s">
        <v>148</v>
      </c>
      <c r="B2360" s="2" t="s">
        <v>99</v>
      </c>
      <c r="C2360" s="2">
        <v>4.2476600000000003E-2</v>
      </c>
      <c r="D2360" s="60">
        <v>0</v>
      </c>
      <c r="E2360" s="2">
        <v>0</v>
      </c>
      <c r="F2360" s="2">
        <v>0.3</v>
      </c>
      <c r="G2360" s="2">
        <v>41.413400000000003</v>
      </c>
      <c r="H2360" s="2">
        <v>43.590800000000002</v>
      </c>
      <c r="I2360" s="2">
        <v>0</v>
      </c>
      <c r="J2360" s="2">
        <v>0</v>
      </c>
    </row>
    <row r="2361" spans="1:10">
      <c r="A2361" s="2" t="s">
        <v>148</v>
      </c>
      <c r="B2361" s="2" t="s">
        <v>100</v>
      </c>
      <c r="C2361" s="2">
        <v>1.7510100000000001E-2</v>
      </c>
      <c r="D2361" s="60">
        <v>0</v>
      </c>
      <c r="E2361" s="2">
        <v>19.710699999999999</v>
      </c>
      <c r="F2361" s="2">
        <v>5.55098</v>
      </c>
      <c r="G2361" s="2">
        <v>0</v>
      </c>
      <c r="H2361" s="2">
        <v>10</v>
      </c>
      <c r="I2361" s="2">
        <v>0</v>
      </c>
      <c r="J2361" s="2">
        <v>0</v>
      </c>
    </row>
    <row r="2362" spans="1:10">
      <c r="A2362" s="2" t="s">
        <v>148</v>
      </c>
      <c r="B2362" s="2" t="s">
        <v>98</v>
      </c>
      <c r="C2362" s="2">
        <v>0.33193</v>
      </c>
      <c r="D2362" s="60">
        <v>0</v>
      </c>
      <c r="E2362" s="2">
        <v>9.0208999999999993</v>
      </c>
      <c r="F2362" s="2">
        <v>10.6898</v>
      </c>
      <c r="G2362" s="2">
        <v>10</v>
      </c>
      <c r="H2362" s="2">
        <v>27.970600000000001</v>
      </c>
      <c r="I2362" s="2">
        <v>0</v>
      </c>
      <c r="J2362" s="2">
        <v>0</v>
      </c>
    </row>
    <row r="2363" spans="1:10">
      <c r="A2363" s="2" t="s">
        <v>148</v>
      </c>
      <c r="B2363" s="2" t="s">
        <v>101</v>
      </c>
      <c r="C2363" s="2">
        <v>4.5667800000000001E-2</v>
      </c>
      <c r="D2363" s="60">
        <v>0</v>
      </c>
      <c r="E2363" s="2">
        <v>8.3000000000000007</v>
      </c>
      <c r="F2363" s="2">
        <v>0.72090399999999999</v>
      </c>
      <c r="G2363" s="2">
        <v>27.970600000000001</v>
      </c>
      <c r="H2363" s="2">
        <v>28.820699999999999</v>
      </c>
      <c r="I2363" s="2">
        <v>0</v>
      </c>
      <c r="J2363" s="2">
        <v>0</v>
      </c>
    </row>
    <row r="2364" spans="1:10">
      <c r="A2364" s="2" t="s">
        <v>148</v>
      </c>
      <c r="B2364" s="2" t="s">
        <v>60</v>
      </c>
      <c r="C2364" s="2">
        <v>0.30125800000000003</v>
      </c>
      <c r="D2364" s="60">
        <v>27.113199999999999</v>
      </c>
      <c r="E2364" s="2">
        <v>4.3</v>
      </c>
      <c r="F2364" s="2">
        <v>4</v>
      </c>
      <c r="G2364" s="2">
        <v>28.820699999999999</v>
      </c>
      <c r="H2364" s="2">
        <v>32.938200000000002</v>
      </c>
      <c r="I2364" s="2">
        <v>0</v>
      </c>
      <c r="J2364" s="2">
        <v>0</v>
      </c>
    </row>
    <row r="2365" spans="1:10">
      <c r="A2365" s="2" t="s">
        <v>148</v>
      </c>
      <c r="B2365" s="2" t="s">
        <v>59</v>
      </c>
      <c r="C2365" s="2">
        <v>0.40317500000000001</v>
      </c>
      <c r="D2365" s="60">
        <v>40.317500000000003</v>
      </c>
      <c r="E2365" s="2">
        <v>0.3</v>
      </c>
      <c r="F2365" s="2">
        <v>4</v>
      </c>
      <c r="G2365" s="2">
        <v>32.938200000000002</v>
      </c>
      <c r="H2365" s="2">
        <v>41.413400000000003</v>
      </c>
      <c r="I2365" s="2">
        <v>0</v>
      </c>
      <c r="J2365" s="2">
        <v>0</v>
      </c>
    </row>
    <row r="2366" spans="1:10">
      <c r="A2366" s="2" t="s">
        <v>130</v>
      </c>
      <c r="B2366" s="2" t="s">
        <v>131</v>
      </c>
      <c r="C2366" s="2" t="s">
        <v>213</v>
      </c>
      <c r="D2366" s="60" t="s">
        <v>133</v>
      </c>
      <c r="E2366" s="2">
        <v>8</v>
      </c>
      <c r="F2366" s="2">
        <v>2016</v>
      </c>
    </row>
    <row r="2367" spans="1:10">
      <c r="A2367" s="2" t="s">
        <v>227</v>
      </c>
      <c r="B2367" s="2" t="s">
        <v>228</v>
      </c>
    </row>
    <row r="2368" spans="1:10">
      <c r="A2368" s="2" t="s">
        <v>134</v>
      </c>
      <c r="B2368" s="2" t="s">
        <v>71</v>
      </c>
      <c r="C2368" s="2">
        <v>28</v>
      </c>
      <c r="D2368" s="60" t="s">
        <v>229</v>
      </c>
      <c r="E2368" s="2" t="s">
        <v>136</v>
      </c>
      <c r="F2368" s="2" t="s">
        <v>171</v>
      </c>
      <c r="G2368" s="2" t="s">
        <v>128</v>
      </c>
      <c r="H2368" s="2" t="s">
        <v>172</v>
      </c>
      <c r="I2368" s="2" t="s">
        <v>230</v>
      </c>
    </row>
    <row r="2369" spans="1:10">
      <c r="A2369" s="2" t="s">
        <v>138</v>
      </c>
      <c r="B2369" s="2">
        <v>1</v>
      </c>
      <c r="C2369" s="2">
        <v>19.913599999999999</v>
      </c>
      <c r="D2369" s="60" t="s">
        <v>129</v>
      </c>
      <c r="E2369" s="2" t="s">
        <v>139</v>
      </c>
    </row>
    <row r="2370" spans="1:10">
      <c r="A2370" s="2" t="s">
        <v>140</v>
      </c>
      <c r="B2370" s="2">
        <v>0</v>
      </c>
      <c r="C2370" s="2">
        <v>77.716300000000004</v>
      </c>
      <c r="D2370" s="60">
        <v>26.743600000000001</v>
      </c>
    </row>
    <row r="2371" spans="1:10">
      <c r="A2371" s="2" t="s">
        <v>141</v>
      </c>
      <c r="B2371" s="2">
        <v>0</v>
      </c>
      <c r="C2371" s="2">
        <v>6.2</v>
      </c>
      <c r="D2371" s="60" t="s">
        <v>142</v>
      </c>
    </row>
    <row r="2372" spans="1:10">
      <c r="A2372" s="2" t="s">
        <v>141</v>
      </c>
      <c r="B2372" s="2">
        <v>0</v>
      </c>
      <c r="C2372" s="2">
        <v>13.1</v>
      </c>
      <c r="D2372" s="60" t="s">
        <v>143</v>
      </c>
    </row>
    <row r="2373" spans="1:10">
      <c r="A2373" s="2" t="s">
        <v>141</v>
      </c>
      <c r="B2373" s="2">
        <v>0</v>
      </c>
      <c r="C2373" s="2">
        <v>13.1</v>
      </c>
      <c r="D2373" s="60" t="s">
        <v>158</v>
      </c>
    </row>
    <row r="2374" spans="1:10">
      <c r="A2374" s="2" t="s">
        <v>141</v>
      </c>
      <c r="B2374" s="2">
        <v>6.2</v>
      </c>
      <c r="C2374" s="2">
        <v>10.3</v>
      </c>
      <c r="D2374" s="60" t="s">
        <v>147</v>
      </c>
    </row>
    <row r="2375" spans="1:10">
      <c r="A2375" s="2" t="s">
        <v>141</v>
      </c>
      <c r="B2375" s="2">
        <v>10.3</v>
      </c>
      <c r="C2375" s="2">
        <v>11.4</v>
      </c>
      <c r="D2375" s="60" t="s">
        <v>151</v>
      </c>
    </row>
    <row r="2376" spans="1:10">
      <c r="A2376" s="2" t="s">
        <v>141</v>
      </c>
      <c r="B2376" s="2">
        <v>11.4</v>
      </c>
      <c r="C2376" s="2">
        <v>13.7</v>
      </c>
      <c r="D2376" s="60" t="s">
        <v>147</v>
      </c>
    </row>
    <row r="2377" spans="1:10">
      <c r="A2377" s="2" t="s">
        <v>141</v>
      </c>
      <c r="B2377" s="2">
        <v>13.1</v>
      </c>
      <c r="C2377" s="2">
        <v>13.6</v>
      </c>
      <c r="D2377" s="60" t="s">
        <v>159</v>
      </c>
    </row>
    <row r="2378" spans="1:10">
      <c r="A2378" s="2" t="s">
        <v>141</v>
      </c>
      <c r="B2378" s="2">
        <v>13.1</v>
      </c>
      <c r="C2378" s="2">
        <v>13.6</v>
      </c>
      <c r="D2378" s="60" t="s">
        <v>174</v>
      </c>
    </row>
    <row r="2379" spans="1:10">
      <c r="A2379" s="2" t="s">
        <v>141</v>
      </c>
      <c r="B2379" s="2">
        <v>13.6</v>
      </c>
      <c r="C2379" s="2">
        <v>21.3</v>
      </c>
      <c r="D2379" s="60" t="s">
        <v>146</v>
      </c>
    </row>
    <row r="2380" spans="1:10">
      <c r="A2380" s="2" t="s">
        <v>141</v>
      </c>
      <c r="B2380" s="2">
        <v>13.7</v>
      </c>
      <c r="C2380" s="2">
        <v>21.3</v>
      </c>
      <c r="D2380" s="60" t="s">
        <v>144</v>
      </c>
    </row>
    <row r="2381" spans="1:10">
      <c r="A2381" s="2" t="s">
        <v>148</v>
      </c>
      <c r="B2381" s="2" t="s">
        <v>99</v>
      </c>
      <c r="C2381" s="2">
        <v>0.13256200000000001</v>
      </c>
      <c r="D2381" s="60">
        <v>0</v>
      </c>
      <c r="E2381" s="2">
        <v>0</v>
      </c>
      <c r="F2381" s="2">
        <v>0.3</v>
      </c>
      <c r="G2381" s="2">
        <v>73.248699999999999</v>
      </c>
      <c r="H2381" s="2">
        <v>76.902799999999999</v>
      </c>
      <c r="I2381" s="2">
        <v>0</v>
      </c>
      <c r="J2381" s="2">
        <v>0</v>
      </c>
    </row>
    <row r="2382" spans="1:10">
      <c r="A2382" s="2" t="s">
        <v>148</v>
      </c>
      <c r="B2382" s="2" t="s">
        <v>100</v>
      </c>
      <c r="C2382" s="2">
        <v>8.4483600000000002E-3</v>
      </c>
      <c r="D2382" s="60">
        <v>0</v>
      </c>
      <c r="E2382" s="2">
        <v>24.452999999999999</v>
      </c>
      <c r="F2382" s="2">
        <v>2.2905899999999999</v>
      </c>
      <c r="G2382" s="2">
        <v>0</v>
      </c>
      <c r="H2382" s="2">
        <v>10</v>
      </c>
      <c r="I2382" s="2">
        <v>0</v>
      </c>
      <c r="J2382" s="2">
        <v>0</v>
      </c>
    </row>
    <row r="2383" spans="1:10">
      <c r="A2383" s="2" t="s">
        <v>148</v>
      </c>
      <c r="B2383" s="2" t="s">
        <v>98</v>
      </c>
      <c r="C2383" s="2">
        <v>0.406225</v>
      </c>
      <c r="D2383" s="60">
        <v>0</v>
      </c>
      <c r="E2383" s="2">
        <v>15.3537</v>
      </c>
      <c r="F2383" s="2">
        <v>9.0992899999999999</v>
      </c>
      <c r="G2383" s="2">
        <v>10</v>
      </c>
      <c r="H2383" s="2">
        <v>35.512599999999999</v>
      </c>
      <c r="I2383" s="2">
        <v>0</v>
      </c>
      <c r="J2383" s="2">
        <v>0</v>
      </c>
    </row>
    <row r="2384" spans="1:10">
      <c r="A2384" s="2" t="s">
        <v>148</v>
      </c>
      <c r="B2384" s="2" t="s">
        <v>101</v>
      </c>
      <c r="C2384" s="2">
        <v>0.39021800000000001</v>
      </c>
      <c r="D2384" s="60">
        <v>0</v>
      </c>
      <c r="E2384" s="2">
        <v>12.2</v>
      </c>
      <c r="F2384" s="2">
        <v>3.1536900000000001</v>
      </c>
      <c r="G2384" s="2">
        <v>35.512599999999999</v>
      </c>
      <c r="H2384" s="2">
        <v>43.548200000000001</v>
      </c>
      <c r="I2384" s="2">
        <v>0</v>
      </c>
      <c r="J2384" s="2">
        <v>0</v>
      </c>
    </row>
    <row r="2385" spans="1:10">
      <c r="A2385" s="2" t="s">
        <v>148</v>
      </c>
      <c r="B2385" s="2" t="s">
        <v>62</v>
      </c>
      <c r="C2385" s="2">
        <v>1.17689</v>
      </c>
      <c r="D2385" s="60">
        <v>94.151200000000003</v>
      </c>
      <c r="E2385" s="2">
        <v>6.2</v>
      </c>
      <c r="F2385" s="2">
        <v>6</v>
      </c>
      <c r="G2385" s="2">
        <v>43.548200000000001</v>
      </c>
      <c r="H2385" s="2">
        <v>55.437100000000001</v>
      </c>
      <c r="I2385" s="2">
        <v>0</v>
      </c>
      <c r="J2385" s="2">
        <v>0</v>
      </c>
    </row>
    <row r="2386" spans="1:10">
      <c r="A2386" s="2" t="s">
        <v>148</v>
      </c>
      <c r="B2386" s="2" t="s">
        <v>55</v>
      </c>
      <c r="C2386" s="2">
        <v>1.7531300000000001</v>
      </c>
      <c r="D2386" s="60">
        <v>254.20400000000001</v>
      </c>
      <c r="E2386" s="2">
        <v>0.3</v>
      </c>
      <c r="F2386" s="2">
        <v>5.9</v>
      </c>
      <c r="G2386" s="2">
        <v>55.437100000000001</v>
      </c>
      <c r="H2386" s="2">
        <v>73.248699999999999</v>
      </c>
      <c r="I2386" s="2">
        <v>0</v>
      </c>
      <c r="J2386" s="2">
        <v>0</v>
      </c>
    </row>
    <row r="2387" spans="1:10">
      <c r="A2387" s="2" t="s">
        <v>138</v>
      </c>
      <c r="B2387" s="2">
        <v>2</v>
      </c>
      <c r="C2387" s="2">
        <v>19.855499999999999</v>
      </c>
      <c r="D2387" s="60" t="s">
        <v>129</v>
      </c>
      <c r="E2387" s="2" t="s">
        <v>149</v>
      </c>
    </row>
    <row r="2388" spans="1:10">
      <c r="A2388" s="2" t="s">
        <v>140</v>
      </c>
      <c r="B2388" s="2">
        <v>0</v>
      </c>
      <c r="C2388" s="2">
        <v>65.201099999999997</v>
      </c>
      <c r="D2388" s="60">
        <v>27.301500000000001</v>
      </c>
    </row>
    <row r="2389" spans="1:10">
      <c r="A2389" s="2" t="s">
        <v>141</v>
      </c>
      <c r="B2389" s="2">
        <v>0</v>
      </c>
      <c r="C2389" s="2">
        <v>5.0999999999999996</v>
      </c>
      <c r="D2389" s="60" t="s">
        <v>146</v>
      </c>
    </row>
    <row r="2390" spans="1:10">
      <c r="A2390" s="2" t="s">
        <v>141</v>
      </c>
      <c r="B2390" s="2">
        <v>0</v>
      </c>
      <c r="C2390" s="2">
        <v>6</v>
      </c>
      <c r="D2390" s="60" t="s">
        <v>142</v>
      </c>
    </row>
    <row r="2391" spans="1:10">
      <c r="A2391" s="2" t="s">
        <v>141</v>
      </c>
      <c r="B2391" s="2">
        <v>0</v>
      </c>
      <c r="C2391" s="2">
        <v>6.6</v>
      </c>
      <c r="D2391" s="60" t="s">
        <v>158</v>
      </c>
    </row>
    <row r="2392" spans="1:10">
      <c r="A2392" s="2" t="s">
        <v>141</v>
      </c>
      <c r="B2392" s="2">
        <v>5.0999999999999996</v>
      </c>
      <c r="C2392" s="2">
        <v>14.1</v>
      </c>
      <c r="D2392" s="60" t="s">
        <v>155</v>
      </c>
    </row>
    <row r="2393" spans="1:10">
      <c r="A2393" s="2" t="s">
        <v>141</v>
      </c>
      <c r="B2393" s="2">
        <v>6</v>
      </c>
      <c r="C2393" s="2">
        <v>6.4</v>
      </c>
      <c r="D2393" s="60" t="s">
        <v>151</v>
      </c>
    </row>
    <row r="2394" spans="1:10">
      <c r="A2394" s="2" t="s">
        <v>141</v>
      </c>
      <c r="B2394" s="2">
        <v>6.4</v>
      </c>
      <c r="C2394" s="2">
        <v>10.8</v>
      </c>
      <c r="D2394" s="60" t="s">
        <v>147</v>
      </c>
    </row>
    <row r="2395" spans="1:10">
      <c r="A2395" s="2" t="s">
        <v>141</v>
      </c>
      <c r="B2395" s="2">
        <v>6.6</v>
      </c>
      <c r="C2395" s="2">
        <v>7.6</v>
      </c>
      <c r="D2395" s="60" t="s">
        <v>178</v>
      </c>
    </row>
    <row r="2396" spans="1:10">
      <c r="A2396" s="2" t="s">
        <v>141</v>
      </c>
      <c r="B2396" s="2">
        <v>10.8</v>
      </c>
      <c r="C2396" s="2">
        <v>11.2</v>
      </c>
      <c r="D2396" s="60" t="s">
        <v>151</v>
      </c>
    </row>
    <row r="2397" spans="1:10">
      <c r="A2397" s="2" t="s">
        <v>141</v>
      </c>
      <c r="B2397" s="2">
        <v>11.2</v>
      </c>
      <c r="C2397" s="2">
        <v>14.1</v>
      </c>
      <c r="D2397" s="60" t="s">
        <v>147</v>
      </c>
    </row>
    <row r="2398" spans="1:10">
      <c r="A2398" s="2" t="s">
        <v>141</v>
      </c>
      <c r="B2398" s="2">
        <v>14.1</v>
      </c>
      <c r="C2398" s="2">
        <v>21.706600000000002</v>
      </c>
      <c r="D2398" s="60" t="s">
        <v>144</v>
      </c>
    </row>
    <row r="2399" spans="1:10">
      <c r="A2399" s="2" t="s">
        <v>141</v>
      </c>
      <c r="B2399" s="2">
        <v>14.1</v>
      </c>
      <c r="C2399" s="2">
        <v>21.706600000000002</v>
      </c>
      <c r="D2399" s="60" t="s">
        <v>161</v>
      </c>
    </row>
    <row r="2400" spans="1:10">
      <c r="A2400" s="2" t="s">
        <v>148</v>
      </c>
      <c r="B2400" s="2" t="s">
        <v>99</v>
      </c>
      <c r="C2400" s="2">
        <v>9.6922400000000006E-2</v>
      </c>
      <c r="D2400" s="60">
        <v>0</v>
      </c>
      <c r="E2400" s="2">
        <v>0</v>
      </c>
      <c r="F2400" s="2">
        <v>0.3</v>
      </c>
      <c r="G2400" s="2">
        <v>62.659500000000001</v>
      </c>
      <c r="H2400" s="2">
        <v>65.726200000000006</v>
      </c>
      <c r="I2400" s="2">
        <v>0</v>
      </c>
      <c r="J2400" s="2">
        <v>0</v>
      </c>
    </row>
    <row r="2401" spans="1:10">
      <c r="A2401" s="2" t="s">
        <v>148</v>
      </c>
      <c r="B2401" s="2" t="s">
        <v>100</v>
      </c>
      <c r="C2401" s="2">
        <v>1.0698600000000001E-2</v>
      </c>
      <c r="D2401" s="60">
        <v>0</v>
      </c>
      <c r="E2401" s="2">
        <v>24.313300000000002</v>
      </c>
      <c r="F2401" s="2">
        <v>2.9881500000000001</v>
      </c>
      <c r="G2401" s="2">
        <v>0</v>
      </c>
      <c r="H2401" s="2">
        <v>10.000299999999999</v>
      </c>
      <c r="I2401" s="2">
        <v>0</v>
      </c>
      <c r="J2401" s="2">
        <v>0</v>
      </c>
    </row>
    <row r="2402" spans="1:10">
      <c r="A2402" s="2" t="s">
        <v>148</v>
      </c>
      <c r="B2402" s="2" t="s">
        <v>98</v>
      </c>
      <c r="C2402" s="2">
        <v>0.34503899999999998</v>
      </c>
      <c r="D2402" s="60">
        <v>0</v>
      </c>
      <c r="E2402" s="2">
        <v>15.0595</v>
      </c>
      <c r="F2402" s="2">
        <v>9.2537900000000004</v>
      </c>
      <c r="G2402" s="2">
        <v>10.000299999999999</v>
      </c>
      <c r="H2402" s="2">
        <v>31.7333</v>
      </c>
      <c r="I2402" s="2">
        <v>0</v>
      </c>
      <c r="J2402" s="2">
        <v>0</v>
      </c>
    </row>
    <row r="2403" spans="1:10">
      <c r="A2403" s="2" t="s">
        <v>148</v>
      </c>
      <c r="B2403" s="2" t="s">
        <v>101</v>
      </c>
      <c r="C2403" s="2">
        <v>0.261409</v>
      </c>
      <c r="D2403" s="60">
        <v>0</v>
      </c>
      <c r="E2403" s="2">
        <v>12.3</v>
      </c>
      <c r="F2403" s="2">
        <v>2.7595100000000001</v>
      </c>
      <c r="G2403" s="2">
        <v>31.7333</v>
      </c>
      <c r="H2403" s="2">
        <v>37.523299999999999</v>
      </c>
      <c r="I2403" s="2">
        <v>0</v>
      </c>
      <c r="J2403" s="2">
        <v>0</v>
      </c>
    </row>
    <row r="2404" spans="1:10">
      <c r="A2404" s="2" t="s">
        <v>148</v>
      </c>
      <c r="B2404" s="2" t="s">
        <v>62</v>
      </c>
      <c r="C2404" s="2">
        <v>0.53345900000000002</v>
      </c>
      <c r="D2404" s="60">
        <v>42.676699999999997</v>
      </c>
      <c r="E2404" s="2">
        <v>8.3000000000000007</v>
      </c>
      <c r="F2404" s="2">
        <v>4</v>
      </c>
      <c r="G2404" s="2">
        <v>37.523299999999999</v>
      </c>
      <c r="H2404" s="2">
        <v>44.509500000000003</v>
      </c>
      <c r="I2404" s="2">
        <v>0</v>
      </c>
      <c r="J2404" s="2">
        <v>0</v>
      </c>
    </row>
    <row r="2405" spans="1:10">
      <c r="A2405" s="2" t="s">
        <v>148</v>
      </c>
      <c r="B2405" s="2" t="s">
        <v>62</v>
      </c>
      <c r="C2405" s="2">
        <v>0.70625800000000005</v>
      </c>
      <c r="D2405" s="60">
        <v>56.500599999999999</v>
      </c>
      <c r="E2405" s="2">
        <v>4.3</v>
      </c>
      <c r="F2405" s="2">
        <v>4</v>
      </c>
      <c r="G2405" s="2">
        <v>44.509500000000003</v>
      </c>
      <c r="H2405" s="2">
        <v>50.1387</v>
      </c>
      <c r="I2405" s="2">
        <v>0</v>
      </c>
      <c r="J2405" s="2">
        <v>0</v>
      </c>
    </row>
    <row r="2406" spans="1:10">
      <c r="A2406" s="2" t="s">
        <v>148</v>
      </c>
      <c r="B2406" s="2" t="s">
        <v>55</v>
      </c>
      <c r="C2406" s="2">
        <v>0.93015099999999995</v>
      </c>
      <c r="D2406" s="60">
        <v>134.87200000000001</v>
      </c>
      <c r="E2406" s="2">
        <v>0.3</v>
      </c>
      <c r="F2406" s="2">
        <v>4</v>
      </c>
      <c r="G2406" s="2">
        <v>50.1387</v>
      </c>
      <c r="H2406" s="2">
        <v>62.659500000000001</v>
      </c>
      <c r="I2406" s="2">
        <v>0</v>
      </c>
      <c r="J2406" s="2">
        <v>0</v>
      </c>
    </row>
    <row r="2407" spans="1:10">
      <c r="A2407" s="2" t="s">
        <v>138</v>
      </c>
      <c r="B2407" s="2">
        <v>3</v>
      </c>
      <c r="C2407" s="2">
        <v>19.582899999999999</v>
      </c>
      <c r="D2407" s="60" t="s">
        <v>129</v>
      </c>
      <c r="E2407" s="2" t="s">
        <v>149</v>
      </c>
    </row>
    <row r="2408" spans="1:10">
      <c r="A2408" s="2" t="s">
        <v>140</v>
      </c>
      <c r="B2408" s="2">
        <v>0</v>
      </c>
      <c r="C2408" s="2">
        <v>46.925899999999999</v>
      </c>
      <c r="D2408" s="60">
        <v>25.978200000000001</v>
      </c>
    </row>
    <row r="2409" spans="1:10">
      <c r="A2409" s="2" t="s">
        <v>141</v>
      </c>
      <c r="B2409" s="2">
        <v>0</v>
      </c>
      <c r="C2409" s="2">
        <v>1.4</v>
      </c>
      <c r="D2409" s="60" t="s">
        <v>158</v>
      </c>
    </row>
    <row r="2410" spans="1:10">
      <c r="A2410" s="2" t="s">
        <v>141</v>
      </c>
      <c r="B2410" s="2">
        <v>0</v>
      </c>
      <c r="C2410" s="2">
        <v>5.7</v>
      </c>
      <c r="D2410" s="60" t="s">
        <v>147</v>
      </c>
    </row>
    <row r="2411" spans="1:10">
      <c r="A2411" s="2" t="s">
        <v>141</v>
      </c>
      <c r="B2411" s="2">
        <v>0</v>
      </c>
      <c r="C2411" s="2">
        <v>5.7</v>
      </c>
      <c r="D2411" s="60" t="s">
        <v>155</v>
      </c>
    </row>
    <row r="2412" spans="1:10">
      <c r="A2412" s="2" t="s">
        <v>141</v>
      </c>
      <c r="B2412" s="2">
        <v>1.4</v>
      </c>
      <c r="C2412" s="2">
        <v>1.6</v>
      </c>
      <c r="D2412" s="60" t="s">
        <v>176</v>
      </c>
    </row>
    <row r="2413" spans="1:10">
      <c r="A2413" s="2" t="s">
        <v>141</v>
      </c>
      <c r="B2413" s="2">
        <v>1.6</v>
      </c>
      <c r="C2413" s="2">
        <v>3</v>
      </c>
      <c r="D2413" s="60" t="s">
        <v>158</v>
      </c>
    </row>
    <row r="2414" spans="1:10">
      <c r="A2414" s="2" t="s">
        <v>141</v>
      </c>
      <c r="B2414" s="2">
        <v>1.8</v>
      </c>
      <c r="C2414" s="2">
        <v>2.1</v>
      </c>
      <c r="D2414" s="60" t="s">
        <v>153</v>
      </c>
    </row>
    <row r="2415" spans="1:10">
      <c r="A2415" s="2" t="s">
        <v>141</v>
      </c>
      <c r="B2415" s="2">
        <v>1.8</v>
      </c>
      <c r="C2415" s="2">
        <v>2.1</v>
      </c>
      <c r="D2415" s="60" t="s">
        <v>154</v>
      </c>
    </row>
    <row r="2416" spans="1:10">
      <c r="A2416" s="2" t="s">
        <v>141</v>
      </c>
      <c r="B2416" s="2">
        <v>3</v>
      </c>
      <c r="C2416" s="2">
        <v>3.3</v>
      </c>
      <c r="D2416" s="60" t="s">
        <v>160</v>
      </c>
    </row>
    <row r="2417" spans="1:10">
      <c r="A2417" s="2" t="s">
        <v>141</v>
      </c>
      <c r="B2417" s="2">
        <v>3.3</v>
      </c>
      <c r="C2417" s="2">
        <v>5.7</v>
      </c>
      <c r="D2417" s="60" t="s">
        <v>158</v>
      </c>
    </row>
    <row r="2418" spans="1:10">
      <c r="A2418" s="2" t="s">
        <v>141</v>
      </c>
      <c r="B2418" s="2">
        <v>5.7</v>
      </c>
      <c r="C2418" s="2">
        <v>6.1</v>
      </c>
      <c r="D2418" s="60" t="s">
        <v>174</v>
      </c>
    </row>
    <row r="2419" spans="1:10">
      <c r="A2419" s="2" t="s">
        <v>141</v>
      </c>
      <c r="B2419" s="2">
        <v>5.7</v>
      </c>
      <c r="C2419" s="2">
        <v>8.4</v>
      </c>
      <c r="D2419" s="60" t="s">
        <v>161</v>
      </c>
    </row>
    <row r="2420" spans="1:10">
      <c r="A2420" s="2" t="s">
        <v>141</v>
      </c>
      <c r="B2420" s="2">
        <v>5.7</v>
      </c>
      <c r="C2420" s="2">
        <v>20.7422</v>
      </c>
      <c r="D2420" s="60" t="s">
        <v>144</v>
      </c>
    </row>
    <row r="2421" spans="1:10">
      <c r="A2421" s="2" t="s">
        <v>141</v>
      </c>
      <c r="B2421" s="2">
        <v>8.4</v>
      </c>
      <c r="C2421" s="2">
        <v>20.7422</v>
      </c>
      <c r="D2421" s="60" t="s">
        <v>155</v>
      </c>
    </row>
    <row r="2422" spans="1:10">
      <c r="A2422" s="2" t="s">
        <v>156</v>
      </c>
      <c r="B2422" s="2">
        <v>1.8</v>
      </c>
      <c r="C2422" s="2">
        <v>31.571400000000001</v>
      </c>
    </row>
    <row r="2423" spans="1:10">
      <c r="A2423" s="2" t="s">
        <v>148</v>
      </c>
      <c r="B2423" s="2" t="s">
        <v>99</v>
      </c>
      <c r="C2423" s="2">
        <v>5.36178E-2</v>
      </c>
      <c r="D2423" s="60">
        <v>0</v>
      </c>
      <c r="E2423" s="2">
        <v>0</v>
      </c>
      <c r="F2423" s="2">
        <v>0.3</v>
      </c>
      <c r="G2423" s="2">
        <v>46.5565</v>
      </c>
      <c r="H2423" s="2">
        <v>48.942100000000003</v>
      </c>
      <c r="I2423" s="2">
        <v>0</v>
      </c>
      <c r="J2423" s="2">
        <v>0</v>
      </c>
    </row>
    <row r="2424" spans="1:10">
      <c r="A2424" s="2" t="s">
        <v>148</v>
      </c>
      <c r="B2424" s="2" t="s">
        <v>100</v>
      </c>
      <c r="C2424" s="2">
        <v>2.0209399999999999E-2</v>
      </c>
      <c r="D2424" s="60">
        <v>0</v>
      </c>
      <c r="E2424" s="2">
        <v>19.3919</v>
      </c>
      <c r="F2424" s="2">
        <v>6.58629</v>
      </c>
      <c r="G2424" s="2">
        <v>0</v>
      </c>
      <c r="H2424" s="2">
        <v>10</v>
      </c>
      <c r="I2424" s="2">
        <v>0</v>
      </c>
      <c r="J2424" s="2">
        <v>0</v>
      </c>
    </row>
    <row r="2425" spans="1:10">
      <c r="A2425" s="2" t="s">
        <v>148</v>
      </c>
      <c r="B2425" s="2" t="s">
        <v>98</v>
      </c>
      <c r="C2425" s="2">
        <v>1.46885E-2</v>
      </c>
      <c r="D2425" s="60">
        <v>0</v>
      </c>
      <c r="E2425" s="2">
        <v>17.856200000000001</v>
      </c>
      <c r="F2425" s="2">
        <v>1.5357000000000001</v>
      </c>
      <c r="G2425" s="2">
        <v>10</v>
      </c>
      <c r="H2425" s="2">
        <v>12.039899999999999</v>
      </c>
      <c r="I2425" s="2">
        <v>0</v>
      </c>
      <c r="J2425" s="2">
        <v>0</v>
      </c>
    </row>
    <row r="2426" spans="1:10">
      <c r="A2426" s="2" t="s">
        <v>148</v>
      </c>
      <c r="B2426" s="2" t="s">
        <v>101</v>
      </c>
      <c r="C2426" s="2">
        <v>5.5898499999999997E-2</v>
      </c>
      <c r="D2426" s="60">
        <v>0</v>
      </c>
      <c r="E2426" s="2">
        <v>14.4</v>
      </c>
      <c r="F2426" s="2">
        <v>3.4562300000000001</v>
      </c>
      <c r="G2426" s="2">
        <v>12.039899999999999</v>
      </c>
      <c r="H2426" s="2">
        <v>16.485199999999999</v>
      </c>
      <c r="I2426" s="2">
        <v>0</v>
      </c>
      <c r="J2426" s="2">
        <v>0</v>
      </c>
    </row>
    <row r="2427" spans="1:10">
      <c r="A2427" s="2" t="s">
        <v>148</v>
      </c>
      <c r="B2427" s="2" t="s">
        <v>63</v>
      </c>
      <c r="C2427" s="2">
        <v>0.18684200000000001</v>
      </c>
      <c r="D2427" s="60">
        <v>13.078900000000001</v>
      </c>
      <c r="E2427" s="2">
        <v>8.4</v>
      </c>
      <c r="F2427" s="2">
        <v>6</v>
      </c>
      <c r="G2427" s="2">
        <v>16.485199999999999</v>
      </c>
      <c r="H2427" s="2">
        <v>22.811599999999999</v>
      </c>
      <c r="I2427" s="2">
        <v>0</v>
      </c>
      <c r="J2427" s="2">
        <v>0</v>
      </c>
    </row>
    <row r="2428" spans="1:10">
      <c r="A2428" s="2" t="s">
        <v>148</v>
      </c>
      <c r="B2428" s="2" t="s">
        <v>101</v>
      </c>
      <c r="C2428" s="2">
        <v>0.12148200000000001</v>
      </c>
      <c r="D2428" s="60">
        <v>0</v>
      </c>
      <c r="E2428" s="2">
        <v>5.7</v>
      </c>
      <c r="F2428" s="2">
        <v>2.7</v>
      </c>
      <c r="G2428" s="2">
        <v>22.811599999999999</v>
      </c>
      <c r="H2428" s="2">
        <v>24.985800000000001</v>
      </c>
      <c r="I2428" s="2">
        <v>0</v>
      </c>
      <c r="J2428" s="2">
        <v>0</v>
      </c>
    </row>
    <row r="2429" spans="1:10">
      <c r="A2429" s="2" t="s">
        <v>148</v>
      </c>
      <c r="B2429" s="2" t="s">
        <v>64</v>
      </c>
      <c r="C2429" s="2">
        <v>0.19693099999999999</v>
      </c>
      <c r="D2429" s="60">
        <v>5.9079300000000003</v>
      </c>
      <c r="E2429" s="2">
        <v>2.1</v>
      </c>
      <c r="F2429" s="2">
        <v>3.6</v>
      </c>
      <c r="G2429" s="2">
        <v>24.985800000000001</v>
      </c>
      <c r="H2429" s="2">
        <v>28.015799999999999</v>
      </c>
      <c r="I2429" s="2">
        <v>0</v>
      </c>
      <c r="J2429" s="2">
        <v>0</v>
      </c>
    </row>
    <row r="2430" spans="1:10">
      <c r="A2430" s="2" t="s">
        <v>148</v>
      </c>
      <c r="B2430" s="2" t="s">
        <v>101</v>
      </c>
      <c r="C2430" s="2">
        <v>0.23661299999999999</v>
      </c>
      <c r="D2430" s="60">
        <v>0</v>
      </c>
      <c r="E2430" s="2">
        <v>0.3</v>
      </c>
      <c r="F2430" s="2">
        <v>1.8</v>
      </c>
      <c r="G2430" s="2">
        <v>28.015799999999999</v>
      </c>
      <c r="H2430" s="2">
        <v>46.5565</v>
      </c>
      <c r="I2430" s="2">
        <v>0</v>
      </c>
      <c r="J2430" s="2">
        <v>0</v>
      </c>
    </row>
    <row r="2431" spans="1:10">
      <c r="A2431" s="2" t="s">
        <v>140</v>
      </c>
      <c r="B2431" s="2">
        <v>1</v>
      </c>
      <c r="C2431" s="2">
        <v>29.0457</v>
      </c>
      <c r="D2431" s="60">
        <v>25.978200000000001</v>
      </c>
      <c r="E2431" s="2">
        <v>1.8</v>
      </c>
    </row>
    <row r="2432" spans="1:10">
      <c r="A2432" s="2" t="s">
        <v>141</v>
      </c>
      <c r="B2432" s="2">
        <v>1.8</v>
      </c>
      <c r="C2432" s="2">
        <v>2.1</v>
      </c>
      <c r="D2432" s="60" t="s">
        <v>153</v>
      </c>
    </row>
    <row r="2433" spans="1:10">
      <c r="A2433" s="2" t="s">
        <v>141</v>
      </c>
      <c r="B2433" s="2">
        <v>1.8</v>
      </c>
      <c r="C2433" s="2">
        <v>6.9</v>
      </c>
      <c r="D2433" s="60" t="s">
        <v>155</v>
      </c>
    </row>
    <row r="2434" spans="1:10">
      <c r="A2434" s="2" t="s">
        <v>141</v>
      </c>
      <c r="B2434" s="2">
        <v>1.8</v>
      </c>
      <c r="C2434" s="2">
        <v>20.7422</v>
      </c>
      <c r="D2434" s="60" t="s">
        <v>144</v>
      </c>
    </row>
    <row r="2435" spans="1:10">
      <c r="A2435" s="2" t="s">
        <v>141</v>
      </c>
      <c r="B2435" s="2">
        <v>6.9</v>
      </c>
      <c r="C2435" s="2">
        <v>20.7422</v>
      </c>
      <c r="D2435" s="60" t="s">
        <v>161</v>
      </c>
    </row>
    <row r="2436" spans="1:10">
      <c r="A2436" s="2" t="s">
        <v>148</v>
      </c>
      <c r="B2436" s="2" t="s">
        <v>100</v>
      </c>
      <c r="C2436" s="2">
        <v>2.16708E-2</v>
      </c>
      <c r="D2436" s="60">
        <v>0</v>
      </c>
      <c r="E2436" s="2">
        <v>18.8079</v>
      </c>
      <c r="F2436" s="2">
        <v>7.1702700000000004</v>
      </c>
      <c r="G2436" s="2">
        <v>0</v>
      </c>
      <c r="H2436" s="2">
        <v>10</v>
      </c>
      <c r="I2436" s="2">
        <v>0</v>
      </c>
      <c r="J2436" s="2">
        <v>0</v>
      </c>
    </row>
    <row r="2437" spans="1:10">
      <c r="A2437" s="2" t="s">
        <v>148</v>
      </c>
      <c r="B2437" s="2" t="s">
        <v>98</v>
      </c>
      <c r="C2437" s="2">
        <v>1.3717500000000001E-2</v>
      </c>
      <c r="D2437" s="60">
        <v>0</v>
      </c>
      <c r="E2437" s="2">
        <v>17.342199999999998</v>
      </c>
      <c r="F2437" s="2">
        <v>1.4657199999999999</v>
      </c>
      <c r="G2437" s="2">
        <v>10</v>
      </c>
      <c r="H2437" s="2">
        <v>11.805199999999999</v>
      </c>
      <c r="I2437" s="2">
        <v>0</v>
      </c>
      <c r="J2437" s="2">
        <v>0</v>
      </c>
    </row>
    <row r="2438" spans="1:10">
      <c r="A2438" s="2" t="s">
        <v>148</v>
      </c>
      <c r="B2438" s="2" t="s">
        <v>101</v>
      </c>
      <c r="C2438" s="2">
        <v>0.291686</v>
      </c>
      <c r="D2438" s="60">
        <v>0</v>
      </c>
      <c r="E2438" s="2">
        <v>6.1</v>
      </c>
      <c r="F2438" s="2">
        <v>11.2422</v>
      </c>
      <c r="G2438" s="2">
        <v>11.805199999999999</v>
      </c>
      <c r="H2438" s="2">
        <v>22.907499999999999</v>
      </c>
      <c r="I2438" s="2">
        <v>0</v>
      </c>
      <c r="J2438" s="2">
        <v>0</v>
      </c>
    </row>
    <row r="2439" spans="1:10">
      <c r="A2439" s="2" t="s">
        <v>148</v>
      </c>
      <c r="B2439" s="2" t="s">
        <v>63</v>
      </c>
      <c r="C2439" s="2">
        <v>0.186306</v>
      </c>
      <c r="D2439" s="60">
        <v>13.041499999999999</v>
      </c>
      <c r="E2439" s="2">
        <v>2.1</v>
      </c>
      <c r="F2439" s="2">
        <v>4</v>
      </c>
      <c r="G2439" s="2">
        <v>22.907499999999999</v>
      </c>
      <c r="H2439" s="2">
        <v>26.000499999999999</v>
      </c>
      <c r="I2439" s="2">
        <v>0</v>
      </c>
      <c r="J2439" s="2">
        <v>0</v>
      </c>
    </row>
    <row r="2440" spans="1:10">
      <c r="A2440" s="2" t="s">
        <v>148</v>
      </c>
      <c r="B2440" s="2" t="s">
        <v>101</v>
      </c>
      <c r="C2440" s="2">
        <v>1.61607E-2</v>
      </c>
      <c r="D2440" s="60">
        <v>0</v>
      </c>
      <c r="E2440" s="2">
        <v>1.8</v>
      </c>
      <c r="F2440" s="2">
        <v>0.3</v>
      </c>
      <c r="G2440" s="2">
        <v>26.000499999999999</v>
      </c>
      <c r="H2440" s="2">
        <v>26.3889</v>
      </c>
      <c r="I2440" s="2">
        <v>0</v>
      </c>
      <c r="J2440" s="2">
        <v>0</v>
      </c>
    </row>
    <row r="2441" spans="1:10">
      <c r="A2441" s="2" t="s">
        <v>138</v>
      </c>
      <c r="B2441" s="2">
        <v>4</v>
      </c>
      <c r="C2441" s="2">
        <v>19.8536</v>
      </c>
      <c r="D2441" s="60" t="s">
        <v>129</v>
      </c>
      <c r="E2441" s="2" t="s">
        <v>139</v>
      </c>
    </row>
    <row r="2442" spans="1:10">
      <c r="A2442" s="2" t="s">
        <v>140</v>
      </c>
      <c r="B2442" s="2">
        <v>0</v>
      </c>
      <c r="C2442" s="2">
        <v>64.925600000000003</v>
      </c>
      <c r="D2442" s="60">
        <v>27.292400000000001</v>
      </c>
    </row>
    <row r="2443" spans="1:10">
      <c r="A2443" s="2" t="s">
        <v>141</v>
      </c>
      <c r="B2443" s="2">
        <v>0</v>
      </c>
      <c r="C2443" s="2">
        <v>7</v>
      </c>
      <c r="D2443" s="60" t="s">
        <v>142</v>
      </c>
    </row>
    <row r="2444" spans="1:10">
      <c r="A2444" s="2" t="s">
        <v>141</v>
      </c>
      <c r="B2444" s="2">
        <v>0</v>
      </c>
      <c r="C2444" s="2">
        <v>7</v>
      </c>
      <c r="D2444" s="60" t="s">
        <v>146</v>
      </c>
    </row>
    <row r="2445" spans="1:10">
      <c r="A2445" s="2" t="s">
        <v>141</v>
      </c>
      <c r="B2445" s="2">
        <v>7</v>
      </c>
      <c r="C2445" s="2">
        <v>7.5</v>
      </c>
      <c r="D2445" s="60" t="s">
        <v>151</v>
      </c>
    </row>
    <row r="2446" spans="1:10">
      <c r="A2446" s="2" t="s">
        <v>141</v>
      </c>
      <c r="B2446" s="2">
        <v>7</v>
      </c>
      <c r="C2446" s="2">
        <v>7.5</v>
      </c>
      <c r="D2446" s="60" t="s">
        <v>159</v>
      </c>
    </row>
    <row r="2447" spans="1:10">
      <c r="A2447" s="2" t="s">
        <v>141</v>
      </c>
      <c r="B2447" s="2">
        <v>7.5</v>
      </c>
      <c r="C2447" s="2">
        <v>12</v>
      </c>
      <c r="D2447" s="60" t="s">
        <v>146</v>
      </c>
    </row>
    <row r="2448" spans="1:10">
      <c r="A2448" s="2" t="s">
        <v>141</v>
      </c>
      <c r="B2448" s="2">
        <v>7.5</v>
      </c>
      <c r="C2448" s="2">
        <v>14.8</v>
      </c>
      <c r="D2448" s="60" t="s">
        <v>147</v>
      </c>
    </row>
    <row r="2449" spans="1:10">
      <c r="A2449" s="2" t="s">
        <v>141</v>
      </c>
      <c r="B2449" s="2">
        <v>12</v>
      </c>
      <c r="C2449" s="2">
        <v>15</v>
      </c>
      <c r="D2449" s="60" t="s">
        <v>155</v>
      </c>
    </row>
    <row r="2450" spans="1:10">
      <c r="A2450" s="2" t="s">
        <v>141</v>
      </c>
      <c r="B2450" s="2">
        <v>14.8</v>
      </c>
      <c r="C2450" s="2">
        <v>21.7</v>
      </c>
      <c r="D2450" s="60" t="s">
        <v>144</v>
      </c>
    </row>
    <row r="2451" spans="1:10">
      <c r="A2451" s="2" t="s">
        <v>141</v>
      </c>
      <c r="B2451" s="2">
        <v>15</v>
      </c>
      <c r="C2451" s="2">
        <v>21.7</v>
      </c>
      <c r="D2451" s="60" t="s">
        <v>161</v>
      </c>
    </row>
    <row r="2452" spans="1:10">
      <c r="A2452" s="2" t="s">
        <v>148</v>
      </c>
      <c r="B2452" s="2" t="s">
        <v>99</v>
      </c>
      <c r="C2452" s="2">
        <v>9.6188099999999999E-2</v>
      </c>
      <c r="D2452" s="60">
        <v>0</v>
      </c>
      <c r="E2452" s="2">
        <v>0</v>
      </c>
      <c r="F2452" s="2">
        <v>0.3</v>
      </c>
      <c r="G2452" s="2">
        <v>62.421300000000002</v>
      </c>
      <c r="H2452" s="2">
        <v>65.477199999999996</v>
      </c>
      <c r="I2452" s="2">
        <v>0</v>
      </c>
      <c r="J2452" s="2">
        <v>0</v>
      </c>
    </row>
    <row r="2453" spans="1:10">
      <c r="A2453" s="2" t="s">
        <v>148</v>
      </c>
      <c r="B2453" s="2" t="s">
        <v>100</v>
      </c>
      <c r="C2453" s="2">
        <v>1.07475E-2</v>
      </c>
      <c r="D2453" s="60">
        <v>0</v>
      </c>
      <c r="E2453" s="2">
        <v>24.2882</v>
      </c>
      <c r="F2453" s="2">
        <v>3.0042</v>
      </c>
      <c r="G2453" s="2">
        <v>0</v>
      </c>
      <c r="H2453" s="2">
        <v>10.000299999999999</v>
      </c>
      <c r="I2453" s="2">
        <v>0</v>
      </c>
      <c r="J2453" s="2">
        <v>0</v>
      </c>
    </row>
    <row r="2454" spans="1:10">
      <c r="A2454" s="2" t="s">
        <v>148</v>
      </c>
      <c r="B2454" s="2" t="s">
        <v>98</v>
      </c>
      <c r="C2454" s="2">
        <v>5.7536299999999999E-2</v>
      </c>
      <c r="D2454" s="60">
        <v>0</v>
      </c>
      <c r="E2454" s="2">
        <v>20.700600000000001</v>
      </c>
      <c r="F2454" s="2">
        <v>3.5875499999999998</v>
      </c>
      <c r="G2454" s="2">
        <v>10.000299999999999</v>
      </c>
      <c r="H2454" s="2">
        <v>18.290199999999999</v>
      </c>
      <c r="I2454" s="2">
        <v>0</v>
      </c>
      <c r="J2454" s="2">
        <v>0</v>
      </c>
    </row>
    <row r="2455" spans="1:10">
      <c r="A2455" s="2" t="s">
        <v>148</v>
      </c>
      <c r="B2455" s="2" t="s">
        <v>101</v>
      </c>
      <c r="C2455" s="2">
        <v>0.42014299999999999</v>
      </c>
      <c r="D2455" s="60">
        <v>0</v>
      </c>
      <c r="E2455" s="2">
        <v>13.5</v>
      </c>
      <c r="F2455" s="2">
        <v>7.2</v>
      </c>
      <c r="G2455" s="2">
        <v>18.291699999999999</v>
      </c>
      <c r="H2455" s="2">
        <v>34.953699999999998</v>
      </c>
      <c r="I2455" s="2">
        <v>0</v>
      </c>
      <c r="J2455" s="2">
        <v>0</v>
      </c>
    </row>
    <row r="2456" spans="1:10">
      <c r="A2456" s="2" t="s">
        <v>148</v>
      </c>
      <c r="B2456" s="2" t="s">
        <v>62</v>
      </c>
      <c r="C2456" s="2">
        <v>0.77956700000000001</v>
      </c>
      <c r="D2456" s="60">
        <v>62.365400000000001</v>
      </c>
      <c r="E2456" s="2">
        <v>7.5</v>
      </c>
      <c r="F2456" s="2">
        <v>6</v>
      </c>
      <c r="G2456" s="2">
        <v>34.953699999999998</v>
      </c>
      <c r="H2456" s="2">
        <v>45.535499999999999</v>
      </c>
      <c r="I2456" s="2">
        <v>0</v>
      </c>
      <c r="J2456" s="2">
        <v>0</v>
      </c>
    </row>
    <row r="2457" spans="1:10">
      <c r="A2457" s="2" t="s">
        <v>148</v>
      </c>
      <c r="B2457" s="2" t="s">
        <v>101</v>
      </c>
      <c r="C2457" s="2">
        <v>0.18542</v>
      </c>
      <c r="D2457" s="60">
        <v>0</v>
      </c>
      <c r="E2457" s="2">
        <v>6.4</v>
      </c>
      <c r="F2457" s="2">
        <v>1.1000000000000001</v>
      </c>
      <c r="G2457" s="2">
        <v>45.535499999999999</v>
      </c>
      <c r="H2457" s="2">
        <v>47.100099999999998</v>
      </c>
      <c r="I2457" s="2">
        <v>0</v>
      </c>
      <c r="J2457" s="2">
        <v>0</v>
      </c>
    </row>
    <row r="2458" spans="1:10">
      <c r="A2458" s="2" t="s">
        <v>148</v>
      </c>
      <c r="B2458" s="2" t="s">
        <v>55</v>
      </c>
      <c r="C2458" s="2">
        <v>1.3115600000000001</v>
      </c>
      <c r="D2458" s="60">
        <v>190.17699999999999</v>
      </c>
      <c r="E2458" s="2">
        <v>0.3</v>
      </c>
      <c r="F2458" s="2">
        <v>6.1</v>
      </c>
      <c r="G2458" s="2">
        <v>47.100099999999998</v>
      </c>
      <c r="H2458" s="2">
        <v>62.421300000000002</v>
      </c>
      <c r="I2458" s="2">
        <v>0</v>
      </c>
      <c r="J2458" s="2">
        <v>0</v>
      </c>
    </row>
    <row r="2459" spans="1:10">
      <c r="A2459" s="2" t="s">
        <v>138</v>
      </c>
      <c r="B2459" s="2">
        <v>5</v>
      </c>
      <c r="C2459" s="2">
        <v>19.744</v>
      </c>
      <c r="D2459" s="60" t="s">
        <v>129</v>
      </c>
      <c r="E2459" s="2" t="s">
        <v>149</v>
      </c>
    </row>
    <row r="2460" spans="1:10">
      <c r="A2460" s="2" t="s">
        <v>140</v>
      </c>
      <c r="B2460" s="2">
        <v>0</v>
      </c>
      <c r="C2460" s="2">
        <v>54.723300000000002</v>
      </c>
      <c r="D2460" s="60">
        <v>26.6069</v>
      </c>
    </row>
    <row r="2461" spans="1:10">
      <c r="A2461" s="2" t="s">
        <v>141</v>
      </c>
      <c r="B2461" s="2">
        <v>0</v>
      </c>
      <c r="C2461" s="2">
        <v>6</v>
      </c>
      <c r="D2461" s="60" t="s">
        <v>142</v>
      </c>
    </row>
    <row r="2462" spans="1:10">
      <c r="A2462" s="2" t="s">
        <v>141</v>
      </c>
      <c r="B2462" s="2">
        <v>0</v>
      </c>
      <c r="C2462" s="2">
        <v>10.8</v>
      </c>
      <c r="D2462" s="60" t="s">
        <v>146</v>
      </c>
    </row>
    <row r="2463" spans="1:10">
      <c r="A2463" s="2" t="s">
        <v>141</v>
      </c>
      <c r="B2463" s="2">
        <v>0</v>
      </c>
      <c r="C2463" s="2">
        <v>15</v>
      </c>
      <c r="D2463" s="60" t="s">
        <v>158</v>
      </c>
    </row>
    <row r="2464" spans="1:10">
      <c r="A2464" s="2" t="s">
        <v>141</v>
      </c>
      <c r="B2464" s="2">
        <v>6</v>
      </c>
      <c r="C2464" s="2">
        <v>13</v>
      </c>
      <c r="D2464" s="60" t="s">
        <v>145</v>
      </c>
    </row>
    <row r="2465" spans="1:10">
      <c r="A2465" s="2" t="s">
        <v>141</v>
      </c>
      <c r="B2465" s="2">
        <v>10.8</v>
      </c>
      <c r="C2465" s="2">
        <v>15</v>
      </c>
      <c r="D2465" s="60" t="s">
        <v>155</v>
      </c>
    </row>
    <row r="2466" spans="1:10">
      <c r="A2466" s="2" t="s">
        <v>141</v>
      </c>
      <c r="B2466" s="2">
        <v>13</v>
      </c>
      <c r="C2466" s="2">
        <v>13.5</v>
      </c>
      <c r="D2466" s="60" t="s">
        <v>151</v>
      </c>
    </row>
    <row r="2467" spans="1:10">
      <c r="A2467" s="2" t="s">
        <v>141</v>
      </c>
      <c r="B2467" s="2">
        <v>13.5</v>
      </c>
      <c r="C2467" s="2">
        <v>15</v>
      </c>
      <c r="D2467" s="60" t="s">
        <v>145</v>
      </c>
    </row>
    <row r="2468" spans="1:10">
      <c r="A2468" s="2" t="s">
        <v>141</v>
      </c>
      <c r="B2468" s="2">
        <v>15</v>
      </c>
      <c r="C2468" s="2">
        <v>15.5</v>
      </c>
      <c r="D2468" s="60" t="s">
        <v>151</v>
      </c>
    </row>
    <row r="2469" spans="1:10">
      <c r="A2469" s="2" t="s">
        <v>141</v>
      </c>
      <c r="B2469" s="2">
        <v>15</v>
      </c>
      <c r="C2469" s="2">
        <v>15.5</v>
      </c>
      <c r="D2469" s="60" t="s">
        <v>159</v>
      </c>
    </row>
    <row r="2470" spans="1:10">
      <c r="A2470" s="2" t="s">
        <v>141</v>
      </c>
      <c r="B2470" s="2">
        <v>15.5</v>
      </c>
      <c r="C2470" s="2">
        <v>21.200399999999998</v>
      </c>
      <c r="D2470" s="60" t="s">
        <v>144</v>
      </c>
    </row>
    <row r="2471" spans="1:10">
      <c r="A2471" s="2" t="s">
        <v>141</v>
      </c>
      <c r="B2471" s="2">
        <v>15.5</v>
      </c>
      <c r="C2471" s="2">
        <v>21.200399999999998</v>
      </c>
      <c r="D2471" s="60" t="s">
        <v>152</v>
      </c>
    </row>
    <row r="2472" spans="1:10">
      <c r="A2472" s="2" t="s">
        <v>148</v>
      </c>
      <c r="B2472" s="2" t="s">
        <v>99</v>
      </c>
      <c r="C2472" s="2">
        <v>7.0711700000000002E-2</v>
      </c>
      <c r="D2472" s="60">
        <v>0</v>
      </c>
      <c r="E2472" s="2">
        <v>0</v>
      </c>
      <c r="F2472" s="2">
        <v>0.3</v>
      </c>
      <c r="G2472" s="2">
        <v>53.492100000000001</v>
      </c>
      <c r="H2472" s="2">
        <v>56.173299999999998</v>
      </c>
      <c r="I2472" s="2">
        <v>0</v>
      </c>
      <c r="J2472" s="2">
        <v>0</v>
      </c>
    </row>
    <row r="2473" spans="1:10">
      <c r="A2473" s="2" t="s">
        <v>148</v>
      </c>
      <c r="B2473" s="2" t="s">
        <v>100</v>
      </c>
      <c r="C2473" s="2">
        <v>1.26164E-2</v>
      </c>
      <c r="D2473" s="60">
        <v>0</v>
      </c>
      <c r="E2473" s="2">
        <v>22.9557</v>
      </c>
      <c r="F2473" s="2">
        <v>3.6512199999999999</v>
      </c>
      <c r="G2473" s="2">
        <v>0</v>
      </c>
      <c r="H2473" s="2">
        <v>10</v>
      </c>
      <c r="I2473" s="2">
        <v>0</v>
      </c>
      <c r="J2473" s="2">
        <v>0</v>
      </c>
    </row>
    <row r="2474" spans="1:10">
      <c r="A2474" s="2" t="s">
        <v>148</v>
      </c>
      <c r="B2474" s="2" t="s">
        <v>98</v>
      </c>
      <c r="C2474" s="2">
        <v>0.14185400000000001</v>
      </c>
      <c r="D2474" s="60">
        <v>0</v>
      </c>
      <c r="E2474" s="2">
        <v>16.661799999999999</v>
      </c>
      <c r="F2474" s="2">
        <v>6.2938700000000001</v>
      </c>
      <c r="G2474" s="2">
        <v>10</v>
      </c>
      <c r="H2474" s="2">
        <v>23.119599999999998</v>
      </c>
      <c r="I2474" s="2">
        <v>0</v>
      </c>
      <c r="J2474" s="2">
        <v>0</v>
      </c>
    </row>
    <row r="2475" spans="1:10">
      <c r="A2475" s="2" t="s">
        <v>148</v>
      </c>
      <c r="B2475" s="2" t="s">
        <v>101</v>
      </c>
      <c r="C2475" s="2">
        <v>0.172543</v>
      </c>
      <c r="D2475" s="60">
        <v>0</v>
      </c>
      <c r="E2475" s="2">
        <v>13.5</v>
      </c>
      <c r="F2475" s="2">
        <v>3.1618200000000001</v>
      </c>
      <c r="G2475" s="2">
        <v>23.119599999999998</v>
      </c>
      <c r="H2475" s="2">
        <v>29.362300000000001</v>
      </c>
      <c r="I2475" s="2">
        <v>0</v>
      </c>
      <c r="J2475" s="2">
        <v>0</v>
      </c>
    </row>
    <row r="2476" spans="1:10">
      <c r="A2476" s="2" t="s">
        <v>148</v>
      </c>
      <c r="B2476" s="2" t="s">
        <v>62</v>
      </c>
      <c r="C2476" s="2">
        <v>0.339808</v>
      </c>
      <c r="D2476" s="60">
        <v>27.1846</v>
      </c>
      <c r="E2476" s="2">
        <v>9.5</v>
      </c>
      <c r="F2476" s="2">
        <v>4</v>
      </c>
      <c r="G2476" s="2">
        <v>29.362300000000001</v>
      </c>
      <c r="H2476" s="2">
        <v>36.046100000000003</v>
      </c>
      <c r="I2476" s="2">
        <v>0</v>
      </c>
      <c r="J2476" s="2">
        <v>0</v>
      </c>
    </row>
    <row r="2477" spans="1:10">
      <c r="A2477" s="2" t="s">
        <v>148</v>
      </c>
      <c r="B2477" s="2" t="s">
        <v>59</v>
      </c>
      <c r="C2477" s="2">
        <v>0.47294700000000001</v>
      </c>
      <c r="D2477" s="60">
        <v>47.294699999999999</v>
      </c>
      <c r="E2477" s="2">
        <v>5.5</v>
      </c>
      <c r="F2477" s="2">
        <v>4</v>
      </c>
      <c r="G2477" s="2">
        <v>36.046100000000003</v>
      </c>
      <c r="H2477" s="2">
        <v>41.296100000000003</v>
      </c>
      <c r="I2477" s="2">
        <v>0</v>
      </c>
      <c r="J2477" s="2">
        <v>0</v>
      </c>
    </row>
    <row r="2478" spans="1:10">
      <c r="A2478" s="2" t="s">
        <v>148</v>
      </c>
      <c r="B2478" s="2" t="s">
        <v>55</v>
      </c>
      <c r="C2478" s="2">
        <v>0.84246500000000002</v>
      </c>
      <c r="D2478" s="60">
        <v>122.157</v>
      </c>
      <c r="E2478" s="2">
        <v>0.3</v>
      </c>
      <c r="F2478" s="2">
        <v>5.2</v>
      </c>
      <c r="G2478" s="2">
        <v>41.296100000000003</v>
      </c>
      <c r="H2478" s="2">
        <v>53.492100000000001</v>
      </c>
      <c r="I2478" s="2">
        <v>0</v>
      </c>
      <c r="J2478" s="2">
        <v>0</v>
      </c>
    </row>
    <row r="2479" spans="1:10">
      <c r="A2479" s="2" t="s">
        <v>138</v>
      </c>
      <c r="B2479" s="2">
        <v>6</v>
      </c>
      <c r="C2479" s="2">
        <v>19.773599999999998</v>
      </c>
      <c r="D2479" s="60" t="s">
        <v>129</v>
      </c>
      <c r="E2479" s="2" t="s">
        <v>149</v>
      </c>
    </row>
    <row r="2480" spans="1:10">
      <c r="A2480" s="2" t="s">
        <v>140</v>
      </c>
      <c r="B2480" s="2">
        <v>0</v>
      </c>
      <c r="C2480" s="2">
        <v>56.845999999999997</v>
      </c>
      <c r="D2480" s="60">
        <v>26.760400000000001</v>
      </c>
    </row>
    <row r="2481" spans="1:10">
      <c r="A2481" s="2" t="s">
        <v>141</v>
      </c>
      <c r="B2481" s="2">
        <v>0</v>
      </c>
      <c r="C2481" s="2">
        <v>5.8</v>
      </c>
      <c r="D2481" s="60" t="s">
        <v>142</v>
      </c>
    </row>
    <row r="2482" spans="1:10">
      <c r="A2482" s="2" t="s">
        <v>141</v>
      </c>
      <c r="B2482" s="2">
        <v>0</v>
      </c>
      <c r="C2482" s="2">
        <v>6.9</v>
      </c>
      <c r="D2482" s="60" t="s">
        <v>158</v>
      </c>
    </row>
    <row r="2483" spans="1:10">
      <c r="A2483" s="2" t="s">
        <v>141</v>
      </c>
      <c r="B2483" s="2">
        <v>0</v>
      </c>
      <c r="C2483" s="2">
        <v>10.199999999999999</v>
      </c>
      <c r="D2483" s="60" t="s">
        <v>146</v>
      </c>
    </row>
    <row r="2484" spans="1:10">
      <c r="A2484" s="2" t="s">
        <v>141</v>
      </c>
      <c r="B2484" s="2">
        <v>5.8</v>
      </c>
      <c r="C2484" s="2">
        <v>10.199999999999999</v>
      </c>
      <c r="D2484" s="60" t="s">
        <v>147</v>
      </c>
    </row>
    <row r="2485" spans="1:10">
      <c r="A2485" s="2" t="s">
        <v>141</v>
      </c>
      <c r="B2485" s="2">
        <v>6.9</v>
      </c>
      <c r="C2485" s="2">
        <v>7.4</v>
      </c>
      <c r="D2485" s="60" t="s">
        <v>174</v>
      </c>
    </row>
    <row r="2486" spans="1:10">
      <c r="A2486" s="2" t="s">
        <v>141</v>
      </c>
      <c r="B2486" s="2">
        <v>10.199999999999999</v>
      </c>
      <c r="C2486" s="2">
        <v>10.7</v>
      </c>
      <c r="D2486" s="60" t="s">
        <v>151</v>
      </c>
    </row>
    <row r="2487" spans="1:10">
      <c r="A2487" s="2" t="s">
        <v>141</v>
      </c>
      <c r="B2487" s="2">
        <v>10.199999999999999</v>
      </c>
      <c r="C2487" s="2">
        <v>10.7</v>
      </c>
      <c r="D2487" s="60" t="s">
        <v>159</v>
      </c>
    </row>
    <row r="2488" spans="1:10">
      <c r="A2488" s="2" t="s">
        <v>141</v>
      </c>
      <c r="B2488" s="2">
        <v>10.7</v>
      </c>
      <c r="C2488" s="2">
        <v>11</v>
      </c>
      <c r="D2488" s="60" t="s">
        <v>147</v>
      </c>
    </row>
    <row r="2489" spans="1:10">
      <c r="A2489" s="2" t="s">
        <v>141</v>
      </c>
      <c r="B2489" s="2">
        <v>10.7</v>
      </c>
      <c r="C2489" s="2">
        <v>21.3123</v>
      </c>
      <c r="D2489" s="60" t="s">
        <v>152</v>
      </c>
    </row>
    <row r="2490" spans="1:10">
      <c r="A2490" s="2" t="s">
        <v>141</v>
      </c>
      <c r="B2490" s="2">
        <v>11</v>
      </c>
      <c r="C2490" s="2">
        <v>15.3</v>
      </c>
      <c r="D2490" s="60" t="s">
        <v>145</v>
      </c>
    </row>
    <row r="2491" spans="1:10">
      <c r="A2491" s="2" t="s">
        <v>141</v>
      </c>
      <c r="B2491" s="2">
        <v>15.3</v>
      </c>
      <c r="C2491" s="2">
        <v>21.3123</v>
      </c>
      <c r="D2491" s="60" t="s">
        <v>144</v>
      </c>
    </row>
    <row r="2492" spans="1:10">
      <c r="A2492" s="2" t="s">
        <v>148</v>
      </c>
      <c r="B2492" s="2" t="s">
        <v>99</v>
      </c>
      <c r="C2492" s="2">
        <v>7.5725299999999995E-2</v>
      </c>
      <c r="D2492" s="60">
        <v>0</v>
      </c>
      <c r="E2492" s="2">
        <v>0</v>
      </c>
      <c r="F2492" s="2">
        <v>0.3</v>
      </c>
      <c r="G2492" s="2">
        <v>55.3626</v>
      </c>
      <c r="H2492" s="2">
        <v>58.122799999999998</v>
      </c>
      <c r="I2492" s="2">
        <v>0</v>
      </c>
      <c r="J2492" s="2">
        <v>0</v>
      </c>
    </row>
    <row r="2493" spans="1:10">
      <c r="A2493" s="2" t="s">
        <v>148</v>
      </c>
      <c r="B2493" s="2" t="s">
        <v>100</v>
      </c>
      <c r="C2493" s="2">
        <v>1.21975E-2</v>
      </c>
      <c r="D2493" s="60">
        <v>0</v>
      </c>
      <c r="E2493" s="2">
        <v>23.258900000000001</v>
      </c>
      <c r="F2493" s="2">
        <v>3.5015900000000002</v>
      </c>
      <c r="G2493" s="2">
        <v>0</v>
      </c>
      <c r="H2493" s="2">
        <v>10</v>
      </c>
      <c r="I2493" s="2">
        <v>0</v>
      </c>
      <c r="J2493" s="2">
        <v>0</v>
      </c>
    </row>
    <row r="2494" spans="1:10">
      <c r="A2494" s="2" t="s">
        <v>148</v>
      </c>
      <c r="B2494" s="2" t="s">
        <v>98</v>
      </c>
      <c r="C2494" s="2">
        <v>2.52626E-2</v>
      </c>
      <c r="D2494" s="60">
        <v>0</v>
      </c>
      <c r="E2494" s="2">
        <v>21.123699999999999</v>
      </c>
      <c r="F2494" s="2">
        <v>2.1352000000000002</v>
      </c>
      <c r="G2494" s="2">
        <v>10</v>
      </c>
      <c r="H2494" s="2">
        <v>14.4534</v>
      </c>
      <c r="I2494" s="2">
        <v>0</v>
      </c>
      <c r="J2494" s="2">
        <v>0</v>
      </c>
    </row>
    <row r="2495" spans="1:10">
      <c r="A2495" s="2" t="s">
        <v>148</v>
      </c>
      <c r="B2495" s="2" t="s">
        <v>101</v>
      </c>
      <c r="C2495" s="2">
        <v>3.89436E-4</v>
      </c>
      <c r="D2495" s="60">
        <v>0</v>
      </c>
      <c r="E2495" s="2">
        <v>21.1</v>
      </c>
      <c r="F2495" s="2">
        <v>2.3653E-2</v>
      </c>
      <c r="G2495" s="2">
        <v>14.4534</v>
      </c>
      <c r="H2495" s="2">
        <v>14.504</v>
      </c>
      <c r="I2495" s="2">
        <v>0</v>
      </c>
      <c r="J2495" s="2">
        <v>0</v>
      </c>
    </row>
    <row r="2496" spans="1:10">
      <c r="A2496" s="2" t="s">
        <v>148</v>
      </c>
      <c r="B2496" s="2" t="s">
        <v>64</v>
      </c>
      <c r="C2496" s="2">
        <v>0.131102</v>
      </c>
      <c r="D2496" s="60">
        <v>3.9330500000000002</v>
      </c>
      <c r="E2496" s="2">
        <v>16.7</v>
      </c>
      <c r="F2496" s="2">
        <v>4.4000000000000004</v>
      </c>
      <c r="G2496" s="2">
        <v>14.504</v>
      </c>
      <c r="H2496" s="2">
        <v>24.045300000000001</v>
      </c>
      <c r="I2496" s="2">
        <v>0</v>
      </c>
      <c r="J2496" s="2">
        <v>0</v>
      </c>
    </row>
    <row r="2497" spans="1:10">
      <c r="A2497" s="2" t="s">
        <v>148</v>
      </c>
      <c r="B2497" s="2" t="s">
        <v>64</v>
      </c>
      <c r="C2497" s="2">
        <v>0.42985099999999998</v>
      </c>
      <c r="D2497" s="60">
        <v>12.8955</v>
      </c>
      <c r="E2497" s="2">
        <v>10.7</v>
      </c>
      <c r="F2497" s="2">
        <v>6</v>
      </c>
      <c r="G2497" s="2">
        <v>24.045300000000001</v>
      </c>
      <c r="H2497" s="2">
        <v>35.4908</v>
      </c>
      <c r="I2497" s="2">
        <v>0</v>
      </c>
      <c r="J2497" s="2">
        <v>0</v>
      </c>
    </row>
    <row r="2498" spans="1:10">
      <c r="A2498" s="2" t="s">
        <v>148</v>
      </c>
      <c r="B2498" s="2" t="s">
        <v>101</v>
      </c>
      <c r="C2498" s="2">
        <v>0.63304700000000003</v>
      </c>
      <c r="D2498" s="60">
        <v>0</v>
      </c>
      <c r="E2498" s="2">
        <v>5.5</v>
      </c>
      <c r="F2498" s="2">
        <v>5.2</v>
      </c>
      <c r="G2498" s="2">
        <v>35.4908</v>
      </c>
      <c r="H2498" s="2">
        <v>42.768099999999997</v>
      </c>
      <c r="I2498" s="2">
        <v>0</v>
      </c>
      <c r="J2498" s="2">
        <v>0</v>
      </c>
    </row>
    <row r="2499" spans="1:10">
      <c r="A2499" s="2" t="s">
        <v>148</v>
      </c>
      <c r="B2499" s="2" t="s">
        <v>55</v>
      </c>
      <c r="C2499" s="2">
        <v>0.90302199999999999</v>
      </c>
      <c r="D2499" s="60">
        <v>130.93799999999999</v>
      </c>
      <c r="E2499" s="2">
        <v>0.3</v>
      </c>
      <c r="F2499" s="2">
        <v>5.2</v>
      </c>
      <c r="G2499" s="2">
        <v>42.768099999999997</v>
      </c>
      <c r="H2499" s="2">
        <v>55.3626</v>
      </c>
      <c r="I2499" s="2">
        <v>0</v>
      </c>
      <c r="J2499" s="2">
        <v>0</v>
      </c>
    </row>
    <row r="2500" spans="1:10">
      <c r="A2500" s="2" t="s">
        <v>138</v>
      </c>
      <c r="B2500" s="2">
        <v>7</v>
      </c>
      <c r="C2500" s="2">
        <v>19.685600000000001</v>
      </c>
      <c r="D2500" s="60" t="s">
        <v>129</v>
      </c>
      <c r="E2500" s="2" t="s">
        <v>139</v>
      </c>
    </row>
    <row r="2501" spans="1:10">
      <c r="A2501" s="2" t="s">
        <v>140</v>
      </c>
      <c r="B2501" s="2">
        <v>0</v>
      </c>
      <c r="C2501" s="2">
        <v>53.156100000000002</v>
      </c>
      <c r="D2501" s="60">
        <v>24.685400000000001</v>
      </c>
    </row>
    <row r="2502" spans="1:10">
      <c r="A2502" s="2" t="s">
        <v>141</v>
      </c>
      <c r="B2502" s="2">
        <v>0</v>
      </c>
      <c r="C2502" s="2">
        <v>5.5</v>
      </c>
      <c r="D2502" s="60" t="s">
        <v>142</v>
      </c>
    </row>
    <row r="2503" spans="1:10">
      <c r="A2503" s="2" t="s">
        <v>141</v>
      </c>
      <c r="B2503" s="2">
        <v>0</v>
      </c>
      <c r="C2503" s="2">
        <v>5.5</v>
      </c>
      <c r="D2503" s="60" t="s">
        <v>146</v>
      </c>
    </row>
    <row r="2504" spans="1:10">
      <c r="A2504" s="2" t="s">
        <v>141</v>
      </c>
      <c r="B2504" s="2">
        <v>0</v>
      </c>
      <c r="C2504" s="2">
        <v>5.5</v>
      </c>
      <c r="D2504" s="60" t="s">
        <v>158</v>
      </c>
    </row>
    <row r="2505" spans="1:10">
      <c r="A2505" s="2" t="s">
        <v>141</v>
      </c>
      <c r="B2505" s="2">
        <v>5.5</v>
      </c>
      <c r="C2505" s="2">
        <v>6.5</v>
      </c>
      <c r="D2505" s="60" t="s">
        <v>151</v>
      </c>
    </row>
    <row r="2506" spans="1:10">
      <c r="A2506" s="2" t="s">
        <v>141</v>
      </c>
      <c r="B2506" s="2">
        <v>5.5</v>
      </c>
      <c r="C2506" s="2">
        <v>6.5</v>
      </c>
      <c r="D2506" s="60" t="s">
        <v>159</v>
      </c>
    </row>
    <row r="2507" spans="1:10">
      <c r="A2507" s="2" t="s">
        <v>141</v>
      </c>
      <c r="B2507" s="2">
        <v>5.5</v>
      </c>
      <c r="C2507" s="2">
        <v>6.5</v>
      </c>
      <c r="D2507" s="60" t="s">
        <v>178</v>
      </c>
    </row>
    <row r="2508" spans="1:10">
      <c r="A2508" s="2" t="s">
        <v>141</v>
      </c>
      <c r="B2508" s="2">
        <v>6.5</v>
      </c>
      <c r="C2508" s="2">
        <v>8.9</v>
      </c>
      <c r="D2508" s="60" t="s">
        <v>144</v>
      </c>
    </row>
    <row r="2509" spans="1:10">
      <c r="A2509" s="2" t="s">
        <v>141</v>
      </c>
      <c r="B2509" s="2">
        <v>6.5</v>
      </c>
      <c r="C2509" s="2">
        <v>9.3000000000000007</v>
      </c>
      <c r="D2509" s="60" t="s">
        <v>146</v>
      </c>
    </row>
    <row r="2510" spans="1:10">
      <c r="A2510" s="2" t="s">
        <v>141</v>
      </c>
      <c r="B2510" s="2">
        <v>8.9</v>
      </c>
      <c r="C2510" s="2">
        <v>9.3000000000000007</v>
      </c>
      <c r="D2510" s="60" t="s">
        <v>147</v>
      </c>
    </row>
    <row r="2511" spans="1:10">
      <c r="A2511" s="2" t="s">
        <v>141</v>
      </c>
      <c r="B2511" s="2">
        <v>9.3000000000000007</v>
      </c>
      <c r="C2511" s="2">
        <v>9.6</v>
      </c>
      <c r="D2511" s="60" t="s">
        <v>155</v>
      </c>
    </row>
    <row r="2512" spans="1:10">
      <c r="A2512" s="2" t="s">
        <v>141</v>
      </c>
      <c r="B2512" s="2">
        <v>9.3000000000000007</v>
      </c>
      <c r="C2512" s="2">
        <v>14.6</v>
      </c>
      <c r="D2512" s="60" t="s">
        <v>145</v>
      </c>
    </row>
    <row r="2513" spans="1:10">
      <c r="A2513" s="2" t="s">
        <v>141</v>
      </c>
      <c r="B2513" s="2">
        <v>9.6</v>
      </c>
      <c r="C2513" s="2">
        <v>19.8</v>
      </c>
      <c r="D2513" s="60" t="s">
        <v>146</v>
      </c>
    </row>
    <row r="2514" spans="1:10">
      <c r="A2514" s="2" t="s">
        <v>141</v>
      </c>
      <c r="B2514" s="2">
        <v>14.6</v>
      </c>
      <c r="C2514" s="2">
        <v>19.8</v>
      </c>
      <c r="D2514" s="60" t="s">
        <v>144</v>
      </c>
    </row>
    <row r="2515" spans="1:10">
      <c r="A2515" s="2" t="s">
        <v>148</v>
      </c>
      <c r="B2515" s="2" t="s">
        <v>99</v>
      </c>
      <c r="C2515" s="2">
        <v>6.6822000000000006E-2</v>
      </c>
      <c r="D2515" s="60">
        <v>0</v>
      </c>
      <c r="E2515" s="2">
        <v>0</v>
      </c>
      <c r="F2515" s="2">
        <v>0.3</v>
      </c>
      <c r="G2515" s="2">
        <v>51.916600000000003</v>
      </c>
      <c r="H2515" s="2">
        <v>54.704900000000002</v>
      </c>
      <c r="I2515" s="2">
        <v>0</v>
      </c>
      <c r="J2515" s="2">
        <v>0</v>
      </c>
    </row>
    <row r="2516" spans="1:10">
      <c r="A2516" s="2" t="s">
        <v>148</v>
      </c>
      <c r="B2516" s="2" t="s">
        <v>100</v>
      </c>
      <c r="C2516" s="2">
        <v>1.20619E-2</v>
      </c>
      <c r="D2516" s="60">
        <v>0</v>
      </c>
      <c r="E2516" s="2">
        <v>21.1723</v>
      </c>
      <c r="F2516" s="2">
        <v>3.5131000000000001</v>
      </c>
      <c r="G2516" s="2">
        <v>0</v>
      </c>
      <c r="H2516" s="2">
        <v>10</v>
      </c>
      <c r="I2516" s="2">
        <v>0</v>
      </c>
      <c r="J2516" s="2">
        <v>0</v>
      </c>
    </row>
    <row r="2517" spans="1:10">
      <c r="A2517" s="2" t="s">
        <v>148</v>
      </c>
      <c r="B2517" s="2" t="s">
        <v>98</v>
      </c>
      <c r="C2517" s="2">
        <v>0.15951199999999999</v>
      </c>
      <c r="D2517" s="60">
        <v>0</v>
      </c>
      <c r="E2517" s="2">
        <v>14.6305</v>
      </c>
      <c r="F2517" s="2">
        <v>6.54183</v>
      </c>
      <c r="G2517" s="2">
        <v>10</v>
      </c>
      <c r="H2517" s="2">
        <v>24.295400000000001</v>
      </c>
      <c r="I2517" s="2">
        <v>0</v>
      </c>
      <c r="J2517" s="2">
        <v>0</v>
      </c>
    </row>
    <row r="2518" spans="1:10">
      <c r="A2518" s="2" t="s">
        <v>148</v>
      </c>
      <c r="B2518" s="2" t="s">
        <v>101</v>
      </c>
      <c r="C2518" s="2">
        <v>6.1195700000000004E-3</v>
      </c>
      <c r="D2518" s="60">
        <v>0</v>
      </c>
      <c r="E2518" s="2">
        <v>14.5</v>
      </c>
      <c r="F2518" s="2">
        <v>0.13050899999999999</v>
      </c>
      <c r="G2518" s="2">
        <v>24.295400000000001</v>
      </c>
      <c r="H2518" s="2">
        <v>24.572099999999999</v>
      </c>
      <c r="I2518" s="2">
        <v>0</v>
      </c>
      <c r="J2518" s="2">
        <v>0</v>
      </c>
    </row>
    <row r="2519" spans="1:10">
      <c r="A2519" s="2" t="s">
        <v>148</v>
      </c>
      <c r="B2519" s="2" t="s">
        <v>60</v>
      </c>
      <c r="C2519" s="2">
        <v>0.25818099999999999</v>
      </c>
      <c r="D2519" s="60">
        <v>23.2363</v>
      </c>
      <c r="E2519" s="2">
        <v>10.5</v>
      </c>
      <c r="F2519" s="2">
        <v>4</v>
      </c>
      <c r="G2519" s="2">
        <v>24.572099999999999</v>
      </c>
      <c r="H2519" s="2">
        <v>32.331800000000001</v>
      </c>
      <c r="I2519" s="2">
        <v>0</v>
      </c>
      <c r="J2519" s="2">
        <v>0</v>
      </c>
    </row>
    <row r="2520" spans="1:10">
      <c r="A2520" s="2" t="s">
        <v>148</v>
      </c>
      <c r="B2520" s="2" t="s">
        <v>62</v>
      </c>
      <c r="C2520" s="2">
        <v>0.39724700000000002</v>
      </c>
      <c r="D2520" s="60">
        <v>31.779800000000002</v>
      </c>
      <c r="E2520" s="2">
        <v>6.5</v>
      </c>
      <c r="F2520" s="2">
        <v>4</v>
      </c>
      <c r="G2520" s="2">
        <v>32.331800000000001</v>
      </c>
      <c r="H2520" s="2">
        <v>38.424199999999999</v>
      </c>
      <c r="I2520" s="2">
        <v>0</v>
      </c>
      <c r="J2520" s="2">
        <v>0</v>
      </c>
    </row>
    <row r="2521" spans="1:10">
      <c r="A2521" s="2" t="s">
        <v>148</v>
      </c>
      <c r="B2521" s="2" t="s">
        <v>101</v>
      </c>
      <c r="C2521" s="2">
        <v>0.11994</v>
      </c>
      <c r="D2521" s="60">
        <v>0</v>
      </c>
      <c r="E2521" s="2">
        <v>5.5</v>
      </c>
      <c r="F2521" s="2">
        <v>1</v>
      </c>
      <c r="G2521" s="2">
        <v>38.424199999999999</v>
      </c>
      <c r="H2521" s="2">
        <v>39.7181</v>
      </c>
      <c r="I2521" s="2">
        <v>0</v>
      </c>
      <c r="J2521" s="2">
        <v>0</v>
      </c>
    </row>
    <row r="2522" spans="1:10">
      <c r="A2522" s="2" t="s">
        <v>148</v>
      </c>
      <c r="B2522" s="2" t="s">
        <v>56</v>
      </c>
      <c r="C2522" s="2">
        <v>0.78652599999999995</v>
      </c>
      <c r="D2522" s="60">
        <v>110.114</v>
      </c>
      <c r="E2522" s="2">
        <v>0.3</v>
      </c>
      <c r="F2522" s="2">
        <v>5.2</v>
      </c>
      <c r="G2522" s="2">
        <v>39.7181</v>
      </c>
      <c r="H2522" s="2">
        <v>51.916600000000003</v>
      </c>
      <c r="I2522" s="2">
        <v>0</v>
      </c>
      <c r="J2522" s="2">
        <v>0</v>
      </c>
    </row>
    <row r="2523" spans="1:10">
      <c r="A2523" s="2" t="s">
        <v>138</v>
      </c>
      <c r="B2523" s="2">
        <v>8</v>
      </c>
      <c r="C2523" s="2">
        <v>18.145900000000001</v>
      </c>
      <c r="D2523" s="60" t="s">
        <v>129</v>
      </c>
      <c r="E2523" s="2" t="s">
        <v>149</v>
      </c>
    </row>
    <row r="2524" spans="1:10">
      <c r="A2524" s="2" t="s">
        <v>140</v>
      </c>
      <c r="B2524" s="2">
        <v>0</v>
      </c>
      <c r="C2524" s="2">
        <v>30</v>
      </c>
      <c r="D2524" s="60">
        <v>23.741199999999999</v>
      </c>
    </row>
    <row r="2525" spans="1:10">
      <c r="A2525" s="2" t="s">
        <v>141</v>
      </c>
      <c r="B2525" s="2">
        <v>0</v>
      </c>
      <c r="C2525" s="2">
        <v>6.2</v>
      </c>
      <c r="D2525" s="60" t="s">
        <v>142</v>
      </c>
    </row>
    <row r="2526" spans="1:10">
      <c r="A2526" s="2" t="s">
        <v>141</v>
      </c>
      <c r="B2526" s="2">
        <v>0</v>
      </c>
      <c r="C2526" s="2">
        <v>7.2</v>
      </c>
      <c r="D2526" s="60" t="s">
        <v>146</v>
      </c>
    </row>
    <row r="2527" spans="1:10">
      <c r="A2527" s="2" t="s">
        <v>141</v>
      </c>
      <c r="B2527" s="2">
        <v>6.2</v>
      </c>
      <c r="C2527" s="2">
        <v>19.111799999999999</v>
      </c>
      <c r="D2527" s="60" t="s">
        <v>145</v>
      </c>
    </row>
    <row r="2528" spans="1:10">
      <c r="A2528" s="2" t="s">
        <v>141</v>
      </c>
      <c r="B2528" s="2">
        <v>7.2</v>
      </c>
      <c r="C2528" s="2">
        <v>9.3000000000000007</v>
      </c>
      <c r="D2528" s="60" t="s">
        <v>152</v>
      </c>
    </row>
    <row r="2529" spans="1:10">
      <c r="A2529" s="2" t="s">
        <v>141</v>
      </c>
      <c r="B2529" s="2">
        <v>9.3000000000000007</v>
      </c>
      <c r="C2529" s="2">
        <v>19.111799999999999</v>
      </c>
      <c r="D2529" s="60" t="s">
        <v>161</v>
      </c>
    </row>
    <row r="2530" spans="1:10">
      <c r="A2530" s="2" t="s">
        <v>148</v>
      </c>
      <c r="B2530" s="2" t="s">
        <v>99</v>
      </c>
      <c r="C2530" s="2">
        <v>2.3936200000000001E-2</v>
      </c>
      <c r="D2530" s="60">
        <v>0</v>
      </c>
      <c r="E2530" s="2">
        <v>0</v>
      </c>
      <c r="F2530" s="2">
        <v>0.3</v>
      </c>
      <c r="G2530" s="2">
        <v>31.045400000000001</v>
      </c>
      <c r="H2530" s="2">
        <v>32.773299999999999</v>
      </c>
      <c r="I2530" s="2">
        <v>0</v>
      </c>
      <c r="J2530" s="2">
        <v>0</v>
      </c>
    </row>
    <row r="2531" spans="1:10">
      <c r="A2531" s="2" t="s">
        <v>148</v>
      </c>
      <c r="B2531" s="2" t="s">
        <v>100</v>
      </c>
      <c r="C2531" s="2">
        <v>1.9283600000000001E-2</v>
      </c>
      <c r="D2531" s="60">
        <v>0</v>
      </c>
      <c r="E2531" s="2">
        <v>17.3964</v>
      </c>
      <c r="F2531" s="2">
        <v>6.3447899999999997</v>
      </c>
      <c r="G2531" s="2">
        <v>0</v>
      </c>
      <c r="H2531" s="2">
        <v>10</v>
      </c>
      <c r="I2531" s="2">
        <v>0</v>
      </c>
      <c r="J2531" s="2">
        <v>0</v>
      </c>
    </row>
    <row r="2532" spans="1:10">
      <c r="A2532" s="2" t="s">
        <v>148</v>
      </c>
      <c r="B2532" s="2" t="s">
        <v>98</v>
      </c>
      <c r="C2532" s="2">
        <v>2.01367E-2</v>
      </c>
      <c r="D2532" s="60">
        <v>0</v>
      </c>
      <c r="E2532" s="2">
        <v>15.4224</v>
      </c>
      <c r="F2532" s="2">
        <v>1.9740200000000001</v>
      </c>
      <c r="G2532" s="2">
        <v>10</v>
      </c>
      <c r="H2532" s="2">
        <v>12.7325</v>
      </c>
      <c r="I2532" s="2">
        <v>0</v>
      </c>
      <c r="J2532" s="2">
        <v>0</v>
      </c>
    </row>
    <row r="2533" spans="1:10">
      <c r="A2533" s="2" t="s">
        <v>148</v>
      </c>
      <c r="B2533" s="2" t="s">
        <v>101</v>
      </c>
      <c r="C2533" s="2">
        <v>0.246139</v>
      </c>
      <c r="D2533" s="60">
        <v>0</v>
      </c>
      <c r="E2533" s="2">
        <v>6.3</v>
      </c>
      <c r="F2533" s="2">
        <v>9.1223600000000005</v>
      </c>
      <c r="G2533" s="2">
        <v>12.7325</v>
      </c>
      <c r="H2533" s="2">
        <v>22.979399999999998</v>
      </c>
      <c r="I2533" s="2">
        <v>0</v>
      </c>
      <c r="J2533" s="2">
        <v>0</v>
      </c>
    </row>
    <row r="2534" spans="1:10">
      <c r="A2534" s="2" t="s">
        <v>148</v>
      </c>
      <c r="B2534" s="2" t="s">
        <v>60</v>
      </c>
      <c r="C2534" s="2">
        <v>0.31404799999999999</v>
      </c>
      <c r="D2534" s="60">
        <v>28.264299999999999</v>
      </c>
      <c r="E2534" s="2">
        <v>0.3</v>
      </c>
      <c r="F2534" s="2">
        <v>6</v>
      </c>
      <c r="G2534" s="2">
        <v>22.979399999999998</v>
      </c>
      <c r="H2534" s="2">
        <v>31.045400000000001</v>
      </c>
      <c r="I2534" s="2">
        <v>0</v>
      </c>
      <c r="J2534" s="2">
        <v>0</v>
      </c>
    </row>
    <row r="2535" spans="1:10">
      <c r="A2535" s="2" t="s">
        <v>138</v>
      </c>
      <c r="B2535" s="2">
        <v>9</v>
      </c>
      <c r="C2535" s="2">
        <v>19.399699999999999</v>
      </c>
      <c r="D2535" s="60" t="s">
        <v>129</v>
      </c>
      <c r="E2535" s="2" t="s">
        <v>149</v>
      </c>
    </row>
    <row r="2536" spans="1:10">
      <c r="A2536" s="2" t="s">
        <v>140</v>
      </c>
      <c r="B2536" s="2">
        <v>0</v>
      </c>
      <c r="C2536" s="2">
        <v>41.694699999999997</v>
      </c>
      <c r="D2536" s="60">
        <v>25.493200000000002</v>
      </c>
    </row>
    <row r="2537" spans="1:10">
      <c r="A2537" s="2" t="s">
        <v>141</v>
      </c>
      <c r="B2537" s="2">
        <v>0</v>
      </c>
      <c r="C2537" s="2">
        <v>4.9000000000000004</v>
      </c>
      <c r="D2537" s="60" t="s">
        <v>142</v>
      </c>
    </row>
    <row r="2538" spans="1:10">
      <c r="A2538" s="2" t="s">
        <v>141</v>
      </c>
      <c r="B2538" s="2">
        <v>0</v>
      </c>
      <c r="C2538" s="2">
        <v>7</v>
      </c>
      <c r="D2538" s="60" t="s">
        <v>146</v>
      </c>
    </row>
    <row r="2539" spans="1:10">
      <c r="A2539" s="2" t="s">
        <v>141</v>
      </c>
      <c r="B2539" s="2">
        <v>4.9000000000000004</v>
      </c>
      <c r="C2539" s="2">
        <v>7</v>
      </c>
      <c r="D2539" s="60" t="s">
        <v>145</v>
      </c>
    </row>
    <row r="2540" spans="1:10">
      <c r="A2540" s="2" t="s">
        <v>141</v>
      </c>
      <c r="B2540" s="2">
        <v>7</v>
      </c>
      <c r="C2540" s="2">
        <v>9.1999999999999993</v>
      </c>
      <c r="D2540" s="60" t="s">
        <v>155</v>
      </c>
    </row>
    <row r="2541" spans="1:10">
      <c r="A2541" s="2" t="s">
        <v>141</v>
      </c>
      <c r="B2541" s="2">
        <v>7</v>
      </c>
      <c r="C2541" s="2">
        <v>20.3887</v>
      </c>
      <c r="D2541" s="60" t="s">
        <v>144</v>
      </c>
    </row>
    <row r="2542" spans="1:10">
      <c r="A2542" s="2" t="s">
        <v>141</v>
      </c>
      <c r="B2542" s="2">
        <v>9.1999999999999993</v>
      </c>
      <c r="C2542" s="2">
        <v>20.3887</v>
      </c>
      <c r="D2542" s="60" t="s">
        <v>161</v>
      </c>
    </row>
    <row r="2543" spans="1:10">
      <c r="A2543" s="2" t="s">
        <v>148</v>
      </c>
      <c r="B2543" s="2" t="s">
        <v>99</v>
      </c>
      <c r="C2543" s="2">
        <v>4.3340400000000001E-2</v>
      </c>
      <c r="D2543" s="60">
        <v>0</v>
      </c>
      <c r="E2543" s="2">
        <v>0</v>
      </c>
      <c r="F2543" s="2">
        <v>0.3</v>
      </c>
      <c r="G2543" s="2">
        <v>41.840499999999999</v>
      </c>
      <c r="H2543" s="2">
        <v>44.022100000000002</v>
      </c>
      <c r="I2543" s="2">
        <v>0</v>
      </c>
      <c r="J2543" s="2">
        <v>0</v>
      </c>
    </row>
    <row r="2544" spans="1:10">
      <c r="A2544" s="2" t="s">
        <v>148</v>
      </c>
      <c r="B2544" s="2" t="s">
        <v>100</v>
      </c>
      <c r="C2544" s="2">
        <v>1.5645200000000001E-2</v>
      </c>
      <c r="D2544" s="60">
        <v>0</v>
      </c>
      <c r="E2544" s="2">
        <v>20.683299999999999</v>
      </c>
      <c r="F2544" s="2">
        <v>4.8099299999999996</v>
      </c>
      <c r="G2544" s="2">
        <v>0</v>
      </c>
      <c r="H2544" s="2">
        <v>10</v>
      </c>
      <c r="I2544" s="2">
        <v>0</v>
      </c>
      <c r="J2544" s="2">
        <v>0</v>
      </c>
    </row>
    <row r="2545" spans="1:10">
      <c r="A2545" s="2" t="s">
        <v>148</v>
      </c>
      <c r="B2545" s="2" t="s">
        <v>101</v>
      </c>
      <c r="C2545" s="2">
        <v>0.42874899999999999</v>
      </c>
      <c r="D2545" s="60">
        <v>0</v>
      </c>
      <c r="E2545" s="2">
        <v>8.3000000000000007</v>
      </c>
      <c r="F2545" s="2">
        <v>12.3833</v>
      </c>
      <c r="G2545" s="2">
        <v>10</v>
      </c>
      <c r="H2545" s="2">
        <v>29.193200000000001</v>
      </c>
      <c r="I2545" s="2">
        <v>0</v>
      </c>
      <c r="J2545" s="2">
        <v>0</v>
      </c>
    </row>
    <row r="2546" spans="1:10">
      <c r="A2546" s="2" t="s">
        <v>148</v>
      </c>
      <c r="B2546" s="2" t="s">
        <v>62</v>
      </c>
      <c r="C2546" s="2">
        <v>0.308417</v>
      </c>
      <c r="D2546" s="60">
        <v>24.673400000000001</v>
      </c>
      <c r="E2546" s="2">
        <v>4.3</v>
      </c>
      <c r="F2546" s="2">
        <v>4</v>
      </c>
      <c r="G2546" s="2">
        <v>29.193200000000001</v>
      </c>
      <c r="H2546" s="2">
        <v>33.302500000000002</v>
      </c>
      <c r="I2546" s="2">
        <v>0</v>
      </c>
      <c r="J2546" s="2">
        <v>0</v>
      </c>
    </row>
    <row r="2547" spans="1:10">
      <c r="A2547" s="2" t="s">
        <v>148</v>
      </c>
      <c r="B2547" s="2" t="s">
        <v>59</v>
      </c>
      <c r="C2547" s="2">
        <v>0.41191</v>
      </c>
      <c r="D2547" s="60">
        <v>41.191000000000003</v>
      </c>
      <c r="E2547" s="2">
        <v>0.3</v>
      </c>
      <c r="F2547" s="2">
        <v>4</v>
      </c>
      <c r="G2547" s="2">
        <v>33.302500000000002</v>
      </c>
      <c r="H2547" s="2">
        <v>41.840499999999999</v>
      </c>
      <c r="I2547" s="2">
        <v>0</v>
      </c>
      <c r="J2547" s="2">
        <v>0</v>
      </c>
    </row>
    <row r="2548" spans="1:10">
      <c r="A2548" s="2" t="s">
        <v>138</v>
      </c>
      <c r="B2548" s="2">
        <v>10</v>
      </c>
      <c r="C2548" s="2">
        <v>19.478300000000001</v>
      </c>
      <c r="D2548" s="60" t="s">
        <v>129</v>
      </c>
      <c r="E2548" s="2" t="s">
        <v>149</v>
      </c>
    </row>
    <row r="2549" spans="1:10">
      <c r="A2549" s="2" t="s">
        <v>140</v>
      </c>
      <c r="B2549" s="2">
        <v>0</v>
      </c>
      <c r="C2549" s="2">
        <v>43.658200000000001</v>
      </c>
      <c r="D2549" s="60">
        <v>25.6816</v>
      </c>
    </row>
    <row r="2550" spans="1:10">
      <c r="A2550" s="2" t="s">
        <v>141</v>
      </c>
      <c r="B2550" s="2">
        <v>0</v>
      </c>
      <c r="C2550" s="2">
        <v>3.9</v>
      </c>
      <c r="D2550" s="60" t="s">
        <v>158</v>
      </c>
    </row>
    <row r="2551" spans="1:10">
      <c r="A2551" s="2" t="s">
        <v>141</v>
      </c>
      <c r="B2551" s="2">
        <v>0</v>
      </c>
      <c r="C2551" s="2">
        <v>6.5</v>
      </c>
      <c r="D2551" s="60" t="s">
        <v>142</v>
      </c>
    </row>
    <row r="2552" spans="1:10">
      <c r="A2552" s="2" t="s">
        <v>141</v>
      </c>
      <c r="B2552" s="2">
        <v>0</v>
      </c>
      <c r="C2552" s="2">
        <v>7.4</v>
      </c>
      <c r="D2552" s="60" t="s">
        <v>146</v>
      </c>
    </row>
    <row r="2553" spans="1:10">
      <c r="A2553" s="2" t="s">
        <v>141</v>
      </c>
      <c r="B2553" s="2">
        <v>3.9</v>
      </c>
      <c r="C2553" s="2">
        <v>4.4000000000000004</v>
      </c>
      <c r="D2553" s="60" t="s">
        <v>174</v>
      </c>
    </row>
    <row r="2554" spans="1:10">
      <c r="A2554" s="2" t="s">
        <v>141</v>
      </c>
      <c r="B2554" s="2">
        <v>4.4000000000000004</v>
      </c>
      <c r="C2554" s="2">
        <v>7.4</v>
      </c>
      <c r="D2554" s="60" t="s">
        <v>158</v>
      </c>
    </row>
    <row r="2555" spans="1:10">
      <c r="A2555" s="2" t="s">
        <v>141</v>
      </c>
      <c r="B2555" s="2">
        <v>6.5</v>
      </c>
      <c r="C2555" s="2">
        <v>10</v>
      </c>
      <c r="D2555" s="60" t="s">
        <v>145</v>
      </c>
    </row>
    <row r="2556" spans="1:10">
      <c r="A2556" s="2" t="s">
        <v>141</v>
      </c>
      <c r="B2556" s="2">
        <v>7.4</v>
      </c>
      <c r="C2556" s="2">
        <v>7.7</v>
      </c>
      <c r="D2556" s="60" t="s">
        <v>159</v>
      </c>
    </row>
    <row r="2557" spans="1:10">
      <c r="A2557" s="2" t="s">
        <v>141</v>
      </c>
      <c r="B2557" s="2">
        <v>7.4</v>
      </c>
      <c r="C2557" s="2">
        <v>7.7</v>
      </c>
      <c r="D2557" s="60" t="s">
        <v>177</v>
      </c>
    </row>
    <row r="2558" spans="1:10">
      <c r="A2558" s="2" t="s">
        <v>141</v>
      </c>
      <c r="B2558" s="2">
        <v>7.7</v>
      </c>
      <c r="C2558" s="2">
        <v>20.526</v>
      </c>
      <c r="D2558" s="60" t="s">
        <v>152</v>
      </c>
    </row>
    <row r="2559" spans="1:10">
      <c r="A2559" s="2" t="s">
        <v>141</v>
      </c>
      <c r="B2559" s="2">
        <v>10</v>
      </c>
      <c r="C2559" s="2">
        <v>10.5</v>
      </c>
      <c r="D2559" s="60" t="s">
        <v>147</v>
      </c>
    </row>
    <row r="2560" spans="1:10">
      <c r="A2560" s="2" t="s">
        <v>141</v>
      </c>
      <c r="B2560" s="2">
        <v>10.5</v>
      </c>
      <c r="C2560" s="2">
        <v>10.8</v>
      </c>
      <c r="D2560" s="60" t="s">
        <v>153</v>
      </c>
    </row>
    <row r="2561" spans="1:10">
      <c r="A2561" s="2" t="s">
        <v>141</v>
      </c>
      <c r="B2561" s="2">
        <v>10.5</v>
      </c>
      <c r="C2561" s="2">
        <v>10.8</v>
      </c>
      <c r="D2561" s="60" t="s">
        <v>154</v>
      </c>
    </row>
    <row r="2562" spans="1:10">
      <c r="A2562" s="2" t="s">
        <v>141</v>
      </c>
      <c r="B2562" s="2">
        <v>10.5</v>
      </c>
      <c r="C2562" s="2">
        <v>20.526</v>
      </c>
      <c r="D2562" s="60" t="s">
        <v>144</v>
      </c>
    </row>
    <row r="2563" spans="1:10">
      <c r="A2563" s="2" t="s">
        <v>156</v>
      </c>
      <c r="B2563" s="2">
        <v>10.5</v>
      </c>
      <c r="C2563" s="2">
        <v>34.028599999999997</v>
      </c>
    </row>
    <row r="2564" spans="1:10">
      <c r="A2564" s="2" t="s">
        <v>148</v>
      </c>
      <c r="B2564" s="2" t="s">
        <v>99</v>
      </c>
      <c r="C2564" s="2">
        <v>4.7084000000000001E-2</v>
      </c>
      <c r="D2564" s="60">
        <v>0</v>
      </c>
      <c r="E2564" s="2">
        <v>0</v>
      </c>
      <c r="F2564" s="2">
        <v>0.3</v>
      </c>
      <c r="G2564" s="2">
        <v>43.616999999999997</v>
      </c>
      <c r="H2564" s="2">
        <v>45.875799999999998</v>
      </c>
      <c r="I2564" s="2">
        <v>0</v>
      </c>
      <c r="J2564" s="2">
        <v>0</v>
      </c>
    </row>
    <row r="2565" spans="1:10">
      <c r="A2565" s="2" t="s">
        <v>148</v>
      </c>
      <c r="B2565" s="2" t="s">
        <v>100</v>
      </c>
      <c r="C2565" s="2">
        <v>1.8763999999999999E-2</v>
      </c>
      <c r="D2565" s="60">
        <v>0</v>
      </c>
      <c r="E2565" s="2">
        <v>19.6557</v>
      </c>
      <c r="F2565" s="2">
        <v>6.0258700000000003</v>
      </c>
      <c r="G2565" s="2">
        <v>0</v>
      </c>
      <c r="H2565" s="2">
        <v>10</v>
      </c>
      <c r="I2565" s="2">
        <v>0</v>
      </c>
      <c r="J2565" s="2">
        <v>0</v>
      </c>
    </row>
    <row r="2566" spans="1:10">
      <c r="A2566" s="2" t="s">
        <v>148</v>
      </c>
      <c r="B2566" s="2" t="s">
        <v>98</v>
      </c>
      <c r="C2566" s="2">
        <v>3.6022499999999999E-2</v>
      </c>
      <c r="D2566" s="60">
        <v>0</v>
      </c>
      <c r="E2566" s="2">
        <v>16.601600000000001</v>
      </c>
      <c r="F2566" s="2">
        <v>3.0541200000000002</v>
      </c>
      <c r="G2566" s="2">
        <v>10</v>
      </c>
      <c r="H2566" s="2">
        <v>14.374000000000001</v>
      </c>
      <c r="I2566" s="2">
        <v>0</v>
      </c>
      <c r="J2566" s="2">
        <v>0</v>
      </c>
    </row>
    <row r="2567" spans="1:10">
      <c r="A2567" s="2" t="s">
        <v>148</v>
      </c>
      <c r="B2567" s="2" t="s">
        <v>64</v>
      </c>
      <c r="C2567" s="2">
        <v>0.15390100000000001</v>
      </c>
      <c r="D2567" s="60">
        <v>4.6170299999999997</v>
      </c>
      <c r="E2567" s="2">
        <v>10.8</v>
      </c>
      <c r="F2567" s="2">
        <v>5.8</v>
      </c>
      <c r="G2567" s="2">
        <v>14.376200000000001</v>
      </c>
      <c r="H2567" s="2">
        <v>21.829699999999999</v>
      </c>
      <c r="I2567" s="2">
        <v>0</v>
      </c>
      <c r="J2567" s="2">
        <v>0</v>
      </c>
    </row>
    <row r="2568" spans="1:10">
      <c r="A2568" s="2" t="s">
        <v>148</v>
      </c>
      <c r="B2568" s="2" t="s">
        <v>101</v>
      </c>
      <c r="C2568" s="2">
        <v>0.53244800000000003</v>
      </c>
      <c r="D2568" s="60">
        <v>0</v>
      </c>
      <c r="E2568" s="2">
        <v>3.9</v>
      </c>
      <c r="F2568" s="2">
        <v>6.9</v>
      </c>
      <c r="G2568" s="2">
        <v>21.829699999999999</v>
      </c>
      <c r="H2568" s="2">
        <v>35.145000000000003</v>
      </c>
      <c r="I2568" s="2">
        <v>0</v>
      </c>
      <c r="J2568" s="2">
        <v>0</v>
      </c>
    </row>
    <row r="2569" spans="1:10">
      <c r="A2569" s="2" t="s">
        <v>148</v>
      </c>
      <c r="B2569" s="2" t="s">
        <v>64</v>
      </c>
      <c r="C2569" s="2">
        <v>0.409605</v>
      </c>
      <c r="D2569" s="60">
        <v>12.2881</v>
      </c>
      <c r="E2569" s="2">
        <v>0.3</v>
      </c>
      <c r="F2569" s="2">
        <v>3.6</v>
      </c>
      <c r="G2569" s="2">
        <v>35.145000000000003</v>
      </c>
      <c r="H2569" s="2">
        <v>43.616999999999997</v>
      </c>
      <c r="I2569" s="2">
        <v>0</v>
      </c>
      <c r="J2569" s="2">
        <v>0</v>
      </c>
    </row>
    <row r="2570" spans="1:10">
      <c r="A2570" s="2" t="s">
        <v>140</v>
      </c>
      <c r="B2570" s="2">
        <v>1</v>
      </c>
      <c r="C2570" s="2">
        <v>22.580100000000002</v>
      </c>
      <c r="D2570" s="60">
        <v>25.6816</v>
      </c>
      <c r="E2570" s="2">
        <v>10.5</v>
      </c>
    </row>
    <row r="2571" spans="1:10">
      <c r="A2571" s="2" t="s">
        <v>141</v>
      </c>
      <c r="B2571" s="2">
        <v>10.5</v>
      </c>
      <c r="C2571" s="2">
        <v>10.8</v>
      </c>
      <c r="D2571" s="60" t="s">
        <v>153</v>
      </c>
    </row>
    <row r="2572" spans="1:10">
      <c r="A2572" s="2" t="s">
        <v>141</v>
      </c>
      <c r="B2572" s="2">
        <v>10.5</v>
      </c>
      <c r="C2572" s="2">
        <v>20.526</v>
      </c>
      <c r="D2572" s="60" t="s">
        <v>144</v>
      </c>
    </row>
    <row r="2573" spans="1:10">
      <c r="A2573" s="2" t="s">
        <v>141</v>
      </c>
      <c r="B2573" s="2">
        <v>10.5</v>
      </c>
      <c r="C2573" s="2">
        <v>20.526</v>
      </c>
      <c r="D2573" s="60" t="s">
        <v>152</v>
      </c>
    </row>
    <row r="2574" spans="1:10">
      <c r="A2574" s="2" t="s">
        <v>148</v>
      </c>
      <c r="B2574" s="2" t="s">
        <v>100</v>
      </c>
      <c r="C2574" s="2">
        <v>2.6633899999999999E-2</v>
      </c>
      <c r="D2574" s="60">
        <v>0</v>
      </c>
      <c r="E2574" s="2">
        <v>16.557099999999998</v>
      </c>
      <c r="F2574" s="2">
        <v>9.1245200000000004</v>
      </c>
      <c r="G2574" s="2">
        <v>0</v>
      </c>
      <c r="H2574" s="2">
        <v>10</v>
      </c>
      <c r="I2574" s="2">
        <v>0</v>
      </c>
      <c r="J2574" s="2">
        <v>0</v>
      </c>
    </row>
    <row r="2575" spans="1:10">
      <c r="A2575" s="2" t="s">
        <v>148</v>
      </c>
      <c r="B2575" s="2" t="s">
        <v>101</v>
      </c>
      <c r="C2575" s="2">
        <v>4.5058199999999999E-4</v>
      </c>
      <c r="D2575" s="60">
        <v>0</v>
      </c>
      <c r="E2575" s="2">
        <v>16.5</v>
      </c>
      <c r="F2575" s="2">
        <v>5.7050299999999998E-2</v>
      </c>
      <c r="G2575" s="2">
        <v>10</v>
      </c>
      <c r="H2575" s="2">
        <v>10.055899999999999</v>
      </c>
      <c r="I2575" s="2">
        <v>0</v>
      </c>
      <c r="J2575" s="2">
        <v>0</v>
      </c>
    </row>
    <row r="2576" spans="1:10">
      <c r="A2576" s="2" t="s">
        <v>148</v>
      </c>
      <c r="B2576" s="2" t="s">
        <v>64</v>
      </c>
      <c r="C2576" s="2">
        <v>7.3052900000000004E-2</v>
      </c>
      <c r="D2576" s="60">
        <v>2.1915900000000001</v>
      </c>
      <c r="E2576" s="2">
        <v>10.8</v>
      </c>
      <c r="F2576" s="2">
        <v>5.7</v>
      </c>
      <c r="G2576" s="2">
        <v>10.055899999999999</v>
      </c>
      <c r="H2576" s="2">
        <v>15.120699999999999</v>
      </c>
      <c r="I2576" s="2">
        <v>0</v>
      </c>
      <c r="J2576" s="2">
        <v>0</v>
      </c>
    </row>
    <row r="2577" spans="1:10">
      <c r="A2577" s="2" t="s">
        <v>148</v>
      </c>
      <c r="B2577" s="2" t="s">
        <v>101</v>
      </c>
      <c r="C2577" s="2">
        <v>5.4693099999999998E-3</v>
      </c>
      <c r="D2577" s="60">
        <v>0</v>
      </c>
      <c r="E2577" s="2">
        <v>10.5</v>
      </c>
      <c r="F2577" s="2">
        <v>0.3</v>
      </c>
      <c r="G2577" s="2">
        <v>15.120699999999999</v>
      </c>
      <c r="H2577" s="2">
        <v>15.349600000000001</v>
      </c>
      <c r="I2577" s="2">
        <v>0</v>
      </c>
      <c r="J2577" s="2">
        <v>0</v>
      </c>
    </row>
    <row r="2578" spans="1:10">
      <c r="A2578" s="2" t="s">
        <v>138</v>
      </c>
      <c r="B2578" s="2">
        <v>11</v>
      </c>
      <c r="C2578" s="2">
        <v>19.658200000000001</v>
      </c>
      <c r="D2578" s="60" t="s">
        <v>129</v>
      </c>
      <c r="E2578" s="2" t="s">
        <v>149</v>
      </c>
    </row>
    <row r="2579" spans="1:10">
      <c r="A2579" s="2" t="s">
        <v>140</v>
      </c>
      <c r="B2579" s="2">
        <v>0</v>
      </c>
      <c r="C2579" s="2">
        <v>49.991199999999999</v>
      </c>
      <c r="D2579" s="60">
        <v>26.238099999999999</v>
      </c>
    </row>
    <row r="2580" spans="1:10">
      <c r="A2580" s="2" t="s">
        <v>141</v>
      </c>
      <c r="B2580" s="2">
        <v>0</v>
      </c>
      <c r="C2580" s="2">
        <v>6.2</v>
      </c>
      <c r="D2580" s="60" t="s">
        <v>142</v>
      </c>
    </row>
    <row r="2581" spans="1:10">
      <c r="A2581" s="2" t="s">
        <v>141</v>
      </c>
      <c r="B2581" s="2">
        <v>0</v>
      </c>
      <c r="C2581" s="2">
        <v>10.9</v>
      </c>
      <c r="D2581" s="60" t="s">
        <v>146</v>
      </c>
    </row>
    <row r="2582" spans="1:10">
      <c r="A2582" s="2" t="s">
        <v>141</v>
      </c>
      <c r="B2582" s="2">
        <v>6.2</v>
      </c>
      <c r="C2582" s="2">
        <v>6.5</v>
      </c>
      <c r="D2582" s="60" t="s">
        <v>147</v>
      </c>
    </row>
    <row r="2583" spans="1:10">
      <c r="A2583" s="2" t="s">
        <v>141</v>
      </c>
      <c r="B2583" s="2">
        <v>6.5</v>
      </c>
      <c r="C2583" s="2">
        <v>10.4</v>
      </c>
      <c r="D2583" s="60" t="s">
        <v>144</v>
      </c>
    </row>
    <row r="2584" spans="1:10">
      <c r="A2584" s="2" t="s">
        <v>141</v>
      </c>
      <c r="B2584" s="2">
        <v>10.4</v>
      </c>
      <c r="C2584" s="2">
        <v>10.9</v>
      </c>
      <c r="D2584" s="60" t="s">
        <v>151</v>
      </c>
    </row>
    <row r="2585" spans="1:10">
      <c r="A2585" s="2" t="s">
        <v>141</v>
      </c>
      <c r="B2585" s="2">
        <v>10.9</v>
      </c>
      <c r="C2585" s="2">
        <v>11</v>
      </c>
      <c r="D2585" s="60" t="s">
        <v>145</v>
      </c>
    </row>
    <row r="2586" spans="1:10">
      <c r="A2586" s="2" t="s">
        <v>141</v>
      </c>
      <c r="B2586" s="2">
        <v>10.9</v>
      </c>
      <c r="C2586" s="2">
        <v>20.9316</v>
      </c>
      <c r="D2586" s="60" t="s">
        <v>152</v>
      </c>
    </row>
    <row r="2587" spans="1:10">
      <c r="A2587" s="2" t="s">
        <v>141</v>
      </c>
      <c r="B2587" s="2">
        <v>11</v>
      </c>
      <c r="C2587" s="2">
        <v>20.9316</v>
      </c>
      <c r="D2587" s="60" t="s">
        <v>144</v>
      </c>
    </row>
    <row r="2588" spans="1:10">
      <c r="A2588" s="2" t="s">
        <v>148</v>
      </c>
      <c r="B2588" s="2" t="s">
        <v>99</v>
      </c>
      <c r="C2588" s="2">
        <v>6.0087399999999999E-2</v>
      </c>
      <c r="D2588" s="60">
        <v>0</v>
      </c>
      <c r="E2588" s="2">
        <v>0</v>
      </c>
      <c r="F2588" s="2">
        <v>0.3</v>
      </c>
      <c r="G2588" s="2">
        <v>49.2956</v>
      </c>
      <c r="H2588" s="2">
        <v>51.798499999999997</v>
      </c>
      <c r="I2588" s="2">
        <v>0</v>
      </c>
      <c r="J2588" s="2">
        <v>0</v>
      </c>
    </row>
    <row r="2589" spans="1:10">
      <c r="A2589" s="2" t="s">
        <v>148</v>
      </c>
      <c r="B2589" s="2" t="s">
        <v>100</v>
      </c>
      <c r="C2589" s="2">
        <v>1.3615199999999999E-2</v>
      </c>
      <c r="D2589" s="60">
        <v>0</v>
      </c>
      <c r="E2589" s="2">
        <v>22.219100000000001</v>
      </c>
      <c r="F2589" s="2">
        <v>4.0189700000000004</v>
      </c>
      <c r="G2589" s="2">
        <v>0</v>
      </c>
      <c r="H2589" s="2">
        <v>10</v>
      </c>
      <c r="I2589" s="2">
        <v>0</v>
      </c>
      <c r="J2589" s="2">
        <v>0</v>
      </c>
    </row>
    <row r="2590" spans="1:10">
      <c r="A2590" s="2" t="s">
        <v>148</v>
      </c>
      <c r="B2590" s="2" t="s">
        <v>98</v>
      </c>
      <c r="C2590" s="2">
        <v>0.37479800000000002</v>
      </c>
      <c r="D2590" s="60">
        <v>0</v>
      </c>
      <c r="E2590" s="2">
        <v>11.5337</v>
      </c>
      <c r="F2590" s="2">
        <v>10.6854</v>
      </c>
      <c r="G2590" s="2">
        <v>10</v>
      </c>
      <c r="H2590" s="2">
        <v>30.03</v>
      </c>
      <c r="I2590" s="2">
        <v>0</v>
      </c>
      <c r="J2590" s="2">
        <v>0</v>
      </c>
    </row>
    <row r="2591" spans="1:10">
      <c r="A2591" s="2" t="s">
        <v>148</v>
      </c>
      <c r="B2591" s="2" t="s">
        <v>101</v>
      </c>
      <c r="C2591" s="2">
        <v>0.101073</v>
      </c>
      <c r="D2591" s="60">
        <v>0</v>
      </c>
      <c r="E2591" s="2">
        <v>10.199999999999999</v>
      </c>
      <c r="F2591" s="2">
        <v>1.3337000000000001</v>
      </c>
      <c r="G2591" s="2">
        <v>30.03</v>
      </c>
      <c r="H2591" s="2">
        <v>32.057699999999997</v>
      </c>
      <c r="I2591" s="2">
        <v>0</v>
      </c>
      <c r="J2591" s="2">
        <v>0</v>
      </c>
    </row>
    <row r="2592" spans="1:10">
      <c r="A2592" s="2" t="s">
        <v>148</v>
      </c>
      <c r="B2592" s="2" t="s">
        <v>59</v>
      </c>
      <c r="C2592" s="2">
        <v>0.37982900000000003</v>
      </c>
      <c r="D2592" s="60">
        <v>37.982900000000001</v>
      </c>
      <c r="E2592" s="2">
        <v>6.2</v>
      </c>
      <c r="F2592" s="2">
        <v>4</v>
      </c>
      <c r="G2592" s="2">
        <v>32.057699999999997</v>
      </c>
      <c r="H2592" s="2">
        <v>37.206600000000002</v>
      </c>
      <c r="I2592" s="2">
        <v>0</v>
      </c>
      <c r="J2592" s="2">
        <v>0</v>
      </c>
    </row>
    <row r="2593" spans="1:10">
      <c r="A2593" s="2" t="s">
        <v>148</v>
      </c>
      <c r="B2593" s="2" t="s">
        <v>56</v>
      </c>
      <c r="C2593" s="2">
        <v>0.79203199999999996</v>
      </c>
      <c r="D2593" s="60">
        <v>110.88500000000001</v>
      </c>
      <c r="E2593" s="2">
        <v>0.3</v>
      </c>
      <c r="F2593" s="2">
        <v>5.9</v>
      </c>
      <c r="G2593" s="2">
        <v>37.206600000000002</v>
      </c>
      <c r="H2593" s="2">
        <v>49.2956</v>
      </c>
      <c r="I2593" s="2">
        <v>0</v>
      </c>
      <c r="J2593" s="2">
        <v>0</v>
      </c>
    </row>
    <row r="2594" spans="1:10">
      <c r="A2594" s="2" t="s">
        <v>138</v>
      </c>
      <c r="B2594" s="2">
        <v>12</v>
      </c>
      <c r="C2594" s="2">
        <v>19.748200000000001</v>
      </c>
      <c r="D2594" s="60" t="s">
        <v>129</v>
      </c>
      <c r="E2594" s="2" t="s">
        <v>175</v>
      </c>
    </row>
    <row r="2595" spans="1:10">
      <c r="A2595" s="2" t="s">
        <v>140</v>
      </c>
      <c r="B2595" s="2">
        <v>0</v>
      </c>
      <c r="C2595" s="2">
        <v>55.007300000000001</v>
      </c>
      <c r="D2595" s="60">
        <v>26.627800000000001</v>
      </c>
      <c r="E2595" s="2">
        <v>0</v>
      </c>
      <c r="F2595" s="2">
        <v>14</v>
      </c>
    </row>
    <row r="2596" spans="1:10">
      <c r="A2596" s="2" t="s">
        <v>141</v>
      </c>
      <c r="B2596" s="2">
        <v>0</v>
      </c>
      <c r="C2596" s="2">
        <v>6.5</v>
      </c>
      <c r="D2596" s="60" t="s">
        <v>142</v>
      </c>
    </row>
    <row r="2597" spans="1:10">
      <c r="A2597" s="2" t="s">
        <v>141</v>
      </c>
      <c r="B2597" s="2">
        <v>0</v>
      </c>
      <c r="C2597" s="2">
        <v>10</v>
      </c>
      <c r="D2597" s="60" t="s">
        <v>146</v>
      </c>
    </row>
    <row r="2598" spans="1:10">
      <c r="A2598" s="2" t="s">
        <v>141</v>
      </c>
      <c r="B2598" s="2">
        <v>6.5</v>
      </c>
      <c r="C2598" s="2">
        <v>10</v>
      </c>
      <c r="D2598" s="60" t="s">
        <v>147</v>
      </c>
    </row>
    <row r="2599" spans="1:10">
      <c r="A2599" s="2" t="s">
        <v>141</v>
      </c>
      <c r="B2599" s="2">
        <v>10</v>
      </c>
      <c r="C2599" s="2">
        <v>10.5</v>
      </c>
      <c r="D2599" s="60" t="s">
        <v>151</v>
      </c>
    </row>
    <row r="2600" spans="1:10">
      <c r="A2600" s="2" t="s">
        <v>141</v>
      </c>
      <c r="B2600" s="2">
        <v>10</v>
      </c>
      <c r="C2600" s="2">
        <v>10.5</v>
      </c>
      <c r="D2600" s="60" t="s">
        <v>159</v>
      </c>
    </row>
    <row r="2601" spans="1:10">
      <c r="A2601" s="2" t="s">
        <v>141</v>
      </c>
      <c r="B2601" s="2">
        <v>10.5</v>
      </c>
      <c r="C2601" s="2">
        <v>12.2</v>
      </c>
      <c r="D2601" s="60" t="s">
        <v>145</v>
      </c>
    </row>
    <row r="2602" spans="1:10">
      <c r="A2602" s="2" t="s">
        <v>141</v>
      </c>
      <c r="B2602" s="2">
        <v>10.5</v>
      </c>
      <c r="C2602" s="2">
        <v>21.215599999999998</v>
      </c>
      <c r="D2602" s="60" t="s">
        <v>155</v>
      </c>
    </row>
    <row r="2603" spans="1:10">
      <c r="A2603" s="2" t="s">
        <v>141</v>
      </c>
      <c r="B2603" s="2">
        <v>12.2</v>
      </c>
      <c r="C2603" s="2">
        <v>12.6</v>
      </c>
      <c r="D2603" s="60" t="s">
        <v>147</v>
      </c>
    </row>
    <row r="2604" spans="1:10">
      <c r="A2604" s="2" t="s">
        <v>141</v>
      </c>
      <c r="B2604" s="2">
        <v>12.6</v>
      </c>
      <c r="C2604" s="2">
        <v>21.215599999999998</v>
      </c>
      <c r="D2604" s="60" t="s">
        <v>144</v>
      </c>
    </row>
    <row r="2605" spans="1:10">
      <c r="A2605" s="2" t="s">
        <v>148</v>
      </c>
      <c r="B2605" s="2" t="s">
        <v>99</v>
      </c>
      <c r="C2605" s="2">
        <v>7.1373599999999995E-2</v>
      </c>
      <c r="D2605" s="60">
        <v>0</v>
      </c>
      <c r="E2605" s="2">
        <v>0</v>
      </c>
      <c r="F2605" s="2">
        <v>0.3</v>
      </c>
      <c r="G2605" s="2">
        <v>53.742699999999999</v>
      </c>
      <c r="H2605" s="2">
        <v>56.4345</v>
      </c>
      <c r="I2605" s="2">
        <v>0</v>
      </c>
      <c r="J2605" s="2">
        <v>0</v>
      </c>
    </row>
    <row r="2606" spans="1:10">
      <c r="A2606" s="2" t="s">
        <v>148</v>
      </c>
      <c r="B2606" s="2" t="s">
        <v>101</v>
      </c>
      <c r="C2606" s="2">
        <v>0.37642900000000001</v>
      </c>
      <c r="D2606" s="60">
        <v>0</v>
      </c>
      <c r="E2606" s="2">
        <v>9.5</v>
      </c>
      <c r="F2606" s="2">
        <v>4.5</v>
      </c>
      <c r="G2606" s="2">
        <v>28.5764</v>
      </c>
      <c r="H2606" s="2">
        <v>36.224800000000002</v>
      </c>
      <c r="I2606" s="2">
        <v>0</v>
      </c>
      <c r="J2606" s="2">
        <v>0</v>
      </c>
    </row>
    <row r="2607" spans="1:10">
      <c r="A2607" s="2" t="s">
        <v>148</v>
      </c>
      <c r="B2607" s="2" t="s">
        <v>59</v>
      </c>
      <c r="C2607" s="2">
        <v>0.47754600000000003</v>
      </c>
      <c r="D2607" s="60">
        <v>47.754600000000003</v>
      </c>
      <c r="E2607" s="2">
        <v>5.5</v>
      </c>
      <c r="F2607" s="2">
        <v>4</v>
      </c>
      <c r="G2607" s="2">
        <v>36.224800000000002</v>
      </c>
      <c r="H2607" s="2">
        <v>41.493299999999998</v>
      </c>
      <c r="I2607" s="2">
        <v>0</v>
      </c>
      <c r="J2607" s="2">
        <v>0</v>
      </c>
    </row>
    <row r="2608" spans="1:10">
      <c r="A2608" s="2" t="s">
        <v>148</v>
      </c>
      <c r="B2608" s="2" t="s">
        <v>55</v>
      </c>
      <c r="C2608" s="2">
        <v>0.85045599999999999</v>
      </c>
      <c r="D2608" s="60">
        <v>123.316</v>
      </c>
      <c r="E2608" s="2">
        <v>0.3</v>
      </c>
      <c r="F2608" s="2">
        <v>5.2</v>
      </c>
      <c r="G2608" s="2">
        <v>41.493299999999998</v>
      </c>
      <c r="H2608" s="2">
        <v>53.742699999999999</v>
      </c>
      <c r="I2608" s="2">
        <v>0</v>
      </c>
      <c r="J2608" s="2">
        <v>0</v>
      </c>
    </row>
    <row r="2609" spans="1:10">
      <c r="A2609" s="2" t="s">
        <v>138</v>
      </c>
      <c r="B2609" s="2">
        <v>13</v>
      </c>
      <c r="C2609" s="2">
        <v>19.790199999999999</v>
      </c>
      <c r="D2609" s="60" t="s">
        <v>129</v>
      </c>
      <c r="E2609" s="2" t="s">
        <v>139</v>
      </c>
    </row>
    <row r="2610" spans="1:10">
      <c r="A2610" s="2" t="s">
        <v>140</v>
      </c>
      <c r="B2610" s="2">
        <v>0</v>
      </c>
      <c r="C2610" s="2">
        <v>57.6907</v>
      </c>
      <c r="D2610" s="60">
        <v>27.292400000000001</v>
      </c>
    </row>
    <row r="2611" spans="1:10">
      <c r="A2611" s="2" t="s">
        <v>141</v>
      </c>
      <c r="B2611" s="2">
        <v>0</v>
      </c>
      <c r="C2611" s="2">
        <v>6.7</v>
      </c>
      <c r="D2611" s="60" t="s">
        <v>142</v>
      </c>
    </row>
    <row r="2612" spans="1:10">
      <c r="A2612" s="2" t="s">
        <v>141</v>
      </c>
      <c r="B2612" s="2">
        <v>0</v>
      </c>
      <c r="C2612" s="2">
        <v>7.2</v>
      </c>
      <c r="D2612" s="60" t="s">
        <v>158</v>
      </c>
    </row>
    <row r="2613" spans="1:10">
      <c r="A2613" s="2" t="s">
        <v>141</v>
      </c>
      <c r="B2613" s="2">
        <v>0</v>
      </c>
      <c r="C2613" s="2">
        <v>9.6</v>
      </c>
      <c r="D2613" s="60" t="s">
        <v>146</v>
      </c>
    </row>
    <row r="2614" spans="1:10">
      <c r="A2614" s="2" t="s">
        <v>141</v>
      </c>
      <c r="B2614" s="2">
        <v>6.7</v>
      </c>
      <c r="C2614" s="2">
        <v>9.3000000000000007</v>
      </c>
      <c r="D2614" s="60" t="s">
        <v>145</v>
      </c>
    </row>
    <row r="2615" spans="1:10">
      <c r="A2615" s="2" t="s">
        <v>141</v>
      </c>
      <c r="B2615" s="2">
        <v>7.2</v>
      </c>
      <c r="C2615" s="2">
        <v>7.5</v>
      </c>
      <c r="D2615" s="60" t="s">
        <v>176</v>
      </c>
    </row>
    <row r="2616" spans="1:10">
      <c r="A2616" s="2" t="s">
        <v>141</v>
      </c>
      <c r="B2616" s="2">
        <v>9.3000000000000007</v>
      </c>
      <c r="C2616" s="2">
        <v>9.6</v>
      </c>
      <c r="D2616" s="60" t="s">
        <v>147</v>
      </c>
    </row>
    <row r="2617" spans="1:10">
      <c r="A2617" s="2" t="s">
        <v>141</v>
      </c>
      <c r="B2617" s="2">
        <v>9.6</v>
      </c>
      <c r="C2617" s="2">
        <v>10.8</v>
      </c>
      <c r="D2617" s="60" t="s">
        <v>145</v>
      </c>
    </row>
    <row r="2618" spans="1:10">
      <c r="A2618" s="2" t="s">
        <v>141</v>
      </c>
      <c r="B2618" s="2">
        <v>9.6</v>
      </c>
      <c r="C2618" s="2">
        <v>21.7</v>
      </c>
      <c r="D2618" s="60" t="s">
        <v>152</v>
      </c>
    </row>
    <row r="2619" spans="1:10">
      <c r="A2619" s="2" t="s">
        <v>141</v>
      </c>
      <c r="B2619" s="2">
        <v>10.8</v>
      </c>
      <c r="C2619" s="2">
        <v>11.1</v>
      </c>
      <c r="D2619" s="60" t="s">
        <v>147</v>
      </c>
    </row>
    <row r="2620" spans="1:10">
      <c r="A2620" s="2" t="s">
        <v>141</v>
      </c>
      <c r="B2620" s="2">
        <v>11.1</v>
      </c>
      <c r="C2620" s="2">
        <v>21.7</v>
      </c>
      <c r="D2620" s="60" t="s">
        <v>145</v>
      </c>
    </row>
    <row r="2621" spans="1:10">
      <c r="A2621" s="2" t="s">
        <v>148</v>
      </c>
      <c r="B2621" s="2" t="s">
        <v>99</v>
      </c>
      <c r="C2621" s="2">
        <v>7.7847100000000002E-2</v>
      </c>
      <c r="D2621" s="60">
        <v>0</v>
      </c>
      <c r="E2621" s="2">
        <v>0</v>
      </c>
      <c r="F2621" s="2">
        <v>0.3</v>
      </c>
      <c r="G2621" s="2">
        <v>56.1556</v>
      </c>
      <c r="H2621" s="2">
        <v>58.904800000000002</v>
      </c>
      <c r="I2621" s="2">
        <v>0</v>
      </c>
      <c r="J2621" s="2">
        <v>0</v>
      </c>
    </row>
    <row r="2622" spans="1:10">
      <c r="A2622" s="2" t="s">
        <v>148</v>
      </c>
      <c r="B2622" s="2" t="s">
        <v>100</v>
      </c>
      <c r="C2622" s="2">
        <v>1.2245499999999999E-2</v>
      </c>
      <c r="D2622" s="60">
        <v>0</v>
      </c>
      <c r="E2622" s="2">
        <v>23.788</v>
      </c>
      <c r="F2622" s="2">
        <v>3.5044300000000002</v>
      </c>
      <c r="G2622" s="2">
        <v>0</v>
      </c>
      <c r="H2622" s="2">
        <v>10</v>
      </c>
      <c r="I2622" s="2">
        <v>0</v>
      </c>
      <c r="J2622" s="2">
        <v>0</v>
      </c>
    </row>
    <row r="2623" spans="1:10">
      <c r="A2623" s="2" t="s">
        <v>148</v>
      </c>
      <c r="B2623" s="2" t="s">
        <v>98</v>
      </c>
      <c r="C2623" s="2">
        <v>0.10143000000000001</v>
      </c>
      <c r="D2623" s="60">
        <v>0</v>
      </c>
      <c r="E2623" s="2">
        <v>18.5929</v>
      </c>
      <c r="F2623" s="2">
        <v>5.1951000000000001</v>
      </c>
      <c r="G2623" s="2">
        <v>10</v>
      </c>
      <c r="H2623" s="2">
        <v>21.024100000000001</v>
      </c>
      <c r="I2623" s="2">
        <v>0</v>
      </c>
      <c r="J2623" s="2">
        <v>0</v>
      </c>
    </row>
    <row r="2624" spans="1:10">
      <c r="A2624" s="2" t="s">
        <v>148</v>
      </c>
      <c r="B2624" s="2" t="s">
        <v>101</v>
      </c>
      <c r="C2624" s="2">
        <v>3.2551899999999998E-3</v>
      </c>
      <c r="D2624" s="60">
        <v>0</v>
      </c>
      <c r="E2624" s="2">
        <v>18.5</v>
      </c>
      <c r="F2624" s="2">
        <v>9.2876600000000004E-2</v>
      </c>
      <c r="G2624" s="2">
        <v>21.024100000000001</v>
      </c>
      <c r="H2624" s="2">
        <v>21.225000000000001</v>
      </c>
      <c r="I2624" s="2">
        <v>0</v>
      </c>
      <c r="J2624" s="2">
        <v>0</v>
      </c>
    </row>
    <row r="2625" spans="1:10">
      <c r="A2625" s="2" t="s">
        <v>148</v>
      </c>
      <c r="B2625" s="2" t="s">
        <v>64</v>
      </c>
      <c r="C2625" s="2">
        <v>0.17862600000000001</v>
      </c>
      <c r="D2625" s="60">
        <v>5.3587899999999999</v>
      </c>
      <c r="E2625" s="2">
        <v>14.9</v>
      </c>
      <c r="F2625" s="2">
        <v>3.6</v>
      </c>
      <c r="G2625" s="2">
        <v>21.225000000000001</v>
      </c>
      <c r="H2625" s="2">
        <v>28.747199999999999</v>
      </c>
      <c r="I2625" s="2">
        <v>0</v>
      </c>
      <c r="J2625" s="2">
        <v>0</v>
      </c>
    </row>
    <row r="2626" spans="1:10">
      <c r="A2626" s="2" t="s">
        <v>148</v>
      </c>
      <c r="B2626" s="2" t="s">
        <v>64</v>
      </c>
      <c r="C2626" s="2">
        <v>0.484317</v>
      </c>
      <c r="D2626" s="60">
        <v>14.529500000000001</v>
      </c>
      <c r="E2626" s="2">
        <v>9.5</v>
      </c>
      <c r="F2626" s="2">
        <v>5.4</v>
      </c>
      <c r="G2626" s="2">
        <v>28.747199999999999</v>
      </c>
      <c r="H2626" s="2">
        <v>38.165999999999997</v>
      </c>
      <c r="I2626" s="2">
        <v>0</v>
      </c>
      <c r="J2626" s="2">
        <v>0</v>
      </c>
    </row>
    <row r="2627" spans="1:10">
      <c r="A2627" s="2" t="s">
        <v>148</v>
      </c>
      <c r="B2627" s="2" t="s">
        <v>59</v>
      </c>
      <c r="C2627" s="2">
        <v>0.52668000000000004</v>
      </c>
      <c r="D2627" s="60">
        <v>52.667999999999999</v>
      </c>
      <c r="E2627" s="2">
        <v>5.5</v>
      </c>
      <c r="F2627" s="2">
        <v>4</v>
      </c>
      <c r="G2627" s="2">
        <v>38.165999999999997</v>
      </c>
      <c r="H2627" s="2">
        <v>43.476199999999999</v>
      </c>
      <c r="I2627" s="2">
        <v>0</v>
      </c>
      <c r="J2627" s="2">
        <v>0</v>
      </c>
    </row>
    <row r="2628" spans="1:10">
      <c r="A2628" s="2" t="s">
        <v>148</v>
      </c>
      <c r="B2628" s="2" t="s">
        <v>55</v>
      </c>
      <c r="C2628" s="2">
        <v>0.93121699999999996</v>
      </c>
      <c r="D2628" s="60">
        <v>135.02600000000001</v>
      </c>
      <c r="E2628" s="2">
        <v>0.3</v>
      </c>
      <c r="F2628" s="2">
        <v>5.2</v>
      </c>
      <c r="G2628" s="2">
        <v>43.476199999999999</v>
      </c>
      <c r="H2628" s="2">
        <v>56.1556</v>
      </c>
      <c r="I2628" s="2">
        <v>0</v>
      </c>
      <c r="J2628" s="2">
        <v>0</v>
      </c>
    </row>
    <row r="2629" spans="1:10">
      <c r="A2629" s="2" t="s">
        <v>138</v>
      </c>
      <c r="B2629" s="2">
        <v>14</v>
      </c>
      <c r="C2629" s="2">
        <v>19.847200000000001</v>
      </c>
      <c r="D2629" s="60" t="s">
        <v>129</v>
      </c>
      <c r="E2629" s="2" t="s">
        <v>149</v>
      </c>
    </row>
    <row r="2630" spans="1:10">
      <c r="A2630" s="2" t="s">
        <v>140</v>
      </c>
      <c r="B2630" s="2">
        <v>0</v>
      </c>
      <c r="C2630" s="2">
        <v>64.097800000000007</v>
      </c>
      <c r="D2630" s="60">
        <v>27.235299999999999</v>
      </c>
    </row>
    <row r="2631" spans="1:10">
      <c r="A2631" s="2" t="s">
        <v>141</v>
      </c>
      <c r="B2631" s="2">
        <v>0</v>
      </c>
      <c r="C2631" s="2">
        <v>6.3</v>
      </c>
      <c r="D2631" s="60" t="s">
        <v>142</v>
      </c>
    </row>
    <row r="2632" spans="1:10">
      <c r="A2632" s="2" t="s">
        <v>141</v>
      </c>
      <c r="B2632" s="2">
        <v>0</v>
      </c>
      <c r="C2632" s="2">
        <v>6.3</v>
      </c>
      <c r="D2632" s="60" t="s">
        <v>158</v>
      </c>
    </row>
    <row r="2633" spans="1:10">
      <c r="A2633" s="2" t="s">
        <v>141</v>
      </c>
      <c r="B2633" s="2">
        <v>0</v>
      </c>
      <c r="C2633" s="2">
        <v>9.4</v>
      </c>
      <c r="D2633" s="60" t="s">
        <v>146</v>
      </c>
    </row>
    <row r="2634" spans="1:10">
      <c r="A2634" s="2" t="s">
        <v>141</v>
      </c>
      <c r="B2634" s="2">
        <v>6.3</v>
      </c>
      <c r="C2634" s="2">
        <v>6.7</v>
      </c>
      <c r="D2634" s="60" t="s">
        <v>231</v>
      </c>
    </row>
    <row r="2635" spans="1:10">
      <c r="A2635" s="2" t="s">
        <v>141</v>
      </c>
      <c r="B2635" s="2">
        <v>6.3</v>
      </c>
      <c r="C2635" s="2">
        <v>12.3</v>
      </c>
      <c r="D2635" s="60" t="s">
        <v>147</v>
      </c>
    </row>
    <row r="2636" spans="1:10">
      <c r="A2636" s="2" t="s">
        <v>141</v>
      </c>
      <c r="B2636" s="2">
        <v>6.7</v>
      </c>
      <c r="C2636" s="2">
        <v>6.8</v>
      </c>
      <c r="D2636" s="60" t="s">
        <v>160</v>
      </c>
    </row>
    <row r="2637" spans="1:10">
      <c r="A2637" s="2" t="s">
        <v>141</v>
      </c>
      <c r="B2637" s="2">
        <v>9.4</v>
      </c>
      <c r="C2637" s="2">
        <v>15.4</v>
      </c>
      <c r="D2637" s="60" t="s">
        <v>155</v>
      </c>
    </row>
    <row r="2638" spans="1:10">
      <c r="A2638" s="2" t="s">
        <v>141</v>
      </c>
      <c r="B2638" s="2">
        <v>12.3</v>
      </c>
      <c r="C2638" s="2">
        <v>12.8</v>
      </c>
      <c r="D2638" s="60" t="s">
        <v>151</v>
      </c>
    </row>
    <row r="2639" spans="1:10">
      <c r="A2639" s="2" t="s">
        <v>141</v>
      </c>
      <c r="B2639" s="2">
        <v>12.8</v>
      </c>
      <c r="C2639" s="2">
        <v>13.8</v>
      </c>
      <c r="D2639" s="60" t="s">
        <v>147</v>
      </c>
    </row>
    <row r="2640" spans="1:10">
      <c r="A2640" s="2" t="s">
        <v>141</v>
      </c>
      <c r="B2640" s="2">
        <v>13.8</v>
      </c>
      <c r="C2640" s="2">
        <v>15.4</v>
      </c>
      <c r="D2640" s="60" t="s">
        <v>145</v>
      </c>
    </row>
    <row r="2641" spans="1:10">
      <c r="A2641" s="2" t="s">
        <v>141</v>
      </c>
      <c r="B2641" s="2">
        <v>15.4</v>
      </c>
      <c r="C2641" s="2">
        <v>21.6584</v>
      </c>
      <c r="D2641" s="60" t="s">
        <v>144</v>
      </c>
    </row>
    <row r="2642" spans="1:10">
      <c r="A2642" s="2" t="s">
        <v>141</v>
      </c>
      <c r="B2642" s="2">
        <v>15.4</v>
      </c>
      <c r="C2642" s="2">
        <v>21.6584</v>
      </c>
      <c r="D2642" s="60" t="s">
        <v>161</v>
      </c>
    </row>
    <row r="2643" spans="1:10">
      <c r="A2643" s="2" t="s">
        <v>148</v>
      </c>
      <c r="B2643" s="2" t="s">
        <v>99</v>
      </c>
      <c r="C2643" s="2">
        <v>9.3991000000000005E-2</v>
      </c>
      <c r="D2643" s="60">
        <v>0</v>
      </c>
      <c r="E2643" s="2">
        <v>0</v>
      </c>
      <c r="F2643" s="2">
        <v>0.3</v>
      </c>
      <c r="G2643" s="2">
        <v>61.701599999999999</v>
      </c>
      <c r="H2643" s="2">
        <v>64.728200000000001</v>
      </c>
      <c r="I2643" s="2">
        <v>0</v>
      </c>
      <c r="J2643" s="2">
        <v>0</v>
      </c>
    </row>
    <row r="2644" spans="1:10">
      <c r="A2644" s="2" t="s">
        <v>148</v>
      </c>
      <c r="B2644" s="2" t="s">
        <v>100</v>
      </c>
      <c r="C2644" s="2">
        <v>1.0884400000000001E-2</v>
      </c>
      <c r="D2644" s="60">
        <v>0</v>
      </c>
      <c r="E2644" s="2">
        <v>24.185500000000001</v>
      </c>
      <c r="F2644" s="2">
        <v>3.0498599999999998</v>
      </c>
      <c r="G2644" s="2">
        <v>0</v>
      </c>
      <c r="H2644" s="2">
        <v>10.000400000000001</v>
      </c>
      <c r="I2644" s="2">
        <v>0</v>
      </c>
      <c r="J2644" s="2">
        <v>0</v>
      </c>
    </row>
    <row r="2645" spans="1:10">
      <c r="A2645" s="2" t="s">
        <v>148</v>
      </c>
      <c r="B2645" s="2" t="s">
        <v>98</v>
      </c>
      <c r="C2645" s="2">
        <v>7.7654299999999996E-2</v>
      </c>
      <c r="D2645" s="60">
        <v>0</v>
      </c>
      <c r="E2645" s="2">
        <v>19.884</v>
      </c>
      <c r="F2645" s="2">
        <v>4.3014700000000001</v>
      </c>
      <c r="G2645" s="2">
        <v>10.000400000000001</v>
      </c>
      <c r="H2645" s="2">
        <v>19.923999999999999</v>
      </c>
      <c r="I2645" s="2">
        <v>0</v>
      </c>
      <c r="J2645" s="2">
        <v>0</v>
      </c>
    </row>
    <row r="2646" spans="1:10">
      <c r="A2646" s="2" t="s">
        <v>148</v>
      </c>
      <c r="B2646" s="2" t="s">
        <v>101</v>
      </c>
      <c r="C2646" s="2">
        <v>0.32245600000000002</v>
      </c>
      <c r="D2646" s="60">
        <v>0</v>
      </c>
      <c r="E2646" s="2">
        <v>14.2</v>
      </c>
      <c r="F2646" s="2">
        <v>5.6839899999999997</v>
      </c>
      <c r="G2646" s="2">
        <v>19.923999999999999</v>
      </c>
      <c r="H2646" s="2">
        <v>33.030500000000004</v>
      </c>
      <c r="I2646" s="2">
        <v>0</v>
      </c>
      <c r="J2646" s="2">
        <v>0</v>
      </c>
    </row>
    <row r="2647" spans="1:10">
      <c r="A2647" s="2" t="s">
        <v>148</v>
      </c>
      <c r="B2647" s="2" t="s">
        <v>62</v>
      </c>
      <c r="C2647" s="2">
        <v>0.43209700000000001</v>
      </c>
      <c r="D2647" s="60">
        <v>34.567700000000002</v>
      </c>
      <c r="E2647" s="2">
        <v>10.199999999999999</v>
      </c>
      <c r="F2647" s="2">
        <v>4</v>
      </c>
      <c r="G2647" s="2">
        <v>33.030500000000004</v>
      </c>
      <c r="H2647" s="2">
        <v>40.732399999999998</v>
      </c>
      <c r="I2647" s="2">
        <v>0</v>
      </c>
      <c r="J2647" s="2">
        <v>0</v>
      </c>
    </row>
    <row r="2648" spans="1:10">
      <c r="A2648" s="2" t="s">
        <v>148</v>
      </c>
      <c r="B2648" s="2" t="s">
        <v>62</v>
      </c>
      <c r="C2648" s="2">
        <v>0.60625399999999996</v>
      </c>
      <c r="D2648" s="60">
        <v>48.500300000000003</v>
      </c>
      <c r="E2648" s="2">
        <v>6.2</v>
      </c>
      <c r="F2648" s="2">
        <v>4</v>
      </c>
      <c r="G2648" s="2">
        <v>40.732399999999998</v>
      </c>
      <c r="H2648" s="2">
        <v>46.816299999999998</v>
      </c>
      <c r="I2648" s="2">
        <v>0</v>
      </c>
      <c r="J2648" s="2">
        <v>0</v>
      </c>
    </row>
    <row r="2649" spans="1:10">
      <c r="A2649" s="2" t="s">
        <v>148</v>
      </c>
      <c r="B2649" s="2" t="s">
        <v>55</v>
      </c>
      <c r="C2649" s="2">
        <v>1.24691</v>
      </c>
      <c r="D2649" s="60">
        <v>180.80199999999999</v>
      </c>
      <c r="E2649" s="2">
        <v>0.3</v>
      </c>
      <c r="F2649" s="2">
        <v>5.9</v>
      </c>
      <c r="G2649" s="2">
        <v>46.816299999999998</v>
      </c>
      <c r="H2649" s="2">
        <v>61.701599999999999</v>
      </c>
      <c r="I2649" s="2">
        <v>0</v>
      </c>
      <c r="J2649" s="2">
        <v>0</v>
      </c>
    </row>
    <row r="2650" spans="1:10">
      <c r="A2650" s="2" t="s">
        <v>138</v>
      </c>
      <c r="B2650" s="2">
        <v>15</v>
      </c>
      <c r="C2650" s="2">
        <v>19.843900000000001</v>
      </c>
      <c r="D2650" s="60" t="s">
        <v>129</v>
      </c>
      <c r="E2650" s="2" t="s">
        <v>149</v>
      </c>
    </row>
    <row r="2651" spans="1:10">
      <c r="A2651" s="2" t="s">
        <v>140</v>
      </c>
      <c r="B2651" s="2">
        <v>0</v>
      </c>
      <c r="C2651" s="2">
        <v>63.683300000000003</v>
      </c>
      <c r="D2651" s="60">
        <v>27.210100000000001</v>
      </c>
    </row>
    <row r="2652" spans="1:10">
      <c r="A2652" s="2" t="s">
        <v>141</v>
      </c>
      <c r="B2652" s="2">
        <v>0</v>
      </c>
      <c r="C2652" s="2">
        <v>4.4000000000000004</v>
      </c>
      <c r="D2652" s="60" t="s">
        <v>142</v>
      </c>
    </row>
    <row r="2653" spans="1:10">
      <c r="A2653" s="2" t="s">
        <v>141</v>
      </c>
      <c r="B2653" s="2">
        <v>0</v>
      </c>
      <c r="C2653" s="2">
        <v>8</v>
      </c>
      <c r="D2653" s="60" t="s">
        <v>146</v>
      </c>
    </row>
    <row r="2654" spans="1:10">
      <c r="A2654" s="2" t="s">
        <v>141</v>
      </c>
      <c r="B2654" s="2">
        <v>4.4000000000000004</v>
      </c>
      <c r="C2654" s="2">
        <v>6</v>
      </c>
      <c r="D2654" s="60" t="s">
        <v>144</v>
      </c>
    </row>
    <row r="2655" spans="1:10">
      <c r="A2655" s="2" t="s">
        <v>141</v>
      </c>
      <c r="B2655" s="2">
        <v>6</v>
      </c>
      <c r="C2655" s="2">
        <v>11.1</v>
      </c>
      <c r="D2655" s="60" t="s">
        <v>151</v>
      </c>
    </row>
    <row r="2656" spans="1:10">
      <c r="A2656" s="2" t="s">
        <v>141</v>
      </c>
      <c r="B2656" s="2">
        <v>8</v>
      </c>
      <c r="C2656" s="2">
        <v>11.1</v>
      </c>
      <c r="D2656" s="60" t="s">
        <v>155</v>
      </c>
    </row>
    <row r="2657" spans="1:10">
      <c r="A2657" s="2" t="s">
        <v>141</v>
      </c>
      <c r="B2657" s="2">
        <v>11.1</v>
      </c>
      <c r="C2657" s="2">
        <v>21.64</v>
      </c>
      <c r="D2657" s="60" t="s">
        <v>144</v>
      </c>
    </row>
    <row r="2658" spans="1:10">
      <c r="A2658" s="2" t="s">
        <v>141</v>
      </c>
      <c r="B2658" s="2">
        <v>11.1</v>
      </c>
      <c r="C2658" s="2">
        <v>21.64</v>
      </c>
      <c r="D2658" s="60" t="s">
        <v>161</v>
      </c>
    </row>
    <row r="2659" spans="1:10">
      <c r="A2659" s="2" t="s">
        <v>148</v>
      </c>
      <c r="B2659" s="2" t="s">
        <v>99</v>
      </c>
      <c r="C2659" s="2">
        <v>9.2899999999999996E-2</v>
      </c>
      <c r="D2659" s="60">
        <v>0</v>
      </c>
      <c r="E2659" s="2">
        <v>0</v>
      </c>
      <c r="F2659" s="2">
        <v>0.3</v>
      </c>
      <c r="G2659" s="2">
        <v>61.341299999999997</v>
      </c>
      <c r="H2659" s="2">
        <v>64.352800000000002</v>
      </c>
      <c r="I2659" s="2">
        <v>0</v>
      </c>
      <c r="J2659" s="2">
        <v>0</v>
      </c>
    </row>
    <row r="2660" spans="1:10">
      <c r="A2660" s="2" t="s">
        <v>148</v>
      </c>
      <c r="B2660" s="2" t="s">
        <v>100</v>
      </c>
      <c r="C2660" s="2">
        <v>1.0955100000000001E-2</v>
      </c>
      <c r="D2660" s="60">
        <v>0</v>
      </c>
      <c r="E2660" s="2">
        <v>24.136600000000001</v>
      </c>
      <c r="F2660" s="2">
        <v>3.0734900000000001</v>
      </c>
      <c r="G2660" s="2">
        <v>0</v>
      </c>
      <c r="H2660" s="2">
        <v>10.000400000000001</v>
      </c>
      <c r="I2660" s="2">
        <v>0</v>
      </c>
      <c r="J2660" s="2">
        <v>0</v>
      </c>
    </row>
    <row r="2661" spans="1:10">
      <c r="A2661" s="2" t="s">
        <v>148</v>
      </c>
      <c r="B2661" s="2" t="s">
        <v>98</v>
      </c>
      <c r="C2661" s="2">
        <v>9.3716599999999997E-2</v>
      </c>
      <c r="D2661" s="60">
        <v>0</v>
      </c>
      <c r="E2661" s="2">
        <v>19.3401</v>
      </c>
      <c r="F2661" s="2">
        <v>4.7965299999999997</v>
      </c>
      <c r="G2661" s="2">
        <v>10.000400000000001</v>
      </c>
      <c r="H2661" s="2">
        <v>21.059000000000001</v>
      </c>
      <c r="I2661" s="2">
        <v>0</v>
      </c>
      <c r="J2661" s="2">
        <v>0</v>
      </c>
    </row>
    <row r="2662" spans="1:10">
      <c r="A2662" s="2" t="s">
        <v>148</v>
      </c>
      <c r="B2662" s="2" t="s">
        <v>101</v>
      </c>
      <c r="C2662" s="2">
        <v>0.71386400000000005</v>
      </c>
      <c r="D2662" s="60">
        <v>0</v>
      </c>
      <c r="E2662" s="2">
        <v>10.3</v>
      </c>
      <c r="F2662" s="2">
        <v>9.0400600000000004</v>
      </c>
      <c r="G2662" s="2">
        <v>21.059000000000001</v>
      </c>
      <c r="H2662" s="2">
        <v>40.308799999999998</v>
      </c>
      <c r="I2662" s="2">
        <v>0</v>
      </c>
      <c r="J2662" s="2">
        <v>0</v>
      </c>
    </row>
    <row r="2663" spans="1:10">
      <c r="A2663" s="2" t="s">
        <v>148</v>
      </c>
      <c r="B2663" s="2" t="s">
        <v>62</v>
      </c>
      <c r="C2663" s="2">
        <v>0.95285799999999998</v>
      </c>
      <c r="D2663" s="60">
        <v>76.2286</v>
      </c>
      <c r="E2663" s="2">
        <v>4.3</v>
      </c>
      <c r="F2663" s="2">
        <v>6</v>
      </c>
      <c r="G2663" s="2">
        <v>40.308799999999998</v>
      </c>
      <c r="H2663" s="2">
        <v>49.0715</v>
      </c>
      <c r="I2663" s="2">
        <v>0</v>
      </c>
      <c r="J2663" s="2">
        <v>0</v>
      </c>
    </row>
    <row r="2664" spans="1:10">
      <c r="A2664" s="2" t="s">
        <v>148</v>
      </c>
      <c r="B2664" s="2" t="s">
        <v>55</v>
      </c>
      <c r="C2664" s="2">
        <v>0.891127</v>
      </c>
      <c r="D2664" s="60">
        <v>129.21299999999999</v>
      </c>
      <c r="E2664" s="2">
        <v>0.3</v>
      </c>
      <c r="F2664" s="2">
        <v>4</v>
      </c>
      <c r="G2664" s="2">
        <v>49.0715</v>
      </c>
      <c r="H2664" s="2">
        <v>61.341299999999997</v>
      </c>
      <c r="I2664" s="2">
        <v>0</v>
      </c>
      <c r="J2664" s="2">
        <v>0</v>
      </c>
    </row>
    <row r="2665" spans="1:10">
      <c r="A2665" s="2" t="s">
        <v>138</v>
      </c>
      <c r="B2665" s="2">
        <v>16</v>
      </c>
      <c r="C2665" s="2">
        <v>19.758400000000002</v>
      </c>
      <c r="D2665" s="60" t="s">
        <v>129</v>
      </c>
      <c r="E2665" s="2" t="s">
        <v>149</v>
      </c>
    </row>
    <row r="2666" spans="1:10">
      <c r="A2666" s="2" t="s">
        <v>140</v>
      </c>
      <c r="B2666" s="2">
        <v>0</v>
      </c>
      <c r="C2666" s="2">
        <v>55.715899999999998</v>
      </c>
      <c r="D2666" s="60">
        <v>26.679500000000001</v>
      </c>
    </row>
    <row r="2667" spans="1:10">
      <c r="A2667" s="2" t="s">
        <v>141</v>
      </c>
      <c r="B2667" s="2">
        <v>0</v>
      </c>
      <c r="C2667" s="2">
        <v>2.6</v>
      </c>
      <c r="D2667" s="60" t="s">
        <v>161</v>
      </c>
    </row>
    <row r="2668" spans="1:10">
      <c r="A2668" s="2" t="s">
        <v>141</v>
      </c>
      <c r="B2668" s="2">
        <v>0</v>
      </c>
      <c r="C2668" s="2">
        <v>8</v>
      </c>
      <c r="D2668" s="60" t="s">
        <v>145</v>
      </c>
    </row>
    <row r="2669" spans="1:10">
      <c r="A2669" s="2" t="s">
        <v>141</v>
      </c>
      <c r="B2669" s="2">
        <v>2.6</v>
      </c>
      <c r="C2669" s="2">
        <v>2.9</v>
      </c>
      <c r="D2669" s="60" t="s">
        <v>153</v>
      </c>
    </row>
    <row r="2670" spans="1:10">
      <c r="A2670" s="2" t="s">
        <v>141</v>
      </c>
      <c r="B2670" s="2">
        <v>2.6</v>
      </c>
      <c r="C2670" s="2">
        <v>2.9</v>
      </c>
      <c r="D2670" s="60" t="s">
        <v>154</v>
      </c>
    </row>
    <row r="2671" spans="1:10">
      <c r="A2671" s="2" t="s">
        <v>141</v>
      </c>
      <c r="B2671" s="2">
        <v>2.6</v>
      </c>
      <c r="C2671" s="2">
        <v>21.253299999999999</v>
      </c>
      <c r="D2671" s="60" t="s">
        <v>152</v>
      </c>
    </row>
    <row r="2672" spans="1:10">
      <c r="A2672" s="2" t="s">
        <v>141</v>
      </c>
      <c r="B2672" s="2">
        <v>8</v>
      </c>
      <c r="C2672" s="2">
        <v>21.253299999999999</v>
      </c>
      <c r="D2672" s="60" t="s">
        <v>144</v>
      </c>
    </row>
    <row r="2673" spans="1:10">
      <c r="A2673" s="2" t="s">
        <v>156</v>
      </c>
      <c r="B2673" s="2">
        <v>2.6</v>
      </c>
      <c r="C2673" s="2">
        <v>39.003700000000002</v>
      </c>
    </row>
    <row r="2674" spans="1:10">
      <c r="A2674" s="2" t="s">
        <v>148</v>
      </c>
      <c r="B2674" s="2" t="s">
        <v>99</v>
      </c>
      <c r="C2674" s="2">
        <v>7.3037099999999994E-2</v>
      </c>
      <c r="D2674" s="60">
        <v>0</v>
      </c>
      <c r="E2674" s="2">
        <v>0</v>
      </c>
      <c r="F2674" s="2">
        <v>0.3</v>
      </c>
      <c r="G2674" s="2">
        <v>54.367600000000003</v>
      </c>
      <c r="H2674" s="2">
        <v>57.085799999999999</v>
      </c>
      <c r="I2674" s="2">
        <v>0</v>
      </c>
      <c r="J2674" s="2">
        <v>0</v>
      </c>
    </row>
    <row r="2675" spans="1:10">
      <c r="A2675" s="2" t="s">
        <v>148</v>
      </c>
      <c r="B2675" s="2" t="s">
        <v>100</v>
      </c>
      <c r="C2675" s="2">
        <v>1.73519E-2</v>
      </c>
      <c r="D2675" s="60">
        <v>0</v>
      </c>
      <c r="E2675" s="2">
        <v>21.265999999999998</v>
      </c>
      <c r="F2675" s="2">
        <v>5.4134900000000004</v>
      </c>
      <c r="G2675" s="2">
        <v>0</v>
      </c>
      <c r="H2675" s="2">
        <v>10</v>
      </c>
      <c r="I2675" s="2">
        <v>0</v>
      </c>
      <c r="J2675" s="2">
        <v>0</v>
      </c>
    </row>
    <row r="2676" spans="1:10">
      <c r="A2676" s="2" t="s">
        <v>148</v>
      </c>
      <c r="B2676" s="2" t="s">
        <v>98</v>
      </c>
      <c r="C2676" s="2">
        <v>3.6406899999999999E-2</v>
      </c>
      <c r="D2676" s="60">
        <v>0</v>
      </c>
      <c r="E2676" s="2">
        <v>18.2545</v>
      </c>
      <c r="F2676" s="2">
        <v>3.0115400000000001</v>
      </c>
      <c r="G2676" s="2">
        <v>10</v>
      </c>
      <c r="H2676" s="2">
        <v>14.6823</v>
      </c>
      <c r="I2676" s="2">
        <v>0</v>
      </c>
      <c r="J2676" s="2">
        <v>0</v>
      </c>
    </row>
    <row r="2677" spans="1:10">
      <c r="A2677" s="2" t="s">
        <v>148</v>
      </c>
      <c r="B2677" s="2" t="s">
        <v>101</v>
      </c>
      <c r="C2677" s="2">
        <v>9.2738300000000005E-4</v>
      </c>
      <c r="D2677" s="60">
        <v>0</v>
      </c>
      <c r="E2677" s="2">
        <v>18.2</v>
      </c>
      <c r="F2677" s="2">
        <v>5.4458800000000002E-2</v>
      </c>
      <c r="G2677" s="2">
        <v>14.6823</v>
      </c>
      <c r="H2677" s="2">
        <v>14.767300000000001</v>
      </c>
      <c r="I2677" s="2">
        <v>0</v>
      </c>
      <c r="J2677" s="2">
        <v>0</v>
      </c>
    </row>
    <row r="2678" spans="1:10">
      <c r="A2678" s="2" t="s">
        <v>148</v>
      </c>
      <c r="B2678" s="2" t="s">
        <v>64</v>
      </c>
      <c r="C2678" s="2">
        <v>8.7488300000000005E-2</v>
      </c>
      <c r="D2678" s="60">
        <v>2.6246499999999999</v>
      </c>
      <c r="E2678" s="2">
        <v>14.6</v>
      </c>
      <c r="F2678" s="2">
        <v>3.6</v>
      </c>
      <c r="G2678" s="2">
        <v>14.767300000000001</v>
      </c>
      <c r="H2678" s="2">
        <v>20.1951</v>
      </c>
      <c r="I2678" s="2">
        <v>0</v>
      </c>
      <c r="J2678" s="2">
        <v>0</v>
      </c>
    </row>
    <row r="2679" spans="1:10">
      <c r="A2679" s="2" t="s">
        <v>148</v>
      </c>
      <c r="B2679" s="2" t="s">
        <v>64</v>
      </c>
      <c r="C2679" s="2">
        <v>0.258183</v>
      </c>
      <c r="D2679" s="60">
        <v>7.7454999999999998</v>
      </c>
      <c r="E2679" s="2">
        <v>8.9</v>
      </c>
      <c r="F2679" s="2">
        <v>5.7</v>
      </c>
      <c r="G2679" s="2">
        <v>20.1951</v>
      </c>
      <c r="H2679" s="2">
        <v>27.286999999999999</v>
      </c>
      <c r="I2679" s="2">
        <v>0</v>
      </c>
      <c r="J2679" s="2">
        <v>0</v>
      </c>
    </row>
    <row r="2680" spans="1:10">
      <c r="A2680" s="2" t="s">
        <v>148</v>
      </c>
      <c r="B2680" s="2" t="s">
        <v>64</v>
      </c>
      <c r="C2680" s="2">
        <v>0.428846</v>
      </c>
      <c r="D2680" s="60">
        <v>12.865399999999999</v>
      </c>
      <c r="E2680" s="2">
        <v>2.9</v>
      </c>
      <c r="F2680" s="2">
        <v>6</v>
      </c>
      <c r="G2680" s="2">
        <v>27.286999999999999</v>
      </c>
      <c r="H2680" s="2">
        <v>32.908200000000001</v>
      </c>
      <c r="I2680" s="2">
        <v>0</v>
      </c>
      <c r="J2680" s="2">
        <v>0</v>
      </c>
    </row>
    <row r="2681" spans="1:10">
      <c r="A2681" s="2" t="s">
        <v>148</v>
      </c>
      <c r="B2681" s="2" t="s">
        <v>101</v>
      </c>
      <c r="C2681" s="2">
        <v>0.45956399999999997</v>
      </c>
      <c r="D2681" s="60">
        <v>0</v>
      </c>
      <c r="E2681" s="2">
        <v>0.3</v>
      </c>
      <c r="F2681" s="2">
        <v>2.6</v>
      </c>
      <c r="G2681" s="2">
        <v>32.908200000000001</v>
      </c>
      <c r="H2681" s="2">
        <v>54.367600000000003</v>
      </c>
      <c r="I2681" s="2">
        <v>0</v>
      </c>
      <c r="J2681" s="2">
        <v>0</v>
      </c>
    </row>
    <row r="2682" spans="1:10">
      <c r="A2682" s="2" t="s">
        <v>140</v>
      </c>
      <c r="B2682" s="2">
        <v>1</v>
      </c>
      <c r="C2682" s="2">
        <v>31.369</v>
      </c>
      <c r="D2682" s="60">
        <v>26.679500000000001</v>
      </c>
      <c r="E2682" s="2">
        <v>2.6</v>
      </c>
    </row>
    <row r="2683" spans="1:10">
      <c r="A2683" s="2" t="s">
        <v>141</v>
      </c>
      <c r="B2683" s="2">
        <v>2.6</v>
      </c>
      <c r="C2683" s="2">
        <v>2.9</v>
      </c>
      <c r="D2683" s="60" t="s">
        <v>153</v>
      </c>
    </row>
    <row r="2684" spans="1:10">
      <c r="A2684" s="2" t="s">
        <v>141</v>
      </c>
      <c r="B2684" s="2">
        <v>2.6</v>
      </c>
      <c r="C2684" s="2">
        <v>8</v>
      </c>
      <c r="D2684" s="60" t="s">
        <v>152</v>
      </c>
    </row>
    <row r="2685" spans="1:10">
      <c r="A2685" s="2" t="s">
        <v>141</v>
      </c>
      <c r="B2685" s="2">
        <v>2.6</v>
      </c>
      <c r="C2685" s="2">
        <v>21.253299999999999</v>
      </c>
      <c r="D2685" s="60" t="s">
        <v>144</v>
      </c>
    </row>
    <row r="2686" spans="1:10">
      <c r="A2686" s="2" t="s">
        <v>141</v>
      </c>
      <c r="B2686" s="2">
        <v>8</v>
      </c>
      <c r="C2686" s="2">
        <v>21.253299999999999</v>
      </c>
      <c r="D2686" s="60" t="s">
        <v>161</v>
      </c>
    </row>
    <row r="2687" spans="1:10">
      <c r="A2687" s="2" t="s">
        <v>148</v>
      </c>
      <c r="B2687" s="2" t="s">
        <v>100</v>
      </c>
      <c r="C2687" s="2">
        <v>2.0863199999999998E-2</v>
      </c>
      <c r="D2687" s="60">
        <v>0</v>
      </c>
      <c r="E2687" s="2">
        <v>19.8721</v>
      </c>
      <c r="F2687" s="2">
        <v>6.8073600000000001</v>
      </c>
      <c r="G2687" s="2">
        <v>0</v>
      </c>
      <c r="H2687" s="2">
        <v>10</v>
      </c>
      <c r="I2687" s="2">
        <v>0</v>
      </c>
      <c r="J2687" s="2">
        <v>0</v>
      </c>
    </row>
    <row r="2688" spans="1:10">
      <c r="A2688" s="2" t="s">
        <v>148</v>
      </c>
      <c r="B2688" s="2" t="s">
        <v>101</v>
      </c>
      <c r="C2688" s="2">
        <v>0.28703200000000001</v>
      </c>
      <c r="D2688" s="60">
        <v>0</v>
      </c>
      <c r="E2688" s="2">
        <v>8</v>
      </c>
      <c r="F2688" s="2">
        <v>11.8721</v>
      </c>
      <c r="G2688" s="2">
        <v>10</v>
      </c>
      <c r="H2688" s="2">
        <v>23.2044</v>
      </c>
      <c r="I2688" s="2">
        <v>0</v>
      </c>
      <c r="J2688" s="2">
        <v>0</v>
      </c>
    </row>
    <row r="2689" spans="1:10">
      <c r="A2689" s="2" t="s">
        <v>148</v>
      </c>
      <c r="B2689" s="2" t="s">
        <v>64</v>
      </c>
      <c r="C2689" s="2">
        <v>0.25347999999999998</v>
      </c>
      <c r="D2689" s="60">
        <v>7.6044099999999997</v>
      </c>
      <c r="E2689" s="2">
        <v>2.9</v>
      </c>
      <c r="F2689" s="2">
        <v>5.0999999999999996</v>
      </c>
      <c r="G2689" s="2">
        <v>23.2044</v>
      </c>
      <c r="H2689" s="2">
        <v>27.077000000000002</v>
      </c>
      <c r="I2689" s="2">
        <v>0</v>
      </c>
      <c r="J2689" s="2">
        <v>0</v>
      </c>
    </row>
    <row r="2690" spans="1:10">
      <c r="A2690" s="2" t="s">
        <v>148</v>
      </c>
      <c r="B2690" s="2" t="s">
        <v>101</v>
      </c>
      <c r="C2690" s="2">
        <v>1.7455999999999999E-2</v>
      </c>
      <c r="D2690" s="60">
        <v>0</v>
      </c>
      <c r="E2690" s="2">
        <v>2.6</v>
      </c>
      <c r="F2690" s="2">
        <v>0.3</v>
      </c>
      <c r="G2690" s="2">
        <v>27.077000000000002</v>
      </c>
      <c r="H2690" s="2">
        <v>27.364999999999998</v>
      </c>
      <c r="I2690" s="2">
        <v>0</v>
      </c>
      <c r="J2690" s="2">
        <v>0</v>
      </c>
    </row>
    <row r="2691" spans="1:10">
      <c r="A2691" s="2" t="s">
        <v>138</v>
      </c>
      <c r="B2691" s="2">
        <v>17</v>
      </c>
      <c r="C2691" s="2">
        <v>19.8109</v>
      </c>
      <c r="D2691" s="60" t="s">
        <v>129</v>
      </c>
      <c r="E2691" s="2" t="s">
        <v>149</v>
      </c>
    </row>
    <row r="2692" spans="1:10">
      <c r="A2692" s="2" t="s">
        <v>140</v>
      </c>
      <c r="B2692" s="2">
        <v>0</v>
      </c>
      <c r="C2692" s="2">
        <v>60.072099999999999</v>
      </c>
      <c r="D2692" s="60">
        <v>26.980699999999999</v>
      </c>
    </row>
    <row r="2693" spans="1:10">
      <c r="A2693" s="2" t="s">
        <v>141</v>
      </c>
      <c r="B2693" s="2">
        <v>0</v>
      </c>
      <c r="C2693" s="2">
        <v>6.2</v>
      </c>
      <c r="D2693" s="60" t="s">
        <v>142</v>
      </c>
    </row>
    <row r="2694" spans="1:10">
      <c r="A2694" s="2" t="s">
        <v>141</v>
      </c>
      <c r="B2694" s="2">
        <v>0</v>
      </c>
      <c r="C2694" s="2">
        <v>11.6</v>
      </c>
      <c r="D2694" s="60" t="s">
        <v>146</v>
      </c>
    </row>
    <row r="2695" spans="1:10">
      <c r="A2695" s="2" t="s">
        <v>141</v>
      </c>
      <c r="B2695" s="2">
        <v>6.2</v>
      </c>
      <c r="C2695" s="2">
        <v>11.6</v>
      </c>
      <c r="D2695" s="60" t="s">
        <v>147</v>
      </c>
    </row>
    <row r="2696" spans="1:10">
      <c r="A2696" s="2" t="s">
        <v>141</v>
      </c>
      <c r="B2696" s="2">
        <v>11.6</v>
      </c>
      <c r="C2696" s="2">
        <v>12.5</v>
      </c>
      <c r="D2696" s="60" t="s">
        <v>151</v>
      </c>
    </row>
    <row r="2697" spans="1:10">
      <c r="A2697" s="2" t="s">
        <v>141</v>
      </c>
      <c r="B2697" s="2">
        <v>11.6</v>
      </c>
      <c r="C2697" s="2">
        <v>12.5</v>
      </c>
      <c r="D2697" s="60" t="s">
        <v>161</v>
      </c>
    </row>
    <row r="2698" spans="1:10">
      <c r="A2698" s="2" t="s">
        <v>141</v>
      </c>
      <c r="B2698" s="2">
        <v>12.5</v>
      </c>
      <c r="C2698" s="2">
        <v>12.8</v>
      </c>
      <c r="D2698" s="60" t="s">
        <v>154</v>
      </c>
    </row>
    <row r="2699" spans="1:10">
      <c r="A2699" s="2" t="s">
        <v>141</v>
      </c>
      <c r="B2699" s="2">
        <v>12.5</v>
      </c>
      <c r="C2699" s="2">
        <v>21.472799999999999</v>
      </c>
      <c r="D2699" s="60" t="s">
        <v>144</v>
      </c>
    </row>
    <row r="2700" spans="1:10">
      <c r="A2700" s="2" t="s">
        <v>141</v>
      </c>
      <c r="B2700" s="2">
        <v>12.5</v>
      </c>
      <c r="C2700" s="2">
        <v>21.472799999999999</v>
      </c>
      <c r="D2700" s="60" t="s">
        <v>152</v>
      </c>
    </row>
    <row r="2701" spans="1:10">
      <c r="A2701" s="2" t="s">
        <v>156</v>
      </c>
      <c r="B2701" s="2">
        <v>12.5</v>
      </c>
      <c r="C2701" s="2">
        <v>48.588200000000001</v>
      </c>
    </row>
    <row r="2702" spans="1:10">
      <c r="A2702" s="2" t="s">
        <v>148</v>
      </c>
      <c r="B2702" s="2" t="s">
        <v>99</v>
      </c>
      <c r="C2702" s="2">
        <v>8.3635299999999996E-2</v>
      </c>
      <c r="D2702" s="60">
        <v>0</v>
      </c>
      <c r="E2702" s="2">
        <v>0</v>
      </c>
      <c r="F2702" s="2">
        <v>0.3</v>
      </c>
      <c r="G2702" s="2">
        <v>58.192100000000003</v>
      </c>
      <c r="H2702" s="2">
        <v>61.0715</v>
      </c>
      <c r="I2702" s="2">
        <v>0</v>
      </c>
      <c r="J2702" s="2">
        <v>0</v>
      </c>
    </row>
    <row r="2703" spans="1:10">
      <c r="A2703" s="2" t="s">
        <v>148</v>
      </c>
      <c r="B2703" s="2" t="s">
        <v>100</v>
      </c>
      <c r="C2703" s="2">
        <v>1.43853E-2</v>
      </c>
      <c r="D2703" s="60">
        <v>0</v>
      </c>
      <c r="E2703" s="2">
        <v>22.707599999999999</v>
      </c>
      <c r="F2703" s="2">
        <v>4.2730600000000001</v>
      </c>
      <c r="G2703" s="2">
        <v>0</v>
      </c>
      <c r="H2703" s="2">
        <v>10</v>
      </c>
      <c r="I2703" s="2">
        <v>0</v>
      </c>
      <c r="J2703" s="2">
        <v>0</v>
      </c>
    </row>
    <row r="2704" spans="1:10">
      <c r="A2704" s="2" t="s">
        <v>148</v>
      </c>
      <c r="B2704" s="2" t="s">
        <v>101</v>
      </c>
      <c r="C2704" s="2">
        <v>5.9810499999999999E-5</v>
      </c>
      <c r="D2704" s="60">
        <v>0</v>
      </c>
      <c r="E2704" s="2">
        <v>22.7</v>
      </c>
      <c r="F2704" s="2">
        <v>7.6049999999999998E-3</v>
      </c>
      <c r="G2704" s="2">
        <v>10</v>
      </c>
      <c r="H2704" s="2">
        <v>10.0136</v>
      </c>
      <c r="I2704" s="2">
        <v>0</v>
      </c>
      <c r="J2704" s="2">
        <v>0</v>
      </c>
    </row>
    <row r="2705" spans="1:10">
      <c r="A2705" s="2" t="s">
        <v>148</v>
      </c>
      <c r="B2705" s="2" t="s">
        <v>64</v>
      </c>
      <c r="C2705" s="2">
        <v>5.7924499999999997E-2</v>
      </c>
      <c r="D2705" s="60">
        <v>1.7377400000000001</v>
      </c>
      <c r="E2705" s="2">
        <v>18.8</v>
      </c>
      <c r="F2705" s="2">
        <v>3.9</v>
      </c>
      <c r="G2705" s="2">
        <v>10.0136</v>
      </c>
      <c r="H2705" s="2">
        <v>17.2377</v>
      </c>
      <c r="I2705" s="2">
        <v>0</v>
      </c>
      <c r="J2705" s="2">
        <v>0</v>
      </c>
    </row>
    <row r="2706" spans="1:10">
      <c r="A2706" s="2" t="s">
        <v>148</v>
      </c>
      <c r="B2706" s="2" t="s">
        <v>64</v>
      </c>
      <c r="C2706" s="2">
        <v>0.24710799999999999</v>
      </c>
      <c r="D2706" s="60">
        <v>7.4132400000000001</v>
      </c>
      <c r="E2706" s="2">
        <v>12.8</v>
      </c>
      <c r="F2706" s="2">
        <v>6</v>
      </c>
      <c r="G2706" s="2">
        <v>17.2377</v>
      </c>
      <c r="H2706" s="2">
        <v>27.834099999999999</v>
      </c>
      <c r="I2706" s="2">
        <v>0</v>
      </c>
      <c r="J2706" s="2">
        <v>0</v>
      </c>
    </row>
    <row r="2707" spans="1:10">
      <c r="A2707" s="2" t="s">
        <v>148</v>
      </c>
      <c r="B2707" s="2" t="s">
        <v>101</v>
      </c>
      <c r="C2707" s="2">
        <v>0.115609</v>
      </c>
      <c r="D2707" s="60">
        <v>0</v>
      </c>
      <c r="E2707" s="2">
        <v>11.5</v>
      </c>
      <c r="F2707" s="2">
        <v>1.3</v>
      </c>
      <c r="G2707" s="2">
        <v>27.834099999999999</v>
      </c>
      <c r="H2707" s="2">
        <v>36.052500000000002</v>
      </c>
      <c r="I2707" s="2">
        <v>0</v>
      </c>
      <c r="J2707" s="2">
        <v>0</v>
      </c>
    </row>
    <row r="2708" spans="1:10">
      <c r="A2708" s="2" t="s">
        <v>148</v>
      </c>
      <c r="B2708" s="2" t="s">
        <v>59</v>
      </c>
      <c r="C2708" s="2">
        <v>0.78707000000000005</v>
      </c>
      <c r="D2708" s="60">
        <v>78.706999999999994</v>
      </c>
      <c r="E2708" s="2">
        <v>5.5</v>
      </c>
      <c r="F2708" s="2">
        <v>6</v>
      </c>
      <c r="G2708" s="2">
        <v>36.052500000000002</v>
      </c>
      <c r="H2708" s="2">
        <v>44.9955</v>
      </c>
      <c r="I2708" s="2">
        <v>0</v>
      </c>
      <c r="J2708" s="2">
        <v>0</v>
      </c>
    </row>
    <row r="2709" spans="1:10">
      <c r="A2709" s="2" t="s">
        <v>148</v>
      </c>
      <c r="B2709" s="2" t="s">
        <v>55</v>
      </c>
      <c r="C2709" s="2">
        <v>0.99864399999999998</v>
      </c>
      <c r="D2709" s="60">
        <v>144.803</v>
      </c>
      <c r="E2709" s="2">
        <v>0.3</v>
      </c>
      <c r="F2709" s="2">
        <v>5.2</v>
      </c>
      <c r="G2709" s="2">
        <v>44.9955</v>
      </c>
      <c r="H2709" s="2">
        <v>58.192100000000003</v>
      </c>
      <c r="I2709" s="2">
        <v>0</v>
      </c>
      <c r="J2709" s="2">
        <v>0</v>
      </c>
    </row>
    <row r="2710" spans="1:10">
      <c r="A2710" s="2" t="s">
        <v>138</v>
      </c>
      <c r="B2710" s="2">
        <v>18</v>
      </c>
      <c r="C2710" s="2">
        <v>19.7193</v>
      </c>
      <c r="D2710" s="60" t="s">
        <v>129</v>
      </c>
      <c r="E2710" s="2" t="s">
        <v>139</v>
      </c>
    </row>
    <row r="2711" spans="1:10">
      <c r="A2711" s="2" t="s">
        <v>140</v>
      </c>
      <c r="B2711" s="2">
        <v>0</v>
      </c>
      <c r="C2711" s="2">
        <v>54.581200000000003</v>
      </c>
      <c r="D2711" s="60">
        <v>25.234300000000001</v>
      </c>
    </row>
    <row r="2712" spans="1:10">
      <c r="A2712" s="2" t="s">
        <v>141</v>
      </c>
      <c r="B2712" s="2">
        <v>0</v>
      </c>
      <c r="C2712" s="2">
        <v>6.6</v>
      </c>
      <c r="D2712" s="60" t="s">
        <v>142</v>
      </c>
    </row>
    <row r="2713" spans="1:10">
      <c r="A2713" s="2" t="s">
        <v>141</v>
      </c>
      <c r="B2713" s="2">
        <v>0</v>
      </c>
      <c r="C2713" s="2">
        <v>6.6</v>
      </c>
      <c r="D2713" s="60" t="s">
        <v>146</v>
      </c>
    </row>
    <row r="2714" spans="1:10">
      <c r="A2714" s="2" t="s">
        <v>141</v>
      </c>
      <c r="B2714" s="2">
        <v>6.6</v>
      </c>
      <c r="C2714" s="2">
        <v>7</v>
      </c>
      <c r="D2714" s="60" t="s">
        <v>159</v>
      </c>
    </row>
    <row r="2715" spans="1:10">
      <c r="A2715" s="2" t="s">
        <v>141</v>
      </c>
      <c r="B2715" s="2">
        <v>6.6</v>
      </c>
      <c r="C2715" s="2">
        <v>11.4</v>
      </c>
      <c r="D2715" s="60" t="s">
        <v>147</v>
      </c>
    </row>
    <row r="2716" spans="1:10">
      <c r="A2716" s="2" t="s">
        <v>141</v>
      </c>
      <c r="B2716" s="2">
        <v>7</v>
      </c>
      <c r="C2716" s="2">
        <v>11.4</v>
      </c>
      <c r="D2716" s="60" t="s">
        <v>146</v>
      </c>
    </row>
    <row r="2717" spans="1:10">
      <c r="A2717" s="2" t="s">
        <v>141</v>
      </c>
      <c r="B2717" s="2">
        <v>11.4</v>
      </c>
      <c r="C2717" s="2">
        <v>12</v>
      </c>
      <c r="D2717" s="60" t="s">
        <v>159</v>
      </c>
    </row>
    <row r="2718" spans="1:10">
      <c r="A2718" s="2" t="s">
        <v>141</v>
      </c>
      <c r="B2718" s="2">
        <v>11.4</v>
      </c>
      <c r="C2718" s="2">
        <v>20.2</v>
      </c>
      <c r="D2718" s="60" t="s">
        <v>145</v>
      </c>
    </row>
    <row r="2719" spans="1:10">
      <c r="A2719" s="2" t="s">
        <v>141</v>
      </c>
      <c r="B2719" s="2">
        <v>12</v>
      </c>
      <c r="C2719" s="2">
        <v>12.3</v>
      </c>
      <c r="D2719" s="60" t="s">
        <v>154</v>
      </c>
    </row>
    <row r="2720" spans="1:10">
      <c r="A2720" s="2" t="s">
        <v>141</v>
      </c>
      <c r="B2720" s="2">
        <v>12</v>
      </c>
      <c r="C2720" s="2">
        <v>20.2</v>
      </c>
      <c r="D2720" s="60" t="s">
        <v>152</v>
      </c>
    </row>
    <row r="2721" spans="1:10">
      <c r="A2721" s="2" t="s">
        <v>156</v>
      </c>
      <c r="B2721" s="2">
        <v>12</v>
      </c>
      <c r="C2721" s="2">
        <v>44.3474</v>
      </c>
    </row>
    <row r="2722" spans="1:10">
      <c r="A2722" s="2" t="s">
        <v>148</v>
      </c>
      <c r="B2722" s="2" t="s">
        <v>99</v>
      </c>
      <c r="C2722" s="2">
        <v>7.0156399999999994E-2</v>
      </c>
      <c r="D2722" s="60">
        <v>0</v>
      </c>
      <c r="E2722" s="2">
        <v>0</v>
      </c>
      <c r="F2722" s="2">
        <v>0.3</v>
      </c>
      <c r="G2722" s="2">
        <v>53.221699999999998</v>
      </c>
      <c r="H2722" s="2">
        <v>56.0229</v>
      </c>
      <c r="I2722" s="2">
        <v>0</v>
      </c>
      <c r="J2722" s="2">
        <v>0</v>
      </c>
    </row>
    <row r="2723" spans="1:10">
      <c r="A2723" s="2" t="s">
        <v>148</v>
      </c>
      <c r="B2723" s="2" t="s">
        <v>100</v>
      </c>
      <c r="C2723" s="2">
        <v>1.4653899999999999E-2</v>
      </c>
      <c r="D2723" s="60">
        <v>0</v>
      </c>
      <c r="E2723" s="2">
        <v>20.790800000000001</v>
      </c>
      <c r="F2723" s="2">
        <v>4.4434300000000002</v>
      </c>
      <c r="G2723" s="2">
        <v>0</v>
      </c>
      <c r="H2723" s="2">
        <v>10</v>
      </c>
      <c r="I2723" s="2">
        <v>0</v>
      </c>
      <c r="J2723" s="2">
        <v>0</v>
      </c>
    </row>
    <row r="2724" spans="1:10">
      <c r="A2724" s="2" t="s">
        <v>148</v>
      </c>
      <c r="B2724" s="2" t="s">
        <v>98</v>
      </c>
      <c r="C2724" s="2">
        <v>0.115717</v>
      </c>
      <c r="D2724" s="60">
        <v>0</v>
      </c>
      <c r="E2724" s="2">
        <v>14.851000000000001</v>
      </c>
      <c r="F2724" s="2">
        <v>5.9398600000000004</v>
      </c>
      <c r="G2724" s="2">
        <v>10</v>
      </c>
      <c r="H2724" s="2">
        <v>20.8447</v>
      </c>
      <c r="I2724" s="2">
        <v>0</v>
      </c>
      <c r="J2724" s="2">
        <v>0</v>
      </c>
    </row>
    <row r="2725" spans="1:10">
      <c r="A2725" s="2" t="s">
        <v>148</v>
      </c>
      <c r="B2725" s="2" t="s">
        <v>101</v>
      </c>
      <c r="C2725" s="2">
        <v>0.200797</v>
      </c>
      <c r="D2725" s="60">
        <v>0</v>
      </c>
      <c r="E2725" s="2">
        <v>11</v>
      </c>
      <c r="F2725" s="2">
        <v>3.8509799999999998</v>
      </c>
      <c r="G2725" s="2">
        <v>20.8447</v>
      </c>
      <c r="H2725" s="2">
        <v>32.643099999999997</v>
      </c>
      <c r="I2725" s="2">
        <v>0</v>
      </c>
      <c r="J2725" s="2">
        <v>0</v>
      </c>
    </row>
    <row r="2726" spans="1:10">
      <c r="A2726" s="2" t="s">
        <v>148</v>
      </c>
      <c r="B2726" s="2" t="s">
        <v>59</v>
      </c>
      <c r="C2726" s="2">
        <v>0.405802</v>
      </c>
      <c r="D2726" s="60">
        <v>40.580199999999998</v>
      </c>
      <c r="E2726" s="2">
        <v>7</v>
      </c>
      <c r="F2726" s="2">
        <v>4</v>
      </c>
      <c r="G2726" s="2">
        <v>32.643099999999997</v>
      </c>
      <c r="H2726" s="2">
        <v>38.871600000000001</v>
      </c>
      <c r="I2726" s="2">
        <v>0</v>
      </c>
      <c r="J2726" s="2">
        <v>0</v>
      </c>
    </row>
    <row r="2727" spans="1:10">
      <c r="A2727" s="2" t="s">
        <v>148</v>
      </c>
      <c r="B2727" s="2" t="s">
        <v>101</v>
      </c>
      <c r="C2727" s="2">
        <v>7.2691400000000003E-2</v>
      </c>
      <c r="D2727" s="60">
        <v>0</v>
      </c>
      <c r="E2727" s="2">
        <v>6.4</v>
      </c>
      <c r="F2727" s="2">
        <v>0.6</v>
      </c>
      <c r="G2727" s="2">
        <v>38.871600000000001</v>
      </c>
      <c r="H2727" s="2">
        <v>39.673200000000001</v>
      </c>
      <c r="I2727" s="2">
        <v>0</v>
      </c>
      <c r="J2727" s="2">
        <v>0</v>
      </c>
    </row>
    <row r="2728" spans="1:10">
      <c r="A2728" s="2" t="s">
        <v>148</v>
      </c>
      <c r="B2728" s="2" t="s">
        <v>56</v>
      </c>
      <c r="C2728" s="2">
        <v>0.94330800000000004</v>
      </c>
      <c r="D2728" s="60">
        <v>132.06299999999999</v>
      </c>
      <c r="E2728" s="2">
        <v>0.3</v>
      </c>
      <c r="F2728" s="2">
        <v>6.1</v>
      </c>
      <c r="G2728" s="2">
        <v>39.673200000000001</v>
      </c>
      <c r="H2728" s="2">
        <v>53.221699999999998</v>
      </c>
      <c r="I2728" s="2">
        <v>0</v>
      </c>
      <c r="J2728" s="2">
        <v>0</v>
      </c>
    </row>
    <row r="2729" spans="1:10">
      <c r="A2729" s="2" t="s">
        <v>138</v>
      </c>
      <c r="B2729" s="2">
        <v>19</v>
      </c>
      <c r="C2729" s="2">
        <v>14.6356</v>
      </c>
      <c r="D2729" s="60" t="s">
        <v>129</v>
      </c>
      <c r="E2729" s="2" t="s">
        <v>149</v>
      </c>
    </row>
    <row r="2730" spans="1:10">
      <c r="A2730" s="2" t="s">
        <v>140</v>
      </c>
      <c r="B2730" s="2">
        <v>0</v>
      </c>
      <c r="C2730" s="2">
        <v>22.5</v>
      </c>
      <c r="D2730" s="60">
        <v>21.558299999999999</v>
      </c>
    </row>
    <row r="2731" spans="1:10">
      <c r="A2731" s="2" t="s">
        <v>141</v>
      </c>
      <c r="B2731" s="2">
        <v>0</v>
      </c>
      <c r="C2731" s="2">
        <v>1.4</v>
      </c>
      <c r="D2731" s="60" t="s">
        <v>161</v>
      </c>
    </row>
    <row r="2732" spans="1:10">
      <c r="A2732" s="2" t="s">
        <v>141</v>
      </c>
      <c r="B2732" s="2">
        <v>0</v>
      </c>
      <c r="C2732" s="2">
        <v>17.520900000000001</v>
      </c>
      <c r="D2732" s="60" t="s">
        <v>144</v>
      </c>
    </row>
    <row r="2733" spans="1:10">
      <c r="A2733" s="2" t="s">
        <v>141</v>
      </c>
      <c r="B2733" s="2">
        <v>1.4</v>
      </c>
      <c r="C2733" s="2">
        <v>6.3</v>
      </c>
      <c r="D2733" s="60" t="s">
        <v>152</v>
      </c>
    </row>
    <row r="2734" spans="1:10">
      <c r="A2734" s="2" t="s">
        <v>141</v>
      </c>
      <c r="B2734" s="2">
        <v>6.3</v>
      </c>
      <c r="C2734" s="2">
        <v>6.8</v>
      </c>
      <c r="D2734" s="60" t="s">
        <v>159</v>
      </c>
    </row>
    <row r="2735" spans="1:10">
      <c r="A2735" s="2" t="s">
        <v>141</v>
      </c>
      <c r="B2735" s="2">
        <v>6.8</v>
      </c>
      <c r="C2735" s="2">
        <v>12.8</v>
      </c>
      <c r="D2735" s="60" t="s">
        <v>152</v>
      </c>
    </row>
    <row r="2736" spans="1:10">
      <c r="A2736" s="2" t="s">
        <v>141</v>
      </c>
      <c r="B2736" s="2">
        <v>12.8</v>
      </c>
      <c r="C2736" s="2">
        <v>17.520900000000001</v>
      </c>
      <c r="D2736" s="60" t="s">
        <v>161</v>
      </c>
    </row>
    <row r="2737" spans="1:10">
      <c r="A2737" s="2" t="s">
        <v>148</v>
      </c>
      <c r="B2737" s="2" t="s">
        <v>99</v>
      </c>
      <c r="C2737" s="2">
        <v>1.42212E-2</v>
      </c>
      <c r="D2737" s="60">
        <v>0</v>
      </c>
      <c r="E2737" s="2">
        <v>0</v>
      </c>
      <c r="F2737" s="2">
        <v>0.3</v>
      </c>
      <c r="G2737" s="2">
        <v>23.875800000000002</v>
      </c>
      <c r="H2737" s="2">
        <v>25.326699999999999</v>
      </c>
      <c r="I2737" s="2">
        <v>0</v>
      </c>
      <c r="J2737" s="2">
        <v>0</v>
      </c>
    </row>
    <row r="2738" spans="1:10">
      <c r="A2738" s="2" t="s">
        <v>148</v>
      </c>
      <c r="B2738" s="2" t="s">
        <v>100</v>
      </c>
      <c r="C2738" s="2">
        <v>2.2442799999999999E-2</v>
      </c>
      <c r="D2738" s="60">
        <v>0</v>
      </c>
      <c r="E2738" s="2">
        <v>13.8665</v>
      </c>
      <c r="F2738" s="2">
        <v>7.6918499999999996</v>
      </c>
      <c r="G2738" s="2">
        <v>0</v>
      </c>
      <c r="H2738" s="2">
        <v>10</v>
      </c>
      <c r="I2738" s="2">
        <v>0</v>
      </c>
      <c r="J2738" s="2">
        <v>0</v>
      </c>
    </row>
    <row r="2739" spans="1:10">
      <c r="A2739" s="2" t="s">
        <v>148</v>
      </c>
      <c r="B2739" s="2" t="s">
        <v>101</v>
      </c>
      <c r="C2739" s="2">
        <v>9.4471699999999995E-3</v>
      </c>
      <c r="D2739" s="60">
        <v>0</v>
      </c>
      <c r="E2739" s="2">
        <v>12.8</v>
      </c>
      <c r="F2739" s="2">
        <v>1.06647</v>
      </c>
      <c r="G2739" s="2">
        <v>10</v>
      </c>
      <c r="H2739" s="2">
        <v>11.222300000000001</v>
      </c>
      <c r="I2739" s="2">
        <v>0</v>
      </c>
      <c r="J2739" s="2">
        <v>0</v>
      </c>
    </row>
    <row r="2740" spans="1:10">
      <c r="A2740" s="2" t="s">
        <v>148</v>
      </c>
      <c r="B2740" s="2" t="s">
        <v>64</v>
      </c>
      <c r="C2740" s="2">
        <v>9.7395800000000005E-2</v>
      </c>
      <c r="D2740" s="60">
        <v>2.9218700000000002</v>
      </c>
      <c r="E2740" s="2">
        <v>6.8</v>
      </c>
      <c r="F2740" s="2">
        <v>6</v>
      </c>
      <c r="G2740" s="2">
        <v>11.222300000000001</v>
      </c>
      <c r="H2740" s="2">
        <v>16.964500000000001</v>
      </c>
      <c r="I2740" s="2">
        <v>0</v>
      </c>
      <c r="J2740" s="2">
        <v>0</v>
      </c>
    </row>
    <row r="2741" spans="1:10">
      <c r="A2741" s="2" t="s">
        <v>148</v>
      </c>
      <c r="B2741" s="2" t="s">
        <v>101</v>
      </c>
      <c r="C2741" s="2">
        <v>1.15554E-2</v>
      </c>
      <c r="D2741" s="60">
        <v>0</v>
      </c>
      <c r="E2741" s="2">
        <v>6.3</v>
      </c>
      <c r="F2741" s="2">
        <v>0.5</v>
      </c>
      <c r="G2741" s="2">
        <v>16.964500000000001</v>
      </c>
      <c r="H2741" s="2">
        <v>17.340199999999999</v>
      </c>
      <c r="I2741" s="2">
        <v>0</v>
      </c>
      <c r="J2741" s="2">
        <v>0</v>
      </c>
    </row>
    <row r="2742" spans="1:10">
      <c r="A2742" s="2" t="s">
        <v>148</v>
      </c>
      <c r="B2742" s="2" t="s">
        <v>64</v>
      </c>
      <c r="C2742" s="2">
        <v>0.140232</v>
      </c>
      <c r="D2742" s="60">
        <v>4.2069599999999996</v>
      </c>
      <c r="E2742" s="2">
        <v>1.4</v>
      </c>
      <c r="F2742" s="2">
        <v>4.9000000000000004</v>
      </c>
      <c r="G2742" s="2">
        <v>17.340199999999999</v>
      </c>
      <c r="H2742" s="2">
        <v>21.113600000000002</v>
      </c>
      <c r="I2742" s="2">
        <v>0</v>
      </c>
      <c r="J2742" s="2">
        <v>0</v>
      </c>
    </row>
    <row r="2743" spans="1:10">
      <c r="A2743" s="2" t="s">
        <v>148</v>
      </c>
      <c r="B2743" s="2" t="s">
        <v>101</v>
      </c>
      <c r="C2743" s="2">
        <v>4.2844599999999997E-2</v>
      </c>
      <c r="D2743" s="60">
        <v>0</v>
      </c>
      <c r="E2743" s="2">
        <v>0.3</v>
      </c>
      <c r="F2743" s="2">
        <v>1.1000000000000001</v>
      </c>
      <c r="G2743" s="2">
        <v>21.113600000000002</v>
      </c>
      <c r="H2743" s="2">
        <v>23.875800000000002</v>
      </c>
      <c r="I2743" s="2">
        <v>0</v>
      </c>
      <c r="J2743" s="2">
        <v>0</v>
      </c>
    </row>
    <row r="2744" spans="1:10">
      <c r="A2744" s="2" t="s">
        <v>130</v>
      </c>
      <c r="B2744" s="2" t="s">
        <v>131</v>
      </c>
      <c r="C2744" s="2" t="s">
        <v>213</v>
      </c>
      <c r="D2744" s="60" t="s">
        <v>133</v>
      </c>
      <c r="E2744" s="2">
        <v>8</v>
      </c>
      <c r="F2744" s="2">
        <v>2016</v>
      </c>
    </row>
    <row r="2745" spans="1:10">
      <c r="A2745" s="2" t="s">
        <v>134</v>
      </c>
      <c r="B2745" s="2" t="s">
        <v>72</v>
      </c>
      <c r="C2745" s="2">
        <v>28</v>
      </c>
      <c r="D2745" s="60" t="s">
        <v>232</v>
      </c>
      <c r="E2745" s="2" t="s">
        <v>187</v>
      </c>
      <c r="F2745" s="2" t="s">
        <v>233</v>
      </c>
      <c r="G2745" s="2" t="s">
        <v>128</v>
      </c>
      <c r="H2745" s="2" t="s">
        <v>172</v>
      </c>
      <c r="I2745" s="2" t="s">
        <v>189</v>
      </c>
    </row>
    <row r="2746" spans="1:10">
      <c r="A2746" s="2" t="s">
        <v>138</v>
      </c>
      <c r="B2746" s="2">
        <v>1</v>
      </c>
      <c r="C2746" s="2">
        <v>19.7043</v>
      </c>
      <c r="D2746" s="60" t="s">
        <v>129</v>
      </c>
      <c r="E2746" s="2" t="s">
        <v>149</v>
      </c>
    </row>
    <row r="2747" spans="1:10">
      <c r="A2747" s="2" t="s">
        <v>140</v>
      </c>
      <c r="B2747" s="2">
        <v>0</v>
      </c>
      <c r="C2747" s="2">
        <v>61.024000000000001</v>
      </c>
      <c r="D2747" s="60">
        <v>26.998899999999999</v>
      </c>
    </row>
    <row r="2748" spans="1:10">
      <c r="A2748" s="2" t="s">
        <v>141</v>
      </c>
      <c r="B2748" s="2">
        <v>0</v>
      </c>
      <c r="C2748" s="2">
        <v>6.3</v>
      </c>
      <c r="D2748" s="60" t="s">
        <v>142</v>
      </c>
    </row>
    <row r="2749" spans="1:10">
      <c r="A2749" s="2" t="s">
        <v>141</v>
      </c>
      <c r="B2749" s="2">
        <v>0</v>
      </c>
      <c r="C2749" s="2">
        <v>8.6</v>
      </c>
      <c r="D2749" s="60" t="s">
        <v>158</v>
      </c>
    </row>
    <row r="2750" spans="1:10">
      <c r="A2750" s="2" t="s">
        <v>141</v>
      </c>
      <c r="B2750" s="2">
        <v>0</v>
      </c>
      <c r="C2750" s="2">
        <v>10.3</v>
      </c>
      <c r="D2750" s="60" t="s">
        <v>146</v>
      </c>
    </row>
    <row r="2751" spans="1:10">
      <c r="A2751" s="2" t="s">
        <v>141</v>
      </c>
      <c r="B2751" s="2">
        <v>6.3</v>
      </c>
      <c r="C2751" s="2">
        <v>10.3</v>
      </c>
      <c r="D2751" s="60" t="s">
        <v>145</v>
      </c>
    </row>
    <row r="2752" spans="1:10">
      <c r="A2752" s="2" t="s">
        <v>141</v>
      </c>
      <c r="B2752" s="2">
        <v>8.6</v>
      </c>
      <c r="C2752" s="2">
        <v>9</v>
      </c>
      <c r="D2752" s="60" t="s">
        <v>177</v>
      </c>
    </row>
    <row r="2753" spans="1:10">
      <c r="A2753" s="2" t="s">
        <v>141</v>
      </c>
      <c r="B2753" s="2">
        <v>9</v>
      </c>
      <c r="C2753" s="2">
        <v>10.8</v>
      </c>
      <c r="D2753" s="60" t="s">
        <v>158</v>
      </c>
    </row>
    <row r="2754" spans="1:10">
      <c r="A2754" s="2" t="s">
        <v>141</v>
      </c>
      <c r="B2754" s="2">
        <v>10.3</v>
      </c>
      <c r="C2754" s="2">
        <v>10.8</v>
      </c>
      <c r="D2754" s="60" t="s">
        <v>159</v>
      </c>
    </row>
    <row r="2755" spans="1:10">
      <c r="A2755" s="2" t="s">
        <v>141</v>
      </c>
      <c r="B2755" s="2">
        <v>10.3</v>
      </c>
      <c r="C2755" s="2">
        <v>13.1</v>
      </c>
      <c r="D2755" s="60" t="s">
        <v>147</v>
      </c>
    </row>
    <row r="2756" spans="1:10">
      <c r="A2756" s="2" t="s">
        <v>141</v>
      </c>
      <c r="B2756" s="2">
        <v>10.8</v>
      </c>
      <c r="C2756" s="2">
        <v>21.499500000000001</v>
      </c>
      <c r="D2756" s="60" t="s">
        <v>146</v>
      </c>
    </row>
    <row r="2757" spans="1:10">
      <c r="A2757" s="2" t="s">
        <v>141</v>
      </c>
      <c r="B2757" s="2">
        <v>13.1</v>
      </c>
      <c r="C2757" s="2">
        <v>21.499500000000001</v>
      </c>
      <c r="D2757" s="60" t="s">
        <v>144</v>
      </c>
    </row>
    <row r="2758" spans="1:10">
      <c r="A2758" s="2" t="s">
        <v>148</v>
      </c>
      <c r="B2758" s="2" t="s">
        <v>99</v>
      </c>
      <c r="C2758" s="2">
        <v>8.6026699999999998E-2</v>
      </c>
      <c r="D2758" s="60">
        <v>0</v>
      </c>
      <c r="E2758" s="2">
        <v>0</v>
      </c>
      <c r="F2758" s="2">
        <v>0.3</v>
      </c>
      <c r="G2758" s="2">
        <v>59.018999999999998</v>
      </c>
      <c r="H2758" s="2">
        <v>61.9375</v>
      </c>
      <c r="I2758" s="2">
        <v>0</v>
      </c>
      <c r="J2758" s="2">
        <v>0</v>
      </c>
    </row>
    <row r="2759" spans="1:10">
      <c r="A2759" s="2" t="s">
        <v>148</v>
      </c>
      <c r="B2759" s="2" t="s">
        <v>100</v>
      </c>
      <c r="C2759" s="2">
        <v>1.1401100000000001E-2</v>
      </c>
      <c r="D2759" s="60">
        <v>0</v>
      </c>
      <c r="E2759" s="2">
        <v>23.773199999999999</v>
      </c>
      <c r="F2759" s="2">
        <v>3.2256999999999998</v>
      </c>
      <c r="G2759" s="2">
        <v>0</v>
      </c>
      <c r="H2759" s="2">
        <v>10</v>
      </c>
      <c r="I2759" s="2">
        <v>0</v>
      </c>
      <c r="J2759" s="2">
        <v>0</v>
      </c>
    </row>
    <row r="2760" spans="1:10">
      <c r="A2760" s="2" t="s">
        <v>148</v>
      </c>
      <c r="B2760" s="2" t="s">
        <v>98</v>
      </c>
      <c r="C2760" s="2">
        <v>0.27163399999999999</v>
      </c>
      <c r="D2760" s="60">
        <v>0</v>
      </c>
      <c r="E2760" s="2">
        <v>15.3239</v>
      </c>
      <c r="F2760" s="2">
        <v>8.4492700000000003</v>
      </c>
      <c r="G2760" s="2">
        <v>10</v>
      </c>
      <c r="H2760" s="2">
        <v>28.982600000000001</v>
      </c>
      <c r="I2760" s="2">
        <v>0</v>
      </c>
      <c r="J2760" s="2">
        <v>0</v>
      </c>
    </row>
    <row r="2761" spans="1:10">
      <c r="A2761" s="2" t="s">
        <v>148</v>
      </c>
      <c r="B2761" s="2" t="s">
        <v>101</v>
      </c>
      <c r="C2761" s="2">
        <v>3.5918400000000003E-2</v>
      </c>
      <c r="D2761" s="60">
        <v>0</v>
      </c>
      <c r="E2761" s="2">
        <v>14.8</v>
      </c>
      <c r="F2761" s="2">
        <v>0.52391699999999997</v>
      </c>
      <c r="G2761" s="2">
        <v>28.982600000000001</v>
      </c>
      <c r="H2761" s="2">
        <v>30.100100000000001</v>
      </c>
      <c r="I2761" s="2">
        <v>0</v>
      </c>
      <c r="J2761" s="2">
        <v>0</v>
      </c>
    </row>
    <row r="2762" spans="1:10">
      <c r="A2762" s="2" t="s">
        <v>148</v>
      </c>
      <c r="B2762" s="2" t="s">
        <v>59</v>
      </c>
      <c r="C2762" s="2">
        <v>0.366564</v>
      </c>
      <c r="D2762" s="60">
        <v>36.656399999999998</v>
      </c>
      <c r="E2762" s="2">
        <v>10.8</v>
      </c>
      <c r="F2762" s="2">
        <v>4</v>
      </c>
      <c r="G2762" s="2">
        <v>30.100100000000001</v>
      </c>
      <c r="H2762" s="2">
        <v>37.812100000000001</v>
      </c>
      <c r="I2762" s="2">
        <v>0</v>
      </c>
      <c r="J2762" s="2">
        <v>0</v>
      </c>
    </row>
    <row r="2763" spans="1:10">
      <c r="A2763" s="2" t="s">
        <v>148</v>
      </c>
      <c r="B2763" s="2" t="s">
        <v>101</v>
      </c>
      <c r="C2763" s="2">
        <v>0.31226900000000002</v>
      </c>
      <c r="D2763" s="60">
        <v>0</v>
      </c>
      <c r="E2763" s="2">
        <v>8.3000000000000007</v>
      </c>
      <c r="F2763" s="2">
        <v>2.5</v>
      </c>
      <c r="G2763" s="2">
        <v>37.812100000000001</v>
      </c>
      <c r="H2763" s="2">
        <v>41.808500000000002</v>
      </c>
      <c r="I2763" s="2">
        <v>0</v>
      </c>
      <c r="J2763" s="2">
        <v>0</v>
      </c>
    </row>
    <row r="2764" spans="1:10">
      <c r="A2764" s="2" t="s">
        <v>148</v>
      </c>
      <c r="B2764" s="2" t="s">
        <v>58</v>
      </c>
      <c r="C2764" s="2">
        <v>0.624556</v>
      </c>
      <c r="D2764" s="60">
        <v>65.578400000000002</v>
      </c>
      <c r="E2764" s="2">
        <v>4.3</v>
      </c>
      <c r="F2764" s="2">
        <v>4</v>
      </c>
      <c r="G2764" s="2">
        <v>41.808500000000002</v>
      </c>
      <c r="H2764" s="2">
        <v>47.186</v>
      </c>
      <c r="I2764" s="2">
        <v>0</v>
      </c>
      <c r="J2764" s="2">
        <v>0</v>
      </c>
    </row>
    <row r="2765" spans="1:10">
      <c r="A2765" s="2" t="s">
        <v>148</v>
      </c>
      <c r="B2765" s="2" t="s">
        <v>55</v>
      </c>
      <c r="C2765" s="2">
        <v>0.82428800000000002</v>
      </c>
      <c r="D2765" s="60">
        <v>119.52200000000001</v>
      </c>
      <c r="E2765" s="2">
        <v>0.3</v>
      </c>
      <c r="F2765" s="2">
        <v>4</v>
      </c>
      <c r="G2765" s="2">
        <v>47.186</v>
      </c>
      <c r="H2765" s="2">
        <v>59.018999999999998</v>
      </c>
      <c r="I2765" s="2">
        <v>0</v>
      </c>
      <c r="J2765" s="2">
        <v>0</v>
      </c>
    </row>
    <row r="2766" spans="1:10">
      <c r="A2766" s="2" t="s">
        <v>138</v>
      </c>
      <c r="B2766" s="2">
        <v>2</v>
      </c>
      <c r="C2766" s="2">
        <v>19.7135</v>
      </c>
      <c r="D2766" s="60" t="s">
        <v>129</v>
      </c>
      <c r="E2766" s="2" t="s">
        <v>139</v>
      </c>
    </row>
    <row r="2767" spans="1:10">
      <c r="A2767" s="2" t="s">
        <v>140</v>
      </c>
      <c r="B2767" s="2">
        <v>0</v>
      </c>
      <c r="C2767" s="2">
        <v>59.321800000000003</v>
      </c>
      <c r="D2767" s="60">
        <v>29.045200000000001</v>
      </c>
    </row>
    <row r="2768" spans="1:10">
      <c r="A2768" s="2" t="s">
        <v>141</v>
      </c>
      <c r="B2768" s="2">
        <v>0</v>
      </c>
      <c r="C2768" s="2">
        <v>3.5</v>
      </c>
      <c r="D2768" s="60" t="s">
        <v>158</v>
      </c>
    </row>
    <row r="2769" spans="1:10">
      <c r="A2769" s="2" t="s">
        <v>141</v>
      </c>
      <c r="B2769" s="2">
        <v>0</v>
      </c>
      <c r="C2769" s="2">
        <v>6.5</v>
      </c>
      <c r="D2769" s="60" t="s">
        <v>142</v>
      </c>
    </row>
    <row r="2770" spans="1:10">
      <c r="A2770" s="2" t="s">
        <v>141</v>
      </c>
      <c r="B2770" s="2">
        <v>0</v>
      </c>
      <c r="C2770" s="2">
        <v>23</v>
      </c>
      <c r="D2770" s="60" t="s">
        <v>146</v>
      </c>
    </row>
    <row r="2771" spans="1:10">
      <c r="A2771" s="2" t="s">
        <v>141</v>
      </c>
      <c r="B2771" s="2">
        <v>3.5</v>
      </c>
      <c r="C2771" s="2">
        <v>3.8</v>
      </c>
      <c r="D2771" s="60" t="s">
        <v>174</v>
      </c>
    </row>
    <row r="2772" spans="1:10">
      <c r="A2772" s="2" t="s">
        <v>141</v>
      </c>
      <c r="B2772" s="2">
        <v>6.5</v>
      </c>
      <c r="C2772" s="2">
        <v>11.6</v>
      </c>
      <c r="D2772" s="60" t="s">
        <v>144</v>
      </c>
    </row>
    <row r="2773" spans="1:10">
      <c r="A2773" s="2" t="s">
        <v>141</v>
      </c>
      <c r="B2773" s="2">
        <v>11.6</v>
      </c>
      <c r="C2773" s="2">
        <v>16.8</v>
      </c>
      <c r="D2773" s="60" t="s">
        <v>147</v>
      </c>
    </row>
    <row r="2774" spans="1:10">
      <c r="A2774" s="2" t="s">
        <v>141</v>
      </c>
      <c r="B2774" s="2">
        <v>16.8</v>
      </c>
      <c r="C2774" s="2">
        <v>20</v>
      </c>
      <c r="D2774" s="60" t="s">
        <v>145</v>
      </c>
    </row>
    <row r="2775" spans="1:10">
      <c r="A2775" s="2" t="s">
        <v>141</v>
      </c>
      <c r="B2775" s="2">
        <v>20</v>
      </c>
      <c r="C2775" s="2">
        <v>23</v>
      </c>
      <c r="D2775" s="60" t="s">
        <v>144</v>
      </c>
    </row>
    <row r="2776" spans="1:10">
      <c r="A2776" s="2" t="s">
        <v>148</v>
      </c>
      <c r="B2776" s="2" t="s">
        <v>99</v>
      </c>
      <c r="C2776" s="2">
        <v>8.2153000000000004E-2</v>
      </c>
      <c r="D2776" s="60">
        <v>0</v>
      </c>
      <c r="E2776" s="2">
        <v>0</v>
      </c>
      <c r="F2776" s="2">
        <v>0.3</v>
      </c>
      <c r="G2776" s="2">
        <v>57.759599999999999</v>
      </c>
      <c r="H2776" s="2">
        <v>60.4285</v>
      </c>
      <c r="I2776" s="2">
        <v>0</v>
      </c>
      <c r="J2776" s="2">
        <v>0</v>
      </c>
    </row>
    <row r="2777" spans="1:10">
      <c r="A2777" s="2" t="s">
        <v>148</v>
      </c>
      <c r="B2777" s="2" t="s">
        <v>100</v>
      </c>
      <c r="C2777" s="2">
        <v>1.26398E-2</v>
      </c>
      <c r="D2777" s="60">
        <v>0</v>
      </c>
      <c r="E2777" s="2">
        <v>25.449100000000001</v>
      </c>
      <c r="F2777" s="2">
        <v>3.5960800000000002</v>
      </c>
      <c r="G2777" s="2">
        <v>0</v>
      </c>
      <c r="H2777" s="2">
        <v>10</v>
      </c>
      <c r="I2777" s="2">
        <v>0</v>
      </c>
      <c r="J2777" s="2">
        <v>0</v>
      </c>
    </row>
    <row r="2778" spans="1:10">
      <c r="A2778" s="2" t="s">
        <v>148</v>
      </c>
      <c r="B2778" s="2" t="s">
        <v>98</v>
      </c>
      <c r="C2778" s="2">
        <v>0.34407199999999999</v>
      </c>
      <c r="D2778" s="60">
        <v>0</v>
      </c>
      <c r="E2778" s="2">
        <v>15.489599999999999</v>
      </c>
      <c r="F2778" s="2">
        <v>9.9595199999999995</v>
      </c>
      <c r="G2778" s="2">
        <v>10</v>
      </c>
      <c r="H2778" s="2">
        <v>30.188300000000002</v>
      </c>
      <c r="I2778" s="2">
        <v>0</v>
      </c>
      <c r="J2778" s="2">
        <v>0</v>
      </c>
    </row>
    <row r="2779" spans="1:10">
      <c r="A2779" s="2" t="s">
        <v>148</v>
      </c>
      <c r="B2779" s="2" t="s">
        <v>101</v>
      </c>
      <c r="C2779" s="2">
        <v>0.13383900000000001</v>
      </c>
      <c r="D2779" s="60">
        <v>0</v>
      </c>
      <c r="E2779" s="2">
        <v>13.8</v>
      </c>
      <c r="F2779" s="2">
        <v>1.68957</v>
      </c>
      <c r="G2779" s="2">
        <v>30.188300000000002</v>
      </c>
      <c r="H2779" s="2">
        <v>33.2667</v>
      </c>
      <c r="I2779" s="2">
        <v>0</v>
      </c>
      <c r="J2779" s="2">
        <v>0</v>
      </c>
    </row>
    <row r="2780" spans="1:10">
      <c r="A2780" s="2" t="s">
        <v>148</v>
      </c>
      <c r="B2780" s="2" t="s">
        <v>59</v>
      </c>
      <c r="C2780" s="2">
        <v>0.68415000000000004</v>
      </c>
      <c r="D2780" s="60">
        <v>68.415000000000006</v>
      </c>
      <c r="E2780" s="2">
        <v>7.8</v>
      </c>
      <c r="F2780" s="2">
        <v>6</v>
      </c>
      <c r="G2780" s="2">
        <v>33.2667</v>
      </c>
      <c r="H2780" s="2">
        <v>42.253999999999998</v>
      </c>
      <c r="I2780" s="2">
        <v>0</v>
      </c>
      <c r="J2780" s="2">
        <v>0</v>
      </c>
    </row>
    <row r="2781" spans="1:10">
      <c r="A2781" s="2" t="s">
        <v>148</v>
      </c>
      <c r="B2781" s="2" t="s">
        <v>57</v>
      </c>
      <c r="C2781" s="2">
        <v>0.627085</v>
      </c>
      <c r="D2781" s="60">
        <v>75.250100000000003</v>
      </c>
      <c r="E2781" s="2">
        <v>3.8</v>
      </c>
      <c r="F2781" s="2">
        <v>4</v>
      </c>
      <c r="G2781" s="2">
        <v>42.253999999999998</v>
      </c>
      <c r="H2781" s="2">
        <v>47.052900000000001</v>
      </c>
      <c r="I2781" s="2">
        <v>0</v>
      </c>
      <c r="J2781" s="2">
        <v>0</v>
      </c>
    </row>
    <row r="2782" spans="1:10">
      <c r="A2782" s="2" t="s">
        <v>148</v>
      </c>
      <c r="B2782" s="2" t="s">
        <v>101</v>
      </c>
      <c r="C2782" s="2">
        <v>0.70952899999999997</v>
      </c>
      <c r="D2782" s="60">
        <v>0</v>
      </c>
      <c r="E2782" s="2">
        <v>0.3</v>
      </c>
      <c r="F2782" s="2">
        <v>3.5</v>
      </c>
      <c r="G2782" s="2">
        <v>47.052900000000001</v>
      </c>
      <c r="H2782" s="2">
        <v>57.759599999999999</v>
      </c>
      <c r="I2782" s="2">
        <v>0</v>
      </c>
      <c r="J2782" s="2">
        <v>0</v>
      </c>
    </row>
    <row r="2783" spans="1:10">
      <c r="A2783" s="2" t="s">
        <v>138</v>
      </c>
      <c r="B2783" s="2">
        <v>3</v>
      </c>
      <c r="C2783" s="2">
        <v>19.772099999999998</v>
      </c>
      <c r="D2783" s="60" t="s">
        <v>129</v>
      </c>
      <c r="E2783" s="2" t="s">
        <v>149</v>
      </c>
    </row>
    <row r="2784" spans="1:10">
      <c r="A2784" s="2" t="s">
        <v>140</v>
      </c>
      <c r="B2784" s="2">
        <v>0</v>
      </c>
      <c r="C2784" s="2">
        <v>66.082300000000004</v>
      </c>
      <c r="D2784" s="60">
        <v>27.305399999999999</v>
      </c>
    </row>
    <row r="2785" spans="1:10">
      <c r="A2785" s="2" t="s">
        <v>141</v>
      </c>
      <c r="B2785" s="2">
        <v>0</v>
      </c>
      <c r="C2785" s="2">
        <v>6.4</v>
      </c>
      <c r="D2785" s="60" t="s">
        <v>142</v>
      </c>
    </row>
    <row r="2786" spans="1:10">
      <c r="A2786" s="2" t="s">
        <v>141</v>
      </c>
      <c r="B2786" s="2">
        <v>0</v>
      </c>
      <c r="C2786" s="2">
        <v>14.5</v>
      </c>
      <c r="D2786" s="60" t="s">
        <v>146</v>
      </c>
    </row>
    <row r="2787" spans="1:10">
      <c r="A2787" s="2" t="s">
        <v>141</v>
      </c>
      <c r="B2787" s="2">
        <v>0</v>
      </c>
      <c r="C2787" s="2">
        <v>14.9</v>
      </c>
      <c r="D2787" s="60" t="s">
        <v>158</v>
      </c>
    </row>
    <row r="2788" spans="1:10">
      <c r="A2788" s="2" t="s">
        <v>141</v>
      </c>
      <c r="B2788" s="2">
        <v>6.4</v>
      </c>
      <c r="C2788" s="2">
        <v>7.6</v>
      </c>
      <c r="D2788" s="60" t="s">
        <v>144</v>
      </c>
    </row>
    <row r="2789" spans="1:10">
      <c r="A2789" s="2" t="s">
        <v>141</v>
      </c>
      <c r="B2789" s="2">
        <v>7.6</v>
      </c>
      <c r="C2789" s="2">
        <v>11.6</v>
      </c>
      <c r="D2789" s="60" t="s">
        <v>147</v>
      </c>
    </row>
    <row r="2790" spans="1:10">
      <c r="A2790" s="2" t="s">
        <v>141</v>
      </c>
      <c r="B2790" s="2">
        <v>11.6</v>
      </c>
      <c r="C2790" s="2">
        <v>16.3</v>
      </c>
      <c r="D2790" s="60" t="s">
        <v>151</v>
      </c>
    </row>
    <row r="2791" spans="1:10">
      <c r="A2791" s="2" t="s">
        <v>141</v>
      </c>
      <c r="B2791" s="2">
        <v>14.5</v>
      </c>
      <c r="C2791" s="2">
        <v>15.1</v>
      </c>
      <c r="D2791" s="60" t="s">
        <v>159</v>
      </c>
    </row>
    <row r="2792" spans="1:10">
      <c r="A2792" s="2" t="s">
        <v>141</v>
      </c>
      <c r="B2792" s="2">
        <v>14.9</v>
      </c>
      <c r="C2792" s="2">
        <v>15.5</v>
      </c>
      <c r="D2792" s="60" t="s">
        <v>178</v>
      </c>
    </row>
    <row r="2793" spans="1:10">
      <c r="A2793" s="2" t="s">
        <v>141</v>
      </c>
      <c r="B2793" s="2">
        <v>15.1</v>
      </c>
      <c r="C2793" s="2">
        <v>21.724299999999999</v>
      </c>
      <c r="D2793" s="60" t="s">
        <v>146</v>
      </c>
    </row>
    <row r="2794" spans="1:10">
      <c r="A2794" s="2" t="s">
        <v>141</v>
      </c>
      <c r="B2794" s="2">
        <v>16.3</v>
      </c>
      <c r="C2794" s="2">
        <v>21.724299999999999</v>
      </c>
      <c r="D2794" s="60" t="s">
        <v>144</v>
      </c>
    </row>
    <row r="2795" spans="1:10">
      <c r="A2795" s="2" t="s">
        <v>148</v>
      </c>
      <c r="B2795" s="2" t="s">
        <v>99</v>
      </c>
      <c r="C2795" s="2">
        <v>9.9281400000000006E-2</v>
      </c>
      <c r="D2795" s="60">
        <v>0</v>
      </c>
      <c r="E2795" s="2">
        <v>0</v>
      </c>
      <c r="F2795" s="2">
        <v>0.3</v>
      </c>
      <c r="G2795" s="2">
        <v>63.4176</v>
      </c>
      <c r="H2795" s="2">
        <v>66.521000000000001</v>
      </c>
      <c r="I2795" s="2">
        <v>0</v>
      </c>
      <c r="J2795" s="2">
        <v>0</v>
      </c>
    </row>
    <row r="2796" spans="1:10">
      <c r="A2796" s="2" t="s">
        <v>148</v>
      </c>
      <c r="B2796" s="2" t="s">
        <v>100</v>
      </c>
      <c r="C2796" s="2">
        <v>1.05346E-2</v>
      </c>
      <c r="D2796" s="60">
        <v>0</v>
      </c>
      <c r="E2796" s="2">
        <v>24.3704</v>
      </c>
      <c r="F2796" s="2">
        <v>2.9350100000000001</v>
      </c>
      <c r="G2796" s="2">
        <v>0</v>
      </c>
      <c r="H2796" s="2">
        <v>10.0002</v>
      </c>
      <c r="I2796" s="2">
        <v>0</v>
      </c>
      <c r="J2796" s="2">
        <v>0</v>
      </c>
    </row>
    <row r="2797" spans="1:10">
      <c r="A2797" s="2" t="s">
        <v>148</v>
      </c>
      <c r="B2797" s="2" t="s">
        <v>98</v>
      </c>
      <c r="C2797" s="2">
        <v>0.37767600000000001</v>
      </c>
      <c r="D2797" s="60">
        <v>0</v>
      </c>
      <c r="E2797" s="2">
        <v>14.7742</v>
      </c>
      <c r="F2797" s="2">
        <v>9.5962399999999999</v>
      </c>
      <c r="G2797" s="2">
        <v>10.0002</v>
      </c>
      <c r="H2797" s="2">
        <v>32.760899999999999</v>
      </c>
      <c r="I2797" s="2">
        <v>0</v>
      </c>
      <c r="J2797" s="2">
        <v>0</v>
      </c>
    </row>
    <row r="2798" spans="1:10">
      <c r="A2798" s="2" t="s">
        <v>148</v>
      </c>
      <c r="B2798" s="2" t="s">
        <v>101</v>
      </c>
      <c r="C2798" s="2">
        <v>3.2348099999999998E-2</v>
      </c>
      <c r="D2798" s="60">
        <v>0</v>
      </c>
      <c r="E2798" s="2">
        <v>14.4</v>
      </c>
      <c r="F2798" s="2">
        <v>0.374197</v>
      </c>
      <c r="G2798" s="2">
        <v>32.760899999999999</v>
      </c>
      <c r="H2798" s="2">
        <v>33.588099999999997</v>
      </c>
      <c r="I2798" s="2">
        <v>0</v>
      </c>
      <c r="J2798" s="2">
        <v>0</v>
      </c>
    </row>
    <row r="2799" spans="1:10">
      <c r="A2799" s="2" t="s">
        <v>148</v>
      </c>
      <c r="B2799" s="2" t="s">
        <v>62</v>
      </c>
      <c r="C2799" s="2">
        <v>0.44844000000000001</v>
      </c>
      <c r="D2799" s="60">
        <v>35.8752</v>
      </c>
      <c r="E2799" s="2">
        <v>10.4</v>
      </c>
      <c r="F2799" s="2">
        <v>4</v>
      </c>
      <c r="G2799" s="2">
        <v>33.588099999999997</v>
      </c>
      <c r="H2799" s="2">
        <v>41.553600000000003</v>
      </c>
      <c r="I2799" s="2">
        <v>0</v>
      </c>
      <c r="J2799" s="2">
        <v>0</v>
      </c>
    </row>
    <row r="2800" spans="1:10">
      <c r="A2800" s="2" t="s">
        <v>148</v>
      </c>
      <c r="B2800" s="2" t="s">
        <v>58</v>
      </c>
      <c r="C2800" s="2">
        <v>0.63240700000000005</v>
      </c>
      <c r="D2800" s="60">
        <v>66.402799999999999</v>
      </c>
      <c r="E2800" s="2">
        <v>6.4</v>
      </c>
      <c r="F2800" s="2">
        <v>4</v>
      </c>
      <c r="G2800" s="2">
        <v>41.553600000000003</v>
      </c>
      <c r="H2800" s="2">
        <v>47.855200000000004</v>
      </c>
      <c r="I2800" s="2">
        <v>0</v>
      </c>
      <c r="J2800" s="2">
        <v>0</v>
      </c>
    </row>
    <row r="2801" spans="1:10">
      <c r="A2801" s="2" t="s">
        <v>148</v>
      </c>
      <c r="B2801" s="2" t="s">
        <v>55</v>
      </c>
      <c r="C2801" s="2">
        <v>1.3538600000000001</v>
      </c>
      <c r="D2801" s="60">
        <v>196.309</v>
      </c>
      <c r="E2801" s="2">
        <v>0.3</v>
      </c>
      <c r="F2801" s="2">
        <v>6.1</v>
      </c>
      <c r="G2801" s="2">
        <v>47.855200000000004</v>
      </c>
      <c r="H2801" s="2">
        <v>63.4176</v>
      </c>
      <c r="I2801" s="2">
        <v>0</v>
      </c>
      <c r="J2801" s="2">
        <v>0</v>
      </c>
    </row>
    <row r="2802" spans="1:10">
      <c r="A2802" s="2" t="s">
        <v>138</v>
      </c>
      <c r="B2802" s="2">
        <v>4</v>
      </c>
      <c r="C2802" s="2">
        <v>19.569400000000002</v>
      </c>
      <c r="D2802" s="60" t="s">
        <v>129</v>
      </c>
      <c r="E2802" s="2" t="s">
        <v>149</v>
      </c>
    </row>
    <row r="2803" spans="1:10">
      <c r="A2803" s="2" t="s">
        <v>140</v>
      </c>
      <c r="B2803" s="2">
        <v>0</v>
      </c>
      <c r="C2803" s="2">
        <v>54.301699999999997</v>
      </c>
      <c r="D2803" s="60">
        <v>26.5382</v>
      </c>
    </row>
    <row r="2804" spans="1:10">
      <c r="A2804" s="2" t="s">
        <v>141</v>
      </c>
      <c r="B2804" s="2">
        <v>0</v>
      </c>
      <c r="C2804" s="2">
        <v>1</v>
      </c>
      <c r="D2804" s="60" t="s">
        <v>155</v>
      </c>
    </row>
    <row r="2805" spans="1:10">
      <c r="A2805" s="2" t="s">
        <v>141</v>
      </c>
      <c r="B2805" s="2">
        <v>0</v>
      </c>
      <c r="C2805" s="2">
        <v>6.5</v>
      </c>
      <c r="D2805" s="60" t="s">
        <v>142</v>
      </c>
    </row>
    <row r="2806" spans="1:10">
      <c r="A2806" s="2" t="s">
        <v>141</v>
      </c>
      <c r="B2806" s="2">
        <v>0</v>
      </c>
      <c r="C2806" s="2">
        <v>7.5</v>
      </c>
      <c r="D2806" s="60" t="s">
        <v>158</v>
      </c>
    </row>
    <row r="2807" spans="1:10">
      <c r="A2807" s="2" t="s">
        <v>141</v>
      </c>
      <c r="B2807" s="2">
        <v>1</v>
      </c>
      <c r="C2807" s="2">
        <v>11.1</v>
      </c>
      <c r="D2807" s="60" t="s">
        <v>146</v>
      </c>
    </row>
    <row r="2808" spans="1:10">
      <c r="A2808" s="2" t="s">
        <v>141</v>
      </c>
      <c r="B2808" s="2">
        <v>6.5</v>
      </c>
      <c r="C2808" s="2">
        <v>11.1</v>
      </c>
      <c r="D2808" s="60" t="s">
        <v>147</v>
      </c>
    </row>
    <row r="2809" spans="1:10">
      <c r="A2809" s="2" t="s">
        <v>141</v>
      </c>
      <c r="B2809" s="2">
        <v>7.5</v>
      </c>
      <c r="C2809" s="2">
        <v>7.9</v>
      </c>
      <c r="D2809" s="60" t="s">
        <v>231</v>
      </c>
    </row>
    <row r="2810" spans="1:10">
      <c r="A2810" s="2" t="s">
        <v>141</v>
      </c>
      <c r="B2810" s="2">
        <v>11.1</v>
      </c>
      <c r="C2810" s="2">
        <v>11.6</v>
      </c>
      <c r="D2810" s="60" t="s">
        <v>190</v>
      </c>
    </row>
    <row r="2811" spans="1:10">
      <c r="A2811" s="2" t="s">
        <v>141</v>
      </c>
      <c r="B2811" s="2">
        <v>11.1</v>
      </c>
      <c r="C2811" s="2">
        <v>16.5</v>
      </c>
      <c r="D2811" s="60" t="s">
        <v>152</v>
      </c>
    </row>
    <row r="2812" spans="1:10">
      <c r="A2812" s="2" t="s">
        <v>141</v>
      </c>
      <c r="B2812" s="2">
        <v>11.6</v>
      </c>
      <c r="C2812" s="2">
        <v>11.9</v>
      </c>
      <c r="D2812" s="60" t="s">
        <v>154</v>
      </c>
    </row>
    <row r="2813" spans="1:10">
      <c r="A2813" s="2" t="s">
        <v>141</v>
      </c>
      <c r="B2813" s="2">
        <v>11.6</v>
      </c>
      <c r="C2813" s="2">
        <v>16.5</v>
      </c>
      <c r="D2813" s="60" t="s">
        <v>147</v>
      </c>
    </row>
    <row r="2814" spans="1:10">
      <c r="A2814" s="2" t="s">
        <v>141</v>
      </c>
      <c r="B2814" s="2">
        <v>16.5</v>
      </c>
      <c r="C2814" s="2">
        <v>21.1617</v>
      </c>
      <c r="D2814" s="60" t="s">
        <v>144</v>
      </c>
    </row>
    <row r="2815" spans="1:10">
      <c r="A2815" s="2" t="s">
        <v>141</v>
      </c>
      <c r="B2815" s="2">
        <v>16.5</v>
      </c>
      <c r="C2815" s="2">
        <v>21.1617</v>
      </c>
      <c r="D2815" s="60" t="s">
        <v>146</v>
      </c>
    </row>
    <row r="2816" spans="1:10">
      <c r="A2816" s="2" t="s">
        <v>156</v>
      </c>
      <c r="B2816" s="2">
        <v>11.6</v>
      </c>
      <c r="C2816" s="2">
        <v>39.069200000000002</v>
      </c>
    </row>
    <row r="2817" spans="1:10">
      <c r="A2817" s="2" t="s">
        <v>148</v>
      </c>
      <c r="B2817" s="2" t="s">
        <v>99</v>
      </c>
      <c r="C2817" s="2">
        <v>6.9728100000000001E-2</v>
      </c>
      <c r="D2817" s="60">
        <v>0</v>
      </c>
      <c r="E2817" s="2">
        <v>0</v>
      </c>
      <c r="F2817" s="2">
        <v>0.3</v>
      </c>
      <c r="G2817" s="2">
        <v>53.1158</v>
      </c>
      <c r="H2817" s="2">
        <v>55.784500000000001</v>
      </c>
      <c r="I2817" s="2">
        <v>0</v>
      </c>
      <c r="J2817" s="2">
        <v>0</v>
      </c>
    </row>
    <row r="2818" spans="1:10">
      <c r="A2818" s="2" t="s">
        <v>148</v>
      </c>
      <c r="B2818" s="2" t="s">
        <v>100</v>
      </c>
      <c r="C2818" s="2">
        <v>1.72357E-2</v>
      </c>
      <c r="D2818" s="60">
        <v>0</v>
      </c>
      <c r="E2818" s="2">
        <v>21.1629</v>
      </c>
      <c r="F2818" s="2">
        <v>5.3753000000000002</v>
      </c>
      <c r="G2818" s="2">
        <v>0</v>
      </c>
      <c r="H2818" s="2">
        <v>10</v>
      </c>
      <c r="I2818" s="2">
        <v>0</v>
      </c>
      <c r="J2818" s="2">
        <v>0</v>
      </c>
    </row>
    <row r="2819" spans="1:10">
      <c r="A2819" s="2" t="s">
        <v>148</v>
      </c>
      <c r="B2819" s="2" t="s">
        <v>98</v>
      </c>
      <c r="C2819" s="2">
        <v>4.6440599999999999E-2</v>
      </c>
      <c r="D2819" s="60">
        <v>0</v>
      </c>
      <c r="E2819" s="2">
        <v>17.600000000000001</v>
      </c>
      <c r="F2819" s="2">
        <v>3.5628799999999998</v>
      </c>
      <c r="G2819" s="2">
        <v>10</v>
      </c>
      <c r="H2819" s="2">
        <v>15.5777</v>
      </c>
      <c r="I2819" s="2">
        <v>0</v>
      </c>
      <c r="J2819" s="2">
        <v>0</v>
      </c>
    </row>
    <row r="2820" spans="1:10">
      <c r="A2820" s="2" t="s">
        <v>148</v>
      </c>
      <c r="B2820" s="2" t="s">
        <v>64</v>
      </c>
      <c r="C2820" s="2">
        <v>0.17847099999999999</v>
      </c>
      <c r="D2820" s="60">
        <v>5.35412</v>
      </c>
      <c r="E2820" s="2">
        <v>11.9</v>
      </c>
      <c r="F2820" s="2">
        <v>5.7</v>
      </c>
      <c r="G2820" s="2">
        <v>15.5777</v>
      </c>
      <c r="H2820" s="2">
        <v>23.788599999999999</v>
      </c>
      <c r="I2820" s="2">
        <v>0</v>
      </c>
      <c r="J2820" s="2">
        <v>0</v>
      </c>
    </row>
    <row r="2821" spans="1:10">
      <c r="A2821" s="2" t="s">
        <v>148</v>
      </c>
      <c r="B2821" s="2" t="s">
        <v>101</v>
      </c>
      <c r="C2821" s="2">
        <v>6.4709900000000001E-2</v>
      </c>
      <c r="D2821" s="60">
        <v>0</v>
      </c>
      <c r="E2821" s="2">
        <v>11</v>
      </c>
      <c r="F2821" s="2">
        <v>0.9</v>
      </c>
      <c r="G2821" s="2">
        <v>23.788599999999999</v>
      </c>
      <c r="H2821" s="2">
        <v>33.4405</v>
      </c>
      <c r="I2821" s="2">
        <v>0</v>
      </c>
      <c r="J2821" s="2">
        <v>0</v>
      </c>
    </row>
    <row r="2822" spans="1:10">
      <c r="A2822" s="2" t="s">
        <v>148</v>
      </c>
      <c r="B2822" s="2" t="s">
        <v>59</v>
      </c>
      <c r="C2822" s="2">
        <v>0.67400000000000004</v>
      </c>
      <c r="D2822" s="60">
        <v>67.400000000000006</v>
      </c>
      <c r="E2822" s="2">
        <v>5</v>
      </c>
      <c r="F2822" s="2">
        <v>6</v>
      </c>
      <c r="G2822" s="2">
        <v>33.4405</v>
      </c>
      <c r="H2822" s="2">
        <v>41.582999999999998</v>
      </c>
      <c r="I2822" s="2">
        <v>0</v>
      </c>
      <c r="J2822" s="2">
        <v>0</v>
      </c>
    </row>
    <row r="2823" spans="1:10">
      <c r="A2823" s="2" t="s">
        <v>148</v>
      </c>
      <c r="B2823" s="2" t="s">
        <v>55</v>
      </c>
      <c r="C2823" s="2">
        <v>0.621278</v>
      </c>
      <c r="D2823" s="60">
        <v>90.085400000000007</v>
      </c>
      <c r="E2823" s="2">
        <v>1</v>
      </c>
      <c r="F2823" s="2">
        <v>4</v>
      </c>
      <c r="G2823" s="2">
        <v>41.582999999999998</v>
      </c>
      <c r="H2823" s="2">
        <v>48.961100000000002</v>
      </c>
      <c r="I2823" s="2">
        <v>0</v>
      </c>
      <c r="J2823" s="2">
        <v>0</v>
      </c>
    </row>
    <row r="2824" spans="1:10">
      <c r="A2824" s="2" t="s">
        <v>148</v>
      </c>
      <c r="B2824" s="2" t="s">
        <v>101</v>
      </c>
      <c r="C2824" s="2">
        <v>0.142179</v>
      </c>
      <c r="D2824" s="60">
        <v>0</v>
      </c>
      <c r="E2824" s="2">
        <v>0.3</v>
      </c>
      <c r="F2824" s="2">
        <v>0.7</v>
      </c>
      <c r="G2824" s="2">
        <v>48.961100000000002</v>
      </c>
      <c r="H2824" s="2">
        <v>53.1158</v>
      </c>
      <c r="I2824" s="2">
        <v>0</v>
      </c>
      <c r="J2824" s="2">
        <v>0</v>
      </c>
    </row>
    <row r="2825" spans="1:10">
      <c r="A2825" s="2" t="s">
        <v>138</v>
      </c>
      <c r="B2825" s="2">
        <v>5</v>
      </c>
      <c r="C2825" s="2">
        <v>19.5778</v>
      </c>
      <c r="D2825" s="60" t="s">
        <v>129</v>
      </c>
      <c r="E2825" s="2" t="s">
        <v>139</v>
      </c>
    </row>
    <row r="2826" spans="1:10">
      <c r="A2826" s="2" t="s">
        <v>140</v>
      </c>
      <c r="B2826" s="2">
        <v>0</v>
      </c>
      <c r="C2826" s="2">
        <v>51.3889</v>
      </c>
      <c r="D2826" s="60">
        <v>29.727</v>
      </c>
    </row>
    <row r="2827" spans="1:10">
      <c r="A2827" s="2" t="s">
        <v>141</v>
      </c>
      <c r="B2827" s="2">
        <v>0</v>
      </c>
      <c r="C2827" s="2">
        <v>6.7</v>
      </c>
      <c r="D2827" s="60" t="s">
        <v>142</v>
      </c>
    </row>
    <row r="2828" spans="1:10">
      <c r="A2828" s="2" t="s">
        <v>141</v>
      </c>
      <c r="B2828" s="2">
        <v>0</v>
      </c>
      <c r="C2828" s="2">
        <v>23.5</v>
      </c>
      <c r="D2828" s="60" t="s">
        <v>146</v>
      </c>
    </row>
    <row r="2829" spans="1:10">
      <c r="A2829" s="2" t="s">
        <v>141</v>
      </c>
      <c r="B2829" s="2">
        <v>6.7</v>
      </c>
      <c r="C2829" s="2">
        <v>12.1</v>
      </c>
      <c r="D2829" s="60" t="s">
        <v>144</v>
      </c>
    </row>
    <row r="2830" spans="1:10">
      <c r="A2830" s="2" t="s">
        <v>141</v>
      </c>
      <c r="B2830" s="2">
        <v>12.1</v>
      </c>
      <c r="C2830" s="2">
        <v>19.8</v>
      </c>
      <c r="D2830" s="60" t="s">
        <v>145</v>
      </c>
    </row>
    <row r="2831" spans="1:10">
      <c r="A2831" s="2" t="s">
        <v>141</v>
      </c>
      <c r="B2831" s="2">
        <v>19.8</v>
      </c>
      <c r="C2831" s="2">
        <v>23.5</v>
      </c>
      <c r="D2831" s="60" t="s">
        <v>144</v>
      </c>
    </row>
    <row r="2832" spans="1:10">
      <c r="A2832" s="2" t="s">
        <v>148</v>
      </c>
      <c r="B2832" s="2" t="s">
        <v>99</v>
      </c>
      <c r="C2832" s="2">
        <v>6.36245E-2</v>
      </c>
      <c r="D2832" s="60">
        <v>0</v>
      </c>
      <c r="E2832" s="2">
        <v>0</v>
      </c>
      <c r="F2832" s="2">
        <v>0.3</v>
      </c>
      <c r="G2832" s="2">
        <v>50.853299999999997</v>
      </c>
      <c r="H2832" s="2">
        <v>53.152900000000002</v>
      </c>
      <c r="I2832" s="2">
        <v>0</v>
      </c>
      <c r="J2832" s="2">
        <v>0</v>
      </c>
    </row>
    <row r="2833" spans="1:10">
      <c r="A2833" s="2" t="s">
        <v>148</v>
      </c>
      <c r="B2833" s="2" t="s">
        <v>100</v>
      </c>
      <c r="C2833" s="2">
        <v>1.4997399999999999E-2</v>
      </c>
      <c r="D2833" s="60">
        <v>0</v>
      </c>
      <c r="E2833" s="2">
        <v>25.328199999999999</v>
      </c>
      <c r="F2833" s="2">
        <v>4.3988800000000001</v>
      </c>
      <c r="G2833" s="2">
        <v>0</v>
      </c>
      <c r="H2833" s="2">
        <v>10</v>
      </c>
      <c r="I2833" s="2">
        <v>0</v>
      </c>
      <c r="J2833" s="2">
        <v>0</v>
      </c>
    </row>
    <row r="2834" spans="1:10">
      <c r="A2834" s="2" t="s">
        <v>148</v>
      </c>
      <c r="B2834" s="2" t="s">
        <v>98</v>
      </c>
      <c r="C2834" s="2">
        <v>6.2E-2</v>
      </c>
      <c r="D2834" s="60">
        <v>0</v>
      </c>
      <c r="E2834" s="2">
        <v>21.172000000000001</v>
      </c>
      <c r="F2834" s="2">
        <v>4.1561599999999999</v>
      </c>
      <c r="G2834" s="2">
        <v>10</v>
      </c>
      <c r="H2834" s="2">
        <v>17.316600000000001</v>
      </c>
      <c r="I2834" s="2">
        <v>0</v>
      </c>
      <c r="J2834" s="2">
        <v>0</v>
      </c>
    </row>
    <row r="2835" spans="1:10">
      <c r="A2835" s="2" t="s">
        <v>148</v>
      </c>
      <c r="B2835" s="2" t="s">
        <v>101</v>
      </c>
      <c r="C2835" s="2">
        <v>1.9678600000000001E-2</v>
      </c>
      <c r="D2835" s="60">
        <v>0</v>
      </c>
      <c r="E2835" s="2">
        <v>20.399999999999999</v>
      </c>
      <c r="F2835" s="2">
        <v>0.77199899999999999</v>
      </c>
      <c r="G2835" s="2">
        <v>17.316600000000001</v>
      </c>
      <c r="H2835" s="2">
        <v>18.704699999999999</v>
      </c>
      <c r="I2835" s="2">
        <v>0</v>
      </c>
      <c r="J2835" s="2">
        <v>0</v>
      </c>
    </row>
    <row r="2836" spans="1:10">
      <c r="A2836" s="2" t="s">
        <v>148</v>
      </c>
      <c r="B2836" s="2" t="s">
        <v>61</v>
      </c>
      <c r="C2836" s="2">
        <v>0.15651499999999999</v>
      </c>
      <c r="D2836" s="60">
        <v>13.303800000000001</v>
      </c>
      <c r="E2836" s="2">
        <v>16.399999999999999</v>
      </c>
      <c r="F2836" s="2">
        <v>4</v>
      </c>
      <c r="G2836" s="2">
        <v>18.704699999999999</v>
      </c>
      <c r="H2836" s="2">
        <v>25.6586</v>
      </c>
      <c r="I2836" s="2">
        <v>0</v>
      </c>
      <c r="J2836" s="2">
        <v>0</v>
      </c>
    </row>
    <row r="2837" spans="1:10">
      <c r="A2837" s="2" t="s">
        <v>148</v>
      </c>
      <c r="B2837" s="2" t="s">
        <v>60</v>
      </c>
      <c r="C2837" s="2">
        <v>0.26149800000000001</v>
      </c>
      <c r="D2837" s="60">
        <v>23.534800000000001</v>
      </c>
      <c r="E2837" s="2">
        <v>12.4</v>
      </c>
      <c r="F2837" s="2">
        <v>4</v>
      </c>
      <c r="G2837" s="2">
        <v>25.6586</v>
      </c>
      <c r="H2837" s="2">
        <v>31.754999999999999</v>
      </c>
      <c r="I2837" s="2">
        <v>0</v>
      </c>
      <c r="J2837" s="2">
        <v>0</v>
      </c>
    </row>
    <row r="2838" spans="1:10">
      <c r="A2838" s="2" t="s">
        <v>148</v>
      </c>
      <c r="B2838" s="2" t="s">
        <v>59</v>
      </c>
      <c r="C2838" s="2">
        <v>0.59509400000000001</v>
      </c>
      <c r="D2838" s="60">
        <v>59.509399999999999</v>
      </c>
      <c r="E2838" s="2">
        <v>6.4</v>
      </c>
      <c r="F2838" s="2">
        <v>6</v>
      </c>
      <c r="G2838" s="2">
        <v>31.754999999999999</v>
      </c>
      <c r="H2838" s="2">
        <v>38.818199999999997</v>
      </c>
      <c r="I2838" s="2">
        <v>0</v>
      </c>
      <c r="J2838" s="2">
        <v>0</v>
      </c>
    </row>
    <row r="2839" spans="1:10">
      <c r="A2839" s="2" t="s">
        <v>148</v>
      </c>
      <c r="B2839" s="2" t="s">
        <v>56</v>
      </c>
      <c r="C2839" s="2">
        <v>0.88025399999999998</v>
      </c>
      <c r="D2839" s="60">
        <v>123.236</v>
      </c>
      <c r="E2839" s="2">
        <v>0.3</v>
      </c>
      <c r="F2839" s="2">
        <v>6.1</v>
      </c>
      <c r="G2839" s="2">
        <v>38.818199999999997</v>
      </c>
      <c r="H2839" s="2">
        <v>50.853299999999997</v>
      </c>
      <c r="I2839" s="2">
        <v>0</v>
      </c>
      <c r="J2839" s="2">
        <v>0</v>
      </c>
    </row>
    <row r="2840" spans="1:10">
      <c r="A2840" s="2" t="s">
        <v>138</v>
      </c>
      <c r="B2840" s="2">
        <v>6</v>
      </c>
      <c r="C2840" s="2">
        <v>19.7255</v>
      </c>
      <c r="D2840" s="60" t="s">
        <v>129</v>
      </c>
      <c r="E2840" s="2" t="s">
        <v>149</v>
      </c>
    </row>
    <row r="2841" spans="1:10">
      <c r="A2841" s="2" t="s">
        <v>140</v>
      </c>
      <c r="B2841" s="2">
        <v>0</v>
      </c>
      <c r="C2841" s="2">
        <v>62.435899999999997</v>
      </c>
      <c r="D2841" s="60">
        <v>27.087700000000002</v>
      </c>
    </row>
    <row r="2842" spans="1:10">
      <c r="A2842" s="2" t="s">
        <v>141</v>
      </c>
      <c r="B2842" s="2">
        <v>0</v>
      </c>
      <c r="C2842" s="2">
        <v>7</v>
      </c>
      <c r="D2842" s="60" t="s">
        <v>142</v>
      </c>
    </row>
    <row r="2843" spans="1:10">
      <c r="A2843" s="2" t="s">
        <v>141</v>
      </c>
      <c r="B2843" s="2">
        <v>0</v>
      </c>
      <c r="C2843" s="2">
        <v>11.8</v>
      </c>
      <c r="D2843" s="60" t="s">
        <v>146</v>
      </c>
    </row>
    <row r="2844" spans="1:10">
      <c r="A2844" s="2" t="s">
        <v>141</v>
      </c>
      <c r="B2844" s="2">
        <v>7</v>
      </c>
      <c r="C2844" s="2">
        <v>10.8</v>
      </c>
      <c r="D2844" s="60" t="s">
        <v>144</v>
      </c>
    </row>
    <row r="2845" spans="1:10">
      <c r="A2845" s="2" t="s">
        <v>141</v>
      </c>
      <c r="B2845" s="2">
        <v>10.8</v>
      </c>
      <c r="C2845" s="2">
        <v>13</v>
      </c>
      <c r="D2845" s="60" t="s">
        <v>147</v>
      </c>
    </row>
    <row r="2846" spans="1:10">
      <c r="A2846" s="2" t="s">
        <v>141</v>
      </c>
      <c r="B2846" s="2">
        <v>11.8</v>
      </c>
      <c r="C2846" s="2">
        <v>13</v>
      </c>
      <c r="D2846" s="60" t="s">
        <v>152</v>
      </c>
    </row>
    <row r="2847" spans="1:10">
      <c r="A2847" s="2" t="s">
        <v>141</v>
      </c>
      <c r="B2847" s="2">
        <v>13</v>
      </c>
      <c r="C2847" s="2">
        <v>14.5</v>
      </c>
      <c r="D2847" s="60" t="s">
        <v>190</v>
      </c>
    </row>
    <row r="2848" spans="1:10">
      <c r="A2848" s="2" t="s">
        <v>141</v>
      </c>
      <c r="B2848" s="2">
        <v>13</v>
      </c>
      <c r="C2848" s="2">
        <v>14.5</v>
      </c>
      <c r="D2848" s="60" t="s">
        <v>161</v>
      </c>
    </row>
    <row r="2849" spans="1:10">
      <c r="A2849" s="2" t="s">
        <v>141</v>
      </c>
      <c r="B2849" s="2">
        <v>14.5</v>
      </c>
      <c r="C2849" s="2">
        <v>17</v>
      </c>
      <c r="D2849" s="60" t="s">
        <v>147</v>
      </c>
    </row>
    <row r="2850" spans="1:10">
      <c r="A2850" s="2" t="s">
        <v>141</v>
      </c>
      <c r="B2850" s="2">
        <v>14.5</v>
      </c>
      <c r="C2850" s="2">
        <v>17</v>
      </c>
      <c r="D2850" s="60" t="s">
        <v>152</v>
      </c>
    </row>
    <row r="2851" spans="1:10">
      <c r="A2851" s="2" t="s">
        <v>141</v>
      </c>
      <c r="B2851" s="2">
        <v>17</v>
      </c>
      <c r="C2851" s="2">
        <v>21.564599999999999</v>
      </c>
      <c r="D2851" s="60" t="s">
        <v>144</v>
      </c>
    </row>
    <row r="2852" spans="1:10">
      <c r="A2852" s="2" t="s">
        <v>141</v>
      </c>
      <c r="B2852" s="2">
        <v>17</v>
      </c>
      <c r="C2852" s="2">
        <v>21.564599999999999</v>
      </c>
      <c r="D2852" s="60" t="s">
        <v>146</v>
      </c>
    </row>
    <row r="2853" spans="1:10">
      <c r="A2853" s="2" t="s">
        <v>148</v>
      </c>
      <c r="B2853" s="2" t="s">
        <v>99</v>
      </c>
      <c r="C2853" s="2">
        <v>8.9641799999999994E-2</v>
      </c>
      <c r="D2853" s="60">
        <v>0</v>
      </c>
      <c r="E2853" s="2">
        <v>0</v>
      </c>
      <c r="F2853" s="2">
        <v>0.3</v>
      </c>
      <c r="G2853" s="2">
        <v>60.250399999999999</v>
      </c>
      <c r="H2853" s="2">
        <v>63.220700000000001</v>
      </c>
      <c r="I2853" s="2">
        <v>0</v>
      </c>
      <c r="J2853" s="2">
        <v>0</v>
      </c>
    </row>
    <row r="2854" spans="1:10">
      <c r="A2854" s="2" t="s">
        <v>148</v>
      </c>
      <c r="B2854" s="2" t="s">
        <v>100</v>
      </c>
      <c r="C2854" s="2">
        <v>1.1152799999999999E-2</v>
      </c>
      <c r="D2854" s="60">
        <v>0</v>
      </c>
      <c r="E2854" s="2">
        <v>23.9467</v>
      </c>
      <c r="F2854" s="2">
        <v>3.1409400000000001</v>
      </c>
      <c r="G2854" s="2">
        <v>0</v>
      </c>
      <c r="H2854" s="2">
        <v>10.000500000000001</v>
      </c>
      <c r="I2854" s="2">
        <v>0</v>
      </c>
      <c r="J2854" s="2">
        <v>0</v>
      </c>
    </row>
    <row r="2855" spans="1:10">
      <c r="A2855" s="2" t="s">
        <v>148</v>
      </c>
      <c r="B2855" s="2" t="s">
        <v>98</v>
      </c>
      <c r="C2855" s="2">
        <v>4.3886000000000001E-2</v>
      </c>
      <c r="D2855" s="60">
        <v>0</v>
      </c>
      <c r="E2855" s="2">
        <v>20.8935</v>
      </c>
      <c r="F2855" s="2">
        <v>3.05321</v>
      </c>
      <c r="G2855" s="2">
        <v>10.000500000000001</v>
      </c>
      <c r="H2855" s="2">
        <v>16.849900000000002</v>
      </c>
      <c r="I2855" s="2">
        <v>0</v>
      </c>
      <c r="J2855" s="2">
        <v>0</v>
      </c>
    </row>
    <row r="2856" spans="1:10">
      <c r="A2856" s="2" t="s">
        <v>148</v>
      </c>
      <c r="B2856" s="2" t="s">
        <v>101</v>
      </c>
      <c r="C2856" s="2">
        <v>9.2597800000000004E-3</v>
      </c>
      <c r="D2856" s="60">
        <v>0</v>
      </c>
      <c r="E2856" s="2">
        <v>20.5</v>
      </c>
      <c r="F2856" s="2">
        <v>0.39350299999999999</v>
      </c>
      <c r="G2856" s="2">
        <v>16.849900000000002</v>
      </c>
      <c r="H2856" s="2">
        <v>17.765599999999999</v>
      </c>
      <c r="I2856" s="2">
        <v>0</v>
      </c>
      <c r="J2856" s="2">
        <v>0</v>
      </c>
    </row>
    <row r="2857" spans="1:10">
      <c r="A2857" s="2" t="s">
        <v>148</v>
      </c>
      <c r="B2857" s="2" t="s">
        <v>64</v>
      </c>
      <c r="C2857" s="2">
        <v>0.29558299999999998</v>
      </c>
      <c r="D2857" s="60">
        <v>8.8674999999999997</v>
      </c>
      <c r="E2857" s="2">
        <v>14.5</v>
      </c>
      <c r="F2857" s="2">
        <v>6</v>
      </c>
      <c r="G2857" s="2">
        <v>17.765599999999999</v>
      </c>
      <c r="H2857" s="2">
        <v>31.4681</v>
      </c>
      <c r="I2857" s="2">
        <v>0</v>
      </c>
      <c r="J2857" s="2">
        <v>0</v>
      </c>
    </row>
    <row r="2858" spans="1:10">
      <c r="A2858" s="2" t="s">
        <v>148</v>
      </c>
      <c r="B2858" s="2" t="s">
        <v>101</v>
      </c>
      <c r="C2858" s="2">
        <v>0.281302</v>
      </c>
      <c r="D2858" s="60">
        <v>0</v>
      </c>
      <c r="E2858" s="2">
        <v>11.5</v>
      </c>
      <c r="F2858" s="2">
        <v>3</v>
      </c>
      <c r="G2858" s="2">
        <v>31.4681</v>
      </c>
      <c r="H2858" s="2">
        <v>37.404699999999998</v>
      </c>
      <c r="I2858" s="2">
        <v>0</v>
      </c>
      <c r="J2858" s="2">
        <v>0</v>
      </c>
    </row>
    <row r="2859" spans="1:10">
      <c r="A2859" s="2" t="s">
        <v>148</v>
      </c>
      <c r="B2859" s="2" t="s">
        <v>59</v>
      </c>
      <c r="C2859" s="2">
        <v>0.84550599999999998</v>
      </c>
      <c r="D2859" s="60">
        <v>84.550600000000003</v>
      </c>
      <c r="E2859" s="2">
        <v>5.5</v>
      </c>
      <c r="F2859" s="2">
        <v>6</v>
      </c>
      <c r="G2859" s="2">
        <v>37.404699999999998</v>
      </c>
      <c r="H2859" s="2">
        <v>46.607599999999998</v>
      </c>
      <c r="I2859" s="2">
        <v>0</v>
      </c>
      <c r="J2859" s="2">
        <v>0</v>
      </c>
    </row>
    <row r="2860" spans="1:10">
      <c r="A2860" s="2" t="s">
        <v>148</v>
      </c>
      <c r="B2860" s="2" t="s">
        <v>55</v>
      </c>
      <c r="C2860" s="2">
        <v>1.0710299999999999</v>
      </c>
      <c r="D2860" s="60">
        <v>155.30000000000001</v>
      </c>
      <c r="E2860" s="2">
        <v>0.3</v>
      </c>
      <c r="F2860" s="2">
        <v>5.2</v>
      </c>
      <c r="G2860" s="2">
        <v>46.607599999999998</v>
      </c>
      <c r="H2860" s="2">
        <v>60.250399999999999</v>
      </c>
      <c r="I2860" s="2">
        <v>0</v>
      </c>
      <c r="J2860" s="2">
        <v>0</v>
      </c>
    </row>
    <row r="2861" spans="1:10">
      <c r="A2861" s="2" t="s">
        <v>138</v>
      </c>
      <c r="B2861" s="2">
        <v>7</v>
      </c>
      <c r="C2861" s="2">
        <v>19.590599999999998</v>
      </c>
      <c r="D2861" s="60" t="s">
        <v>129</v>
      </c>
      <c r="E2861" s="2" t="s">
        <v>149</v>
      </c>
    </row>
    <row r="2862" spans="1:10">
      <c r="A2862" s="2" t="s">
        <v>140</v>
      </c>
      <c r="B2862" s="2">
        <v>0</v>
      </c>
      <c r="C2862" s="2">
        <v>55.168799999999997</v>
      </c>
      <c r="D2862" s="60">
        <v>26.601299999999998</v>
      </c>
    </row>
    <row r="2863" spans="1:10">
      <c r="A2863" s="2" t="s">
        <v>141</v>
      </c>
      <c r="B2863" s="2">
        <v>0</v>
      </c>
      <c r="C2863" s="2">
        <v>4.7</v>
      </c>
      <c r="D2863" s="60" t="s">
        <v>144</v>
      </c>
    </row>
    <row r="2864" spans="1:10">
      <c r="A2864" s="2" t="s">
        <v>141</v>
      </c>
      <c r="B2864" s="2">
        <v>0</v>
      </c>
      <c r="C2864" s="2">
        <v>4.7</v>
      </c>
      <c r="D2864" s="60" t="s">
        <v>158</v>
      </c>
    </row>
    <row r="2865" spans="1:10">
      <c r="A2865" s="2" t="s">
        <v>141</v>
      </c>
      <c r="B2865" s="2">
        <v>0</v>
      </c>
      <c r="C2865" s="2">
        <v>13.6</v>
      </c>
      <c r="D2865" s="60" t="s">
        <v>146</v>
      </c>
    </row>
    <row r="2866" spans="1:10">
      <c r="A2866" s="2" t="s">
        <v>141</v>
      </c>
      <c r="B2866" s="2">
        <v>4.7</v>
      </c>
      <c r="C2866" s="2">
        <v>5</v>
      </c>
      <c r="D2866" s="60" t="s">
        <v>145</v>
      </c>
    </row>
    <row r="2867" spans="1:10">
      <c r="A2867" s="2" t="s">
        <v>141</v>
      </c>
      <c r="B2867" s="2">
        <v>4.7</v>
      </c>
      <c r="C2867" s="2">
        <v>5</v>
      </c>
      <c r="D2867" s="60" t="s">
        <v>177</v>
      </c>
    </row>
    <row r="2868" spans="1:10">
      <c r="A2868" s="2" t="s">
        <v>141</v>
      </c>
      <c r="B2868" s="2">
        <v>5</v>
      </c>
      <c r="C2868" s="2">
        <v>21.207999999999998</v>
      </c>
      <c r="D2868" s="60" t="s">
        <v>144</v>
      </c>
    </row>
    <row r="2869" spans="1:10">
      <c r="A2869" s="2" t="s">
        <v>141</v>
      </c>
      <c r="B2869" s="2">
        <v>7.4</v>
      </c>
      <c r="C2869" s="2">
        <v>7.7</v>
      </c>
      <c r="D2869" s="60" t="s">
        <v>153</v>
      </c>
    </row>
    <row r="2870" spans="1:10">
      <c r="A2870" s="2" t="s">
        <v>141</v>
      </c>
      <c r="B2870" s="2">
        <v>7.4</v>
      </c>
      <c r="C2870" s="2">
        <v>7.7</v>
      </c>
      <c r="D2870" s="60" t="s">
        <v>154</v>
      </c>
    </row>
    <row r="2871" spans="1:10">
      <c r="A2871" s="2" t="s">
        <v>141</v>
      </c>
      <c r="B2871" s="2">
        <v>13.6</v>
      </c>
      <c r="C2871" s="2">
        <v>13.9</v>
      </c>
      <c r="D2871" s="60" t="s">
        <v>153</v>
      </c>
    </row>
    <row r="2872" spans="1:10">
      <c r="A2872" s="2" t="s">
        <v>141</v>
      </c>
      <c r="B2872" s="2">
        <v>13.6</v>
      </c>
      <c r="C2872" s="2">
        <v>13.9</v>
      </c>
      <c r="D2872" s="60" t="s">
        <v>154</v>
      </c>
    </row>
    <row r="2873" spans="1:10">
      <c r="A2873" s="2" t="s">
        <v>141</v>
      </c>
      <c r="B2873" s="2">
        <v>13.6</v>
      </c>
      <c r="C2873" s="2">
        <v>21.207999999999998</v>
      </c>
      <c r="D2873" s="60" t="s">
        <v>155</v>
      </c>
    </row>
    <row r="2874" spans="1:10">
      <c r="A2874" s="2" t="s">
        <v>156</v>
      </c>
      <c r="B2874" s="2">
        <v>7.4</v>
      </c>
      <c r="C2874" s="2">
        <v>38.337600000000002</v>
      </c>
    </row>
    <row r="2875" spans="1:10">
      <c r="A2875" s="2" t="s">
        <v>156</v>
      </c>
      <c r="B2875" s="2">
        <v>13.6</v>
      </c>
      <c r="C2875" s="2">
        <v>26.291599999999999</v>
      </c>
    </row>
    <row r="2876" spans="1:10">
      <c r="A2876" s="2" t="s">
        <v>148</v>
      </c>
      <c r="B2876" s="2" t="s">
        <v>99</v>
      </c>
      <c r="C2876" s="2">
        <v>7.17449E-2</v>
      </c>
      <c r="D2876" s="60">
        <v>0</v>
      </c>
      <c r="E2876" s="2">
        <v>0</v>
      </c>
      <c r="F2876" s="2">
        <v>0.3</v>
      </c>
      <c r="G2876" s="2">
        <v>53.8812</v>
      </c>
      <c r="H2876" s="2">
        <v>56.5824</v>
      </c>
      <c r="I2876" s="2">
        <v>0</v>
      </c>
      <c r="J2876" s="2">
        <v>0</v>
      </c>
    </row>
    <row r="2877" spans="1:10">
      <c r="A2877" s="2" t="s">
        <v>148</v>
      </c>
      <c r="B2877" s="2" t="s">
        <v>100</v>
      </c>
      <c r="C2877" s="2">
        <v>2.41385E-2</v>
      </c>
      <c r="D2877" s="60">
        <v>0</v>
      </c>
      <c r="E2877" s="2">
        <v>18.4863</v>
      </c>
      <c r="F2877" s="2">
        <v>8.1150500000000001</v>
      </c>
      <c r="G2877" s="2">
        <v>0</v>
      </c>
      <c r="H2877" s="2">
        <v>10</v>
      </c>
      <c r="I2877" s="2">
        <v>0</v>
      </c>
      <c r="J2877" s="2">
        <v>0</v>
      </c>
    </row>
    <row r="2878" spans="1:10">
      <c r="A2878" s="2" t="s">
        <v>148</v>
      </c>
      <c r="B2878" s="2" t="s">
        <v>98</v>
      </c>
      <c r="C2878" s="2">
        <v>2.7668000000000002E-2</v>
      </c>
      <c r="D2878" s="60">
        <v>0</v>
      </c>
      <c r="E2878" s="2">
        <v>15.8161</v>
      </c>
      <c r="F2878" s="2">
        <v>2.67021</v>
      </c>
      <c r="G2878" s="2">
        <v>10</v>
      </c>
      <c r="H2878" s="2">
        <v>12.889099999999999</v>
      </c>
      <c r="I2878" s="2">
        <v>0</v>
      </c>
      <c r="J2878" s="2">
        <v>0</v>
      </c>
    </row>
    <row r="2879" spans="1:10">
      <c r="A2879" s="2" t="s">
        <v>148</v>
      </c>
      <c r="B2879" s="2" t="s">
        <v>101</v>
      </c>
      <c r="C2879" s="2">
        <v>0.109683</v>
      </c>
      <c r="D2879" s="60">
        <v>0</v>
      </c>
      <c r="E2879" s="2">
        <v>11.7</v>
      </c>
      <c r="F2879" s="2">
        <v>4.1160899999999998</v>
      </c>
      <c r="G2879" s="2">
        <v>12.889099999999999</v>
      </c>
      <c r="H2879" s="2">
        <v>23.672599999999999</v>
      </c>
      <c r="I2879" s="2">
        <v>0</v>
      </c>
      <c r="J2879" s="2">
        <v>0</v>
      </c>
    </row>
    <row r="2880" spans="1:10">
      <c r="A2880" s="2" t="s">
        <v>148</v>
      </c>
      <c r="B2880" s="2" t="s">
        <v>60</v>
      </c>
      <c r="C2880" s="2">
        <v>0.21199499999999999</v>
      </c>
      <c r="D2880" s="60">
        <v>19.079499999999999</v>
      </c>
      <c r="E2880" s="2">
        <v>7.7</v>
      </c>
      <c r="F2880" s="2">
        <v>4</v>
      </c>
      <c r="G2880" s="2">
        <v>23.672599999999999</v>
      </c>
      <c r="H2880" s="2">
        <v>28.036899999999999</v>
      </c>
      <c r="I2880" s="2">
        <v>0</v>
      </c>
      <c r="J2880" s="2">
        <v>0</v>
      </c>
    </row>
    <row r="2881" spans="1:10">
      <c r="A2881" s="2" t="s">
        <v>148</v>
      </c>
      <c r="B2881" s="2" t="s">
        <v>101</v>
      </c>
      <c r="C2881" s="2">
        <v>0.43146299999999999</v>
      </c>
      <c r="D2881" s="60">
        <v>0</v>
      </c>
      <c r="E2881" s="2">
        <v>4.3</v>
      </c>
      <c r="F2881" s="2">
        <v>3.4</v>
      </c>
      <c r="G2881" s="2">
        <v>28.036899999999999</v>
      </c>
      <c r="H2881" s="2">
        <v>43.029600000000002</v>
      </c>
      <c r="I2881" s="2">
        <v>0</v>
      </c>
      <c r="J2881" s="2">
        <v>0</v>
      </c>
    </row>
    <row r="2882" spans="1:10">
      <c r="A2882" s="2" t="s">
        <v>148</v>
      </c>
      <c r="B2882" s="2" t="s">
        <v>58</v>
      </c>
      <c r="C2882" s="2">
        <v>0.686002</v>
      </c>
      <c r="D2882" s="60">
        <v>72.030199999999994</v>
      </c>
      <c r="E2882" s="2">
        <v>0.3</v>
      </c>
      <c r="F2882" s="2">
        <v>4</v>
      </c>
      <c r="G2882" s="2">
        <v>43.029600000000002</v>
      </c>
      <c r="H2882" s="2">
        <v>53.8812</v>
      </c>
      <c r="I2882" s="2">
        <v>0</v>
      </c>
      <c r="J2882" s="2">
        <v>0</v>
      </c>
    </row>
    <row r="2883" spans="1:10">
      <c r="A2883" s="2" t="s">
        <v>140</v>
      </c>
      <c r="B2883" s="2">
        <v>1</v>
      </c>
      <c r="C2883" s="2">
        <v>30.9849</v>
      </c>
      <c r="D2883" s="60">
        <v>26.601299999999998</v>
      </c>
      <c r="E2883" s="2">
        <v>7.4</v>
      </c>
    </row>
    <row r="2884" spans="1:10">
      <c r="A2884" s="2" t="s">
        <v>141</v>
      </c>
      <c r="B2884" s="2">
        <v>7.4</v>
      </c>
      <c r="C2884" s="2">
        <v>7.7</v>
      </c>
      <c r="D2884" s="60" t="s">
        <v>153</v>
      </c>
    </row>
    <row r="2885" spans="1:10">
      <c r="A2885" s="2" t="s">
        <v>141</v>
      </c>
      <c r="B2885" s="2">
        <v>7.4</v>
      </c>
      <c r="C2885" s="2">
        <v>12.5</v>
      </c>
      <c r="D2885" s="60" t="s">
        <v>146</v>
      </c>
    </row>
    <row r="2886" spans="1:10">
      <c r="A2886" s="2" t="s">
        <v>141</v>
      </c>
      <c r="B2886" s="2">
        <v>7.4</v>
      </c>
      <c r="C2886" s="2">
        <v>21.207999999999998</v>
      </c>
      <c r="D2886" s="60" t="s">
        <v>144</v>
      </c>
    </row>
    <row r="2887" spans="1:10">
      <c r="A2887" s="2" t="s">
        <v>141</v>
      </c>
      <c r="B2887" s="2">
        <v>12.5</v>
      </c>
      <c r="C2887" s="2">
        <v>21.207999999999998</v>
      </c>
      <c r="D2887" s="60" t="s">
        <v>155</v>
      </c>
    </row>
    <row r="2888" spans="1:10">
      <c r="A2888" s="2" t="s">
        <v>141</v>
      </c>
      <c r="B2888" s="2">
        <v>14.4</v>
      </c>
      <c r="C2888" s="2">
        <v>14.7</v>
      </c>
      <c r="D2888" s="60" t="s">
        <v>153</v>
      </c>
    </row>
    <row r="2889" spans="1:10">
      <c r="A2889" s="2" t="s">
        <v>141</v>
      </c>
      <c r="B2889" s="2">
        <v>14.4</v>
      </c>
      <c r="C2889" s="2">
        <v>14.7</v>
      </c>
      <c r="D2889" s="60" t="s">
        <v>154</v>
      </c>
    </row>
    <row r="2890" spans="1:10">
      <c r="A2890" s="2" t="s">
        <v>156</v>
      </c>
      <c r="B2890" s="2">
        <v>14.4</v>
      </c>
      <c r="C2890" s="2">
        <v>21.909600000000001</v>
      </c>
    </row>
    <row r="2891" spans="1:10">
      <c r="A2891" s="2" t="s">
        <v>148</v>
      </c>
      <c r="B2891" s="2" t="s">
        <v>100</v>
      </c>
      <c r="C2891" s="2">
        <v>2.8347500000000001E-2</v>
      </c>
      <c r="D2891" s="60">
        <v>0</v>
      </c>
      <c r="E2891" s="2">
        <v>16.8629</v>
      </c>
      <c r="F2891" s="2">
        <v>9.7385000000000002</v>
      </c>
      <c r="G2891" s="2">
        <v>0</v>
      </c>
      <c r="H2891" s="2">
        <v>10</v>
      </c>
      <c r="I2891" s="2">
        <v>0</v>
      </c>
      <c r="J2891" s="2">
        <v>0</v>
      </c>
    </row>
    <row r="2892" spans="1:10">
      <c r="A2892" s="2" t="s">
        <v>148</v>
      </c>
      <c r="B2892" s="2" t="s">
        <v>101</v>
      </c>
      <c r="C2892" s="2">
        <v>3.9861000000000001E-2</v>
      </c>
      <c r="D2892" s="60">
        <v>0</v>
      </c>
      <c r="E2892" s="2">
        <v>13.7</v>
      </c>
      <c r="F2892" s="2">
        <v>3.1628500000000002</v>
      </c>
      <c r="G2892" s="2">
        <v>10</v>
      </c>
      <c r="H2892" s="2">
        <v>17.4175</v>
      </c>
      <c r="I2892" s="2">
        <v>0</v>
      </c>
      <c r="J2892" s="2">
        <v>0</v>
      </c>
    </row>
    <row r="2893" spans="1:10">
      <c r="A2893" s="2" t="s">
        <v>148</v>
      </c>
      <c r="B2893" s="2" t="s">
        <v>63</v>
      </c>
      <c r="C2893" s="2">
        <v>0.19866</v>
      </c>
      <c r="D2893" s="60">
        <v>13.9062</v>
      </c>
      <c r="E2893" s="2">
        <v>7.7</v>
      </c>
      <c r="F2893" s="2">
        <v>6</v>
      </c>
      <c r="G2893" s="2">
        <v>17.4175</v>
      </c>
      <c r="H2893" s="2">
        <v>23.170400000000001</v>
      </c>
      <c r="I2893" s="2">
        <v>0</v>
      </c>
      <c r="J2893" s="2">
        <v>0</v>
      </c>
    </row>
    <row r="2894" spans="1:10">
      <c r="A2894" s="2" t="s">
        <v>148</v>
      </c>
      <c r="B2894" s="2" t="s">
        <v>101</v>
      </c>
      <c r="C2894" s="2">
        <v>1.27791E-2</v>
      </c>
      <c r="D2894" s="60">
        <v>0</v>
      </c>
      <c r="E2894" s="2">
        <v>7.4</v>
      </c>
      <c r="F2894" s="2">
        <v>0.3</v>
      </c>
      <c r="G2894" s="2">
        <v>23.170400000000001</v>
      </c>
      <c r="H2894" s="2">
        <v>23.405999999999999</v>
      </c>
      <c r="I2894" s="2">
        <v>0</v>
      </c>
      <c r="J2894" s="2">
        <v>0</v>
      </c>
    </row>
    <row r="2895" spans="1:10">
      <c r="A2895" s="2" t="s">
        <v>140</v>
      </c>
      <c r="B2895" s="2">
        <v>2</v>
      </c>
      <c r="C2895" s="2">
        <v>21.909600000000001</v>
      </c>
      <c r="D2895" s="60">
        <v>26.601299999999998</v>
      </c>
      <c r="E2895" s="2">
        <v>14.4</v>
      </c>
    </row>
    <row r="2896" spans="1:10">
      <c r="A2896" s="2" t="s">
        <v>141</v>
      </c>
      <c r="B2896" s="2">
        <v>14.4</v>
      </c>
      <c r="C2896" s="2">
        <v>14.7</v>
      </c>
      <c r="D2896" s="60" t="s">
        <v>153</v>
      </c>
    </row>
    <row r="2897" spans="1:10">
      <c r="A2897" s="2" t="s">
        <v>141</v>
      </c>
      <c r="B2897" s="2">
        <v>14.4</v>
      </c>
      <c r="C2897" s="2">
        <v>21.207999999999998</v>
      </c>
      <c r="D2897" s="60" t="s">
        <v>144</v>
      </c>
    </row>
    <row r="2898" spans="1:10">
      <c r="A2898" s="2" t="s">
        <v>141</v>
      </c>
      <c r="B2898" s="2">
        <v>14.4</v>
      </c>
      <c r="C2898" s="2">
        <v>21.207999999999998</v>
      </c>
      <c r="D2898" s="60" t="s">
        <v>152</v>
      </c>
    </row>
    <row r="2899" spans="1:10">
      <c r="A2899" s="2" t="s">
        <v>148</v>
      </c>
      <c r="B2899" s="2" t="s">
        <v>100</v>
      </c>
      <c r="C2899" s="2">
        <v>2.8347500000000001E-2</v>
      </c>
      <c r="D2899" s="60">
        <v>0</v>
      </c>
      <c r="E2899" s="2">
        <v>16.8629</v>
      </c>
      <c r="F2899" s="2">
        <v>9.7385000000000002</v>
      </c>
      <c r="G2899" s="2">
        <v>0</v>
      </c>
      <c r="H2899" s="2">
        <v>10</v>
      </c>
      <c r="I2899" s="2">
        <v>0</v>
      </c>
      <c r="J2899" s="2">
        <v>0</v>
      </c>
    </row>
    <row r="2900" spans="1:10">
      <c r="A2900" s="2" t="s">
        <v>148</v>
      </c>
      <c r="B2900" s="2" t="s">
        <v>98</v>
      </c>
      <c r="C2900" s="2">
        <v>1.8429999999999998E-2</v>
      </c>
      <c r="D2900" s="60">
        <v>0</v>
      </c>
      <c r="E2900" s="2">
        <v>14.8886</v>
      </c>
      <c r="F2900" s="2">
        <v>1.97424</v>
      </c>
      <c r="G2900" s="2">
        <v>10</v>
      </c>
      <c r="H2900" s="2">
        <v>11.7643</v>
      </c>
      <c r="I2900" s="2">
        <v>0</v>
      </c>
      <c r="J2900" s="2">
        <v>0</v>
      </c>
    </row>
    <row r="2901" spans="1:10">
      <c r="A2901" s="2" t="s">
        <v>148</v>
      </c>
      <c r="B2901" s="2" t="s">
        <v>101</v>
      </c>
      <c r="C2901" s="2">
        <v>5.50345E-3</v>
      </c>
      <c r="D2901" s="60">
        <v>0</v>
      </c>
      <c r="E2901" s="2">
        <v>14.4</v>
      </c>
      <c r="F2901" s="2">
        <v>0.48861100000000002</v>
      </c>
      <c r="G2901" s="2">
        <v>11.7643</v>
      </c>
      <c r="H2901" s="2">
        <v>12.183999999999999</v>
      </c>
      <c r="I2901" s="2">
        <v>0</v>
      </c>
      <c r="J2901" s="2">
        <v>0</v>
      </c>
    </row>
    <row r="2902" spans="1:10">
      <c r="A2902" s="2" t="s">
        <v>140</v>
      </c>
      <c r="B2902" s="2">
        <v>1</v>
      </c>
      <c r="C2902" s="2">
        <v>26.291599999999999</v>
      </c>
      <c r="D2902" s="60">
        <v>26.601299999999998</v>
      </c>
      <c r="E2902" s="2">
        <v>13.6</v>
      </c>
    </row>
    <row r="2903" spans="1:10">
      <c r="A2903" s="2" t="s">
        <v>141</v>
      </c>
      <c r="B2903" s="2">
        <v>13.6</v>
      </c>
      <c r="C2903" s="2">
        <v>13.9</v>
      </c>
      <c r="D2903" s="60" t="s">
        <v>153</v>
      </c>
    </row>
    <row r="2904" spans="1:10">
      <c r="A2904" s="2" t="s">
        <v>141</v>
      </c>
      <c r="B2904" s="2">
        <v>13.6</v>
      </c>
      <c r="C2904" s="2">
        <v>21.207999999999998</v>
      </c>
      <c r="D2904" s="60" t="s">
        <v>144</v>
      </c>
    </row>
    <row r="2905" spans="1:10">
      <c r="A2905" s="2" t="s">
        <v>141</v>
      </c>
      <c r="B2905" s="2">
        <v>13.6</v>
      </c>
      <c r="C2905" s="2">
        <v>21.207999999999998</v>
      </c>
      <c r="D2905" s="60" t="s">
        <v>152</v>
      </c>
    </row>
    <row r="2906" spans="1:10">
      <c r="A2906" s="2" t="s">
        <v>148</v>
      </c>
      <c r="B2906" s="2" t="s">
        <v>100</v>
      </c>
      <c r="C2906" s="2">
        <v>2.41385E-2</v>
      </c>
      <c r="D2906" s="60">
        <v>0</v>
      </c>
      <c r="E2906" s="2">
        <v>18.4863</v>
      </c>
      <c r="F2906" s="2">
        <v>8.1150500000000001</v>
      </c>
      <c r="G2906" s="2">
        <v>0</v>
      </c>
      <c r="H2906" s="2">
        <v>10</v>
      </c>
      <c r="I2906" s="2">
        <v>0</v>
      </c>
      <c r="J2906" s="2">
        <v>0</v>
      </c>
    </row>
    <row r="2907" spans="1:10">
      <c r="A2907" s="2" t="s">
        <v>148</v>
      </c>
      <c r="B2907" s="2" t="s">
        <v>98</v>
      </c>
      <c r="C2907" s="2">
        <v>6.1983400000000001E-2</v>
      </c>
      <c r="D2907" s="60">
        <v>0</v>
      </c>
      <c r="E2907" s="2">
        <v>13.6</v>
      </c>
      <c r="F2907" s="2">
        <v>4.8863000000000003</v>
      </c>
      <c r="G2907" s="2">
        <v>10</v>
      </c>
      <c r="H2907" s="2">
        <v>15.1326</v>
      </c>
      <c r="I2907" s="2">
        <v>0</v>
      </c>
      <c r="J2907" s="2">
        <v>0</v>
      </c>
    </row>
    <row r="2908" spans="1:10">
      <c r="A2908" s="2" t="s">
        <v>138</v>
      </c>
      <c r="B2908" s="2">
        <v>8</v>
      </c>
      <c r="C2908" s="2">
        <v>19.558199999999999</v>
      </c>
      <c r="D2908" s="60" t="s">
        <v>129</v>
      </c>
      <c r="E2908" s="2" t="s">
        <v>149</v>
      </c>
    </row>
    <row r="2909" spans="1:10">
      <c r="A2909" s="2" t="s">
        <v>140</v>
      </c>
      <c r="B2909" s="2">
        <v>0</v>
      </c>
      <c r="C2909" s="2">
        <v>53.866999999999997</v>
      </c>
      <c r="D2909" s="60">
        <v>26.5062</v>
      </c>
    </row>
    <row r="2910" spans="1:10">
      <c r="A2910" s="2" t="s">
        <v>141</v>
      </c>
      <c r="B2910" s="2">
        <v>0</v>
      </c>
      <c r="C2910" s="2">
        <v>0.5</v>
      </c>
      <c r="D2910" s="60" t="s">
        <v>160</v>
      </c>
    </row>
    <row r="2911" spans="1:10">
      <c r="A2911" s="2" t="s">
        <v>141</v>
      </c>
      <c r="B2911" s="2">
        <v>0</v>
      </c>
      <c r="C2911" s="2">
        <v>7.5</v>
      </c>
      <c r="D2911" s="60" t="s">
        <v>155</v>
      </c>
    </row>
    <row r="2912" spans="1:10">
      <c r="A2912" s="2" t="s">
        <v>141</v>
      </c>
      <c r="B2912" s="2">
        <v>0</v>
      </c>
      <c r="C2912" s="2">
        <v>13.1</v>
      </c>
      <c r="D2912" s="60" t="s">
        <v>145</v>
      </c>
    </row>
    <row r="2913" spans="1:10">
      <c r="A2913" s="2" t="s">
        <v>141</v>
      </c>
      <c r="B2913" s="2">
        <v>0.5</v>
      </c>
      <c r="C2913" s="2">
        <v>2.5</v>
      </c>
      <c r="D2913" s="60" t="s">
        <v>158</v>
      </c>
    </row>
    <row r="2914" spans="1:10">
      <c r="A2914" s="2" t="s">
        <v>141</v>
      </c>
      <c r="B2914" s="2">
        <v>2.5</v>
      </c>
      <c r="C2914" s="2">
        <v>4</v>
      </c>
      <c r="D2914" s="60" t="s">
        <v>178</v>
      </c>
    </row>
    <row r="2915" spans="1:10">
      <c r="A2915" s="2" t="s">
        <v>141</v>
      </c>
      <c r="B2915" s="2">
        <v>4</v>
      </c>
      <c r="C2915" s="2">
        <v>6.5</v>
      </c>
      <c r="D2915" s="60" t="s">
        <v>158</v>
      </c>
    </row>
    <row r="2916" spans="1:10">
      <c r="A2916" s="2" t="s">
        <v>141</v>
      </c>
      <c r="B2916" s="2">
        <v>6.5</v>
      </c>
      <c r="C2916" s="2">
        <v>7.5</v>
      </c>
      <c r="D2916" s="60" t="s">
        <v>174</v>
      </c>
    </row>
    <row r="2917" spans="1:10">
      <c r="A2917" s="2" t="s">
        <v>141</v>
      </c>
      <c r="B2917" s="2">
        <v>7.5</v>
      </c>
      <c r="C2917" s="2">
        <v>13.1</v>
      </c>
      <c r="D2917" s="60" t="s">
        <v>146</v>
      </c>
    </row>
    <row r="2918" spans="1:10">
      <c r="A2918" s="2" t="s">
        <v>141</v>
      </c>
      <c r="B2918" s="2">
        <v>13.1</v>
      </c>
      <c r="C2918" s="2">
        <v>13.4</v>
      </c>
      <c r="D2918" s="60" t="s">
        <v>153</v>
      </c>
    </row>
    <row r="2919" spans="1:10">
      <c r="A2919" s="2" t="s">
        <v>141</v>
      </c>
      <c r="B2919" s="2">
        <v>13.1</v>
      </c>
      <c r="C2919" s="2">
        <v>13.4</v>
      </c>
      <c r="D2919" s="60" t="s">
        <v>154</v>
      </c>
    </row>
    <row r="2920" spans="1:10">
      <c r="A2920" s="2" t="s">
        <v>141</v>
      </c>
      <c r="B2920" s="2">
        <v>13.1</v>
      </c>
      <c r="C2920" s="2">
        <v>13.5</v>
      </c>
      <c r="D2920" s="60" t="s">
        <v>151</v>
      </c>
    </row>
    <row r="2921" spans="1:10">
      <c r="A2921" s="2" t="s">
        <v>141</v>
      </c>
      <c r="B2921" s="2">
        <v>13.1</v>
      </c>
      <c r="C2921" s="2">
        <v>13.5</v>
      </c>
      <c r="D2921" s="60" t="s">
        <v>159</v>
      </c>
    </row>
    <row r="2922" spans="1:10">
      <c r="A2922" s="2" t="s">
        <v>141</v>
      </c>
      <c r="B2922" s="2">
        <v>13.5</v>
      </c>
      <c r="C2922" s="2">
        <v>21.138200000000001</v>
      </c>
      <c r="D2922" s="60" t="s">
        <v>144</v>
      </c>
    </row>
    <row r="2923" spans="1:10">
      <c r="A2923" s="2" t="s">
        <v>141</v>
      </c>
      <c r="B2923" s="2">
        <v>13.5</v>
      </c>
      <c r="C2923" s="2">
        <v>21.138200000000001</v>
      </c>
      <c r="D2923" s="60" t="s">
        <v>152</v>
      </c>
    </row>
    <row r="2924" spans="1:10">
      <c r="A2924" s="2" t="s">
        <v>156</v>
      </c>
      <c r="B2924" s="2">
        <v>13.1</v>
      </c>
      <c r="C2924" s="2">
        <v>33.715000000000003</v>
      </c>
    </row>
    <row r="2925" spans="1:10">
      <c r="A2925" s="2" t="s">
        <v>148</v>
      </c>
      <c r="B2925" s="2" t="s">
        <v>99</v>
      </c>
      <c r="C2925" s="2">
        <v>6.8726700000000002E-2</v>
      </c>
      <c r="D2925" s="60">
        <v>0</v>
      </c>
      <c r="E2925" s="2">
        <v>0</v>
      </c>
      <c r="F2925" s="2">
        <v>0.3</v>
      </c>
      <c r="G2925" s="2">
        <v>52.731699999999996</v>
      </c>
      <c r="H2925" s="2">
        <v>55.384099999999997</v>
      </c>
      <c r="I2925" s="2">
        <v>0</v>
      </c>
      <c r="J2925" s="2">
        <v>0</v>
      </c>
    </row>
    <row r="2926" spans="1:10">
      <c r="A2926" s="2" t="s">
        <v>148</v>
      </c>
      <c r="B2926" s="2" t="s">
        <v>100</v>
      </c>
      <c r="C2926" s="2">
        <v>1.9513699999999998E-2</v>
      </c>
      <c r="D2926" s="60">
        <v>0</v>
      </c>
      <c r="E2926" s="2">
        <v>20.228100000000001</v>
      </c>
      <c r="F2926" s="2">
        <v>6.27806</v>
      </c>
      <c r="G2926" s="2">
        <v>0</v>
      </c>
      <c r="H2926" s="2">
        <v>10</v>
      </c>
      <c r="I2926" s="2">
        <v>0</v>
      </c>
      <c r="J2926" s="2">
        <v>0</v>
      </c>
    </row>
    <row r="2927" spans="1:10">
      <c r="A2927" s="2" t="s">
        <v>148</v>
      </c>
      <c r="B2927" s="2" t="s">
        <v>101</v>
      </c>
      <c r="C2927" s="2">
        <v>6.3096899999999997E-3</v>
      </c>
      <c r="D2927" s="60">
        <v>0</v>
      </c>
      <c r="E2927" s="2">
        <v>19.5</v>
      </c>
      <c r="F2927" s="2">
        <v>0.72810200000000003</v>
      </c>
      <c r="G2927" s="2">
        <v>10</v>
      </c>
      <c r="H2927" s="2">
        <v>11.0016</v>
      </c>
      <c r="I2927" s="2">
        <v>0</v>
      </c>
      <c r="J2927" s="2">
        <v>0</v>
      </c>
    </row>
    <row r="2928" spans="1:10">
      <c r="A2928" s="2" t="s">
        <v>148</v>
      </c>
      <c r="B2928" s="2" t="s">
        <v>64</v>
      </c>
      <c r="C2928" s="2">
        <v>0.109571</v>
      </c>
      <c r="D2928" s="60">
        <v>3.2871299999999999</v>
      </c>
      <c r="E2928" s="2">
        <v>13.5</v>
      </c>
      <c r="F2928" s="2">
        <v>6</v>
      </c>
      <c r="G2928" s="2">
        <v>11.0016</v>
      </c>
      <c r="H2928" s="2">
        <v>18.968399999999999</v>
      </c>
      <c r="I2928" s="2">
        <v>0</v>
      </c>
      <c r="J2928" s="2">
        <v>0</v>
      </c>
    </row>
    <row r="2929" spans="1:10">
      <c r="A2929" s="2" t="s">
        <v>148</v>
      </c>
      <c r="B2929" s="2" t="s">
        <v>101</v>
      </c>
      <c r="C2929" s="2">
        <v>0.132384</v>
      </c>
      <c r="D2929" s="60">
        <v>0</v>
      </c>
      <c r="E2929" s="2">
        <v>11.5</v>
      </c>
      <c r="F2929" s="2">
        <v>2</v>
      </c>
      <c r="G2929" s="2">
        <v>18.968399999999999</v>
      </c>
      <c r="H2929" s="2">
        <v>32.3613</v>
      </c>
      <c r="I2929" s="2">
        <v>0</v>
      </c>
      <c r="J2929" s="2">
        <v>0</v>
      </c>
    </row>
    <row r="2930" spans="1:10">
      <c r="A2930" s="2" t="s">
        <v>148</v>
      </c>
      <c r="B2930" s="2" t="s">
        <v>59</v>
      </c>
      <c r="C2930" s="2">
        <v>0.39513900000000002</v>
      </c>
      <c r="D2930" s="60">
        <v>39.5139</v>
      </c>
      <c r="E2930" s="2">
        <v>7.5</v>
      </c>
      <c r="F2930" s="2">
        <v>4</v>
      </c>
      <c r="G2930" s="2">
        <v>32.3613</v>
      </c>
      <c r="H2930" s="2">
        <v>38.239100000000001</v>
      </c>
      <c r="I2930" s="2">
        <v>0</v>
      </c>
      <c r="J2930" s="2">
        <v>0</v>
      </c>
    </row>
    <row r="2931" spans="1:10">
      <c r="A2931" s="2" t="s">
        <v>148</v>
      </c>
      <c r="B2931" s="2" t="s">
        <v>101</v>
      </c>
      <c r="C2931" s="2">
        <v>0.143343</v>
      </c>
      <c r="D2931" s="60">
        <v>0</v>
      </c>
      <c r="E2931" s="2">
        <v>6.3</v>
      </c>
      <c r="F2931" s="2">
        <v>1.2</v>
      </c>
      <c r="G2931" s="2">
        <v>38.239100000000001</v>
      </c>
      <c r="H2931" s="2">
        <v>39.737699999999997</v>
      </c>
      <c r="I2931" s="2">
        <v>0</v>
      </c>
      <c r="J2931" s="2">
        <v>0</v>
      </c>
    </row>
    <row r="2932" spans="1:10">
      <c r="A2932" s="2" t="s">
        <v>148</v>
      </c>
      <c r="B2932" s="2" t="s">
        <v>62</v>
      </c>
      <c r="C2932" s="2">
        <v>0.91994900000000002</v>
      </c>
      <c r="D2932" s="60">
        <v>73.5959</v>
      </c>
      <c r="E2932" s="2">
        <v>0.3</v>
      </c>
      <c r="F2932" s="2">
        <v>6</v>
      </c>
      <c r="G2932" s="2">
        <v>39.737699999999997</v>
      </c>
      <c r="H2932" s="2">
        <v>52.731699999999996</v>
      </c>
      <c r="I2932" s="2">
        <v>0</v>
      </c>
      <c r="J2932" s="2">
        <v>0</v>
      </c>
    </row>
    <row r="2933" spans="1:10">
      <c r="A2933" s="2" t="s">
        <v>140</v>
      </c>
      <c r="B2933" s="2">
        <v>1</v>
      </c>
      <c r="C2933" s="2">
        <v>33.715000000000003</v>
      </c>
      <c r="D2933" s="60">
        <v>26.5062</v>
      </c>
      <c r="E2933" s="2">
        <v>13.1</v>
      </c>
    </row>
    <row r="2934" spans="1:10">
      <c r="A2934" s="2" t="s">
        <v>141</v>
      </c>
      <c r="B2934" s="2">
        <v>13.1</v>
      </c>
      <c r="C2934" s="2">
        <v>13.4</v>
      </c>
      <c r="D2934" s="60" t="s">
        <v>153</v>
      </c>
    </row>
    <row r="2935" spans="1:10">
      <c r="A2935" s="2" t="s">
        <v>141</v>
      </c>
      <c r="B2935" s="2">
        <v>13.1</v>
      </c>
      <c r="C2935" s="2">
        <v>21.138200000000001</v>
      </c>
      <c r="D2935" s="60" t="s">
        <v>144</v>
      </c>
    </row>
    <row r="2936" spans="1:10">
      <c r="A2936" s="2" t="s">
        <v>141</v>
      </c>
      <c r="B2936" s="2">
        <v>13.1</v>
      </c>
      <c r="C2936" s="2">
        <v>21.138200000000001</v>
      </c>
      <c r="D2936" s="60" t="s">
        <v>152</v>
      </c>
    </row>
    <row r="2937" spans="1:10">
      <c r="A2937" s="2" t="s">
        <v>148</v>
      </c>
      <c r="B2937" s="2" t="s">
        <v>100</v>
      </c>
      <c r="C2937" s="2">
        <v>1.9513699999999998E-2</v>
      </c>
      <c r="D2937" s="60">
        <v>0</v>
      </c>
      <c r="E2937" s="2">
        <v>20.228100000000001</v>
      </c>
      <c r="F2937" s="2">
        <v>6.27806</v>
      </c>
      <c r="G2937" s="2">
        <v>0</v>
      </c>
      <c r="H2937" s="2">
        <v>10</v>
      </c>
      <c r="I2937" s="2">
        <v>0</v>
      </c>
      <c r="J2937" s="2">
        <v>0</v>
      </c>
    </row>
    <row r="2938" spans="1:10">
      <c r="A2938" s="2" t="s">
        <v>148</v>
      </c>
      <c r="B2938" s="2" t="s">
        <v>101</v>
      </c>
      <c r="C2938" s="2">
        <v>7.2722799999999999E-3</v>
      </c>
      <c r="D2938" s="60">
        <v>0</v>
      </c>
      <c r="E2938" s="2">
        <v>19.399999999999999</v>
      </c>
      <c r="F2938" s="2">
        <v>0.828102</v>
      </c>
      <c r="G2938" s="2">
        <v>10</v>
      </c>
      <c r="H2938" s="2">
        <v>11.139699999999999</v>
      </c>
      <c r="I2938" s="2">
        <v>0</v>
      </c>
      <c r="J2938" s="2">
        <v>0</v>
      </c>
    </row>
    <row r="2939" spans="1:10">
      <c r="A2939" s="2" t="s">
        <v>148</v>
      </c>
      <c r="B2939" s="2" t="s">
        <v>64</v>
      </c>
      <c r="C2939" s="2">
        <v>0.111452</v>
      </c>
      <c r="D2939" s="60">
        <v>3.3435700000000002</v>
      </c>
      <c r="E2939" s="2">
        <v>13.4</v>
      </c>
      <c r="F2939" s="2">
        <v>6</v>
      </c>
      <c r="G2939" s="2">
        <v>11.139699999999999</v>
      </c>
      <c r="H2939" s="2">
        <v>19.089200000000002</v>
      </c>
      <c r="I2939" s="2">
        <v>0</v>
      </c>
      <c r="J2939" s="2">
        <v>0</v>
      </c>
    </row>
    <row r="2940" spans="1:10">
      <c r="A2940" s="2" t="s">
        <v>148</v>
      </c>
      <c r="B2940" s="2" t="s">
        <v>101</v>
      </c>
      <c r="C2940" s="2">
        <v>8.7488199999999992E-3</v>
      </c>
      <c r="D2940" s="60">
        <v>0</v>
      </c>
      <c r="E2940" s="2">
        <v>13.1</v>
      </c>
      <c r="F2940" s="2">
        <v>0.3</v>
      </c>
      <c r="G2940" s="2">
        <v>19.089200000000002</v>
      </c>
      <c r="H2940" s="2">
        <v>19.4483</v>
      </c>
      <c r="I2940" s="2">
        <v>0</v>
      </c>
      <c r="J2940" s="2">
        <v>0</v>
      </c>
    </row>
    <row r="2941" spans="1:10">
      <c r="A2941" s="2" t="s">
        <v>138</v>
      </c>
      <c r="B2941" s="2">
        <v>9</v>
      </c>
      <c r="C2941" s="2">
        <v>19.688099999999999</v>
      </c>
      <c r="D2941" s="60" t="s">
        <v>129</v>
      </c>
      <c r="E2941" s="2" t="s">
        <v>149</v>
      </c>
    </row>
    <row r="2942" spans="1:10">
      <c r="A2942" s="2" t="s">
        <v>140</v>
      </c>
      <c r="B2942" s="2">
        <v>0</v>
      </c>
      <c r="C2942" s="2">
        <v>60.0321</v>
      </c>
      <c r="D2942" s="60">
        <v>26.934899999999999</v>
      </c>
    </row>
    <row r="2943" spans="1:10">
      <c r="A2943" s="2" t="s">
        <v>141</v>
      </c>
      <c r="B2943" s="2">
        <v>0</v>
      </c>
      <c r="C2943" s="2">
        <v>6.5</v>
      </c>
      <c r="D2943" s="60" t="s">
        <v>142</v>
      </c>
    </row>
    <row r="2944" spans="1:10">
      <c r="A2944" s="2" t="s">
        <v>141</v>
      </c>
      <c r="B2944" s="2">
        <v>0</v>
      </c>
      <c r="C2944" s="2">
        <v>12.9</v>
      </c>
      <c r="D2944" s="60" t="s">
        <v>146</v>
      </c>
    </row>
    <row r="2945" spans="1:10">
      <c r="A2945" s="2" t="s">
        <v>141</v>
      </c>
      <c r="B2945" s="2">
        <v>6.5</v>
      </c>
      <c r="C2945" s="2">
        <v>9.8000000000000007</v>
      </c>
      <c r="D2945" s="60" t="s">
        <v>144</v>
      </c>
    </row>
    <row r="2946" spans="1:10">
      <c r="A2946" s="2" t="s">
        <v>141</v>
      </c>
      <c r="B2946" s="2">
        <v>9.8000000000000007</v>
      </c>
      <c r="C2946" s="2">
        <v>11.7</v>
      </c>
      <c r="D2946" s="60" t="s">
        <v>145</v>
      </c>
    </row>
    <row r="2947" spans="1:10">
      <c r="A2947" s="2" t="s">
        <v>141</v>
      </c>
      <c r="B2947" s="2">
        <v>11.7</v>
      </c>
      <c r="C2947" s="2">
        <v>12.9</v>
      </c>
      <c r="D2947" s="60" t="s">
        <v>151</v>
      </c>
    </row>
    <row r="2948" spans="1:10">
      <c r="A2948" s="2" t="s">
        <v>141</v>
      </c>
      <c r="B2948" s="2">
        <v>12.9</v>
      </c>
      <c r="C2948" s="2">
        <v>13.2</v>
      </c>
      <c r="D2948" s="60" t="s">
        <v>153</v>
      </c>
    </row>
    <row r="2949" spans="1:10">
      <c r="A2949" s="2" t="s">
        <v>141</v>
      </c>
      <c r="B2949" s="2">
        <v>12.9</v>
      </c>
      <c r="C2949" s="2">
        <v>13.2</v>
      </c>
      <c r="D2949" s="60" t="s">
        <v>154</v>
      </c>
    </row>
    <row r="2950" spans="1:10">
      <c r="A2950" s="2" t="s">
        <v>141</v>
      </c>
      <c r="B2950" s="2">
        <v>12.9</v>
      </c>
      <c r="C2950" s="2">
        <v>15</v>
      </c>
      <c r="D2950" s="60" t="s">
        <v>152</v>
      </c>
    </row>
    <row r="2951" spans="1:10">
      <c r="A2951" s="2" t="s">
        <v>141</v>
      </c>
      <c r="B2951" s="2">
        <v>12.9</v>
      </c>
      <c r="C2951" s="2">
        <v>21.4526</v>
      </c>
      <c r="D2951" s="60" t="s">
        <v>144</v>
      </c>
    </row>
    <row r="2952" spans="1:10">
      <c r="A2952" s="2" t="s">
        <v>141</v>
      </c>
      <c r="B2952" s="2">
        <v>15</v>
      </c>
      <c r="C2952" s="2">
        <v>21.4526</v>
      </c>
      <c r="D2952" s="60" t="s">
        <v>161</v>
      </c>
    </row>
    <row r="2953" spans="1:10">
      <c r="A2953" s="2" t="s">
        <v>156</v>
      </c>
      <c r="B2953" s="2">
        <v>12.9</v>
      </c>
      <c r="C2953" s="2">
        <v>41.365499999999997</v>
      </c>
    </row>
    <row r="2954" spans="1:10">
      <c r="A2954" s="2" t="s">
        <v>148</v>
      </c>
      <c r="B2954" s="2" t="s">
        <v>99</v>
      </c>
      <c r="C2954" s="2">
        <v>8.3526799999999998E-2</v>
      </c>
      <c r="D2954" s="60">
        <v>0</v>
      </c>
      <c r="E2954" s="2">
        <v>0</v>
      </c>
      <c r="F2954" s="2">
        <v>0.3</v>
      </c>
      <c r="G2954" s="2">
        <v>58.152299999999997</v>
      </c>
      <c r="H2954" s="2">
        <v>61.034300000000002</v>
      </c>
      <c r="I2954" s="2">
        <v>0</v>
      </c>
      <c r="J2954" s="2">
        <v>0</v>
      </c>
    </row>
    <row r="2955" spans="1:10">
      <c r="A2955" s="2" t="s">
        <v>148</v>
      </c>
      <c r="B2955" s="2" t="s">
        <v>100</v>
      </c>
      <c r="C2955" s="2">
        <v>1.6639899999999999E-2</v>
      </c>
      <c r="D2955" s="60">
        <v>0</v>
      </c>
      <c r="E2955" s="2">
        <v>21.810600000000001</v>
      </c>
      <c r="F2955" s="2">
        <v>5.1242799999999997</v>
      </c>
      <c r="G2955" s="2">
        <v>0</v>
      </c>
      <c r="H2955" s="2">
        <v>10</v>
      </c>
      <c r="I2955" s="2">
        <v>0</v>
      </c>
      <c r="J2955" s="2">
        <v>0</v>
      </c>
    </row>
    <row r="2956" spans="1:10">
      <c r="A2956" s="2" t="s">
        <v>148</v>
      </c>
      <c r="B2956" s="2" t="s">
        <v>98</v>
      </c>
      <c r="C2956" s="2">
        <v>5.9104299999999999E-2</v>
      </c>
      <c r="D2956" s="60">
        <v>0</v>
      </c>
      <c r="E2956" s="2">
        <v>17.6707</v>
      </c>
      <c r="F2956" s="2">
        <v>4.1398999999999999</v>
      </c>
      <c r="G2956" s="2">
        <v>10</v>
      </c>
      <c r="H2956" s="2">
        <v>16.707999999999998</v>
      </c>
      <c r="I2956" s="2">
        <v>0</v>
      </c>
      <c r="J2956" s="2">
        <v>0</v>
      </c>
    </row>
    <row r="2957" spans="1:10">
      <c r="A2957" s="2" t="s">
        <v>148</v>
      </c>
      <c r="B2957" s="2" t="s">
        <v>101</v>
      </c>
      <c r="C2957" s="2">
        <v>0.202898</v>
      </c>
      <c r="D2957" s="60">
        <v>0</v>
      </c>
      <c r="E2957" s="2">
        <v>12.4</v>
      </c>
      <c r="F2957" s="2">
        <v>5.27074</v>
      </c>
      <c r="G2957" s="2">
        <v>16.707999999999998</v>
      </c>
      <c r="H2957" s="2">
        <v>34.351900000000001</v>
      </c>
      <c r="I2957" s="2">
        <v>0</v>
      </c>
      <c r="J2957" s="2">
        <v>0</v>
      </c>
    </row>
    <row r="2958" spans="1:10">
      <c r="A2958" s="2" t="s">
        <v>148</v>
      </c>
      <c r="B2958" s="2" t="s">
        <v>62</v>
      </c>
      <c r="C2958" s="2">
        <v>0.733568</v>
      </c>
      <c r="D2958" s="60">
        <v>58.685499999999998</v>
      </c>
      <c r="E2958" s="2">
        <v>6.4</v>
      </c>
      <c r="F2958" s="2">
        <v>6</v>
      </c>
      <c r="G2958" s="2">
        <v>34.351900000000001</v>
      </c>
      <c r="H2958" s="2">
        <v>43.794199999999996</v>
      </c>
      <c r="I2958" s="2">
        <v>0</v>
      </c>
      <c r="J2958" s="2">
        <v>0</v>
      </c>
    </row>
    <row r="2959" spans="1:10">
      <c r="A2959" s="2" t="s">
        <v>148</v>
      </c>
      <c r="B2959" s="2" t="s">
        <v>55</v>
      </c>
      <c r="C2959" s="2">
        <v>1.1363000000000001</v>
      </c>
      <c r="D2959" s="60">
        <v>164.76300000000001</v>
      </c>
      <c r="E2959" s="2">
        <v>0.3</v>
      </c>
      <c r="F2959" s="2">
        <v>6.1</v>
      </c>
      <c r="G2959" s="2">
        <v>43.794199999999996</v>
      </c>
      <c r="H2959" s="2">
        <v>58.152299999999997</v>
      </c>
      <c r="I2959" s="2">
        <v>0</v>
      </c>
      <c r="J2959" s="2">
        <v>0</v>
      </c>
    </row>
    <row r="2960" spans="1:10">
      <c r="A2960" s="2" t="s">
        <v>140</v>
      </c>
      <c r="B2960" s="2">
        <v>1</v>
      </c>
      <c r="C2960" s="2">
        <v>34.102699999999999</v>
      </c>
      <c r="D2960" s="60">
        <v>26.934899999999999</v>
      </c>
      <c r="E2960" s="2">
        <v>12.9</v>
      </c>
    </row>
    <row r="2961" spans="1:10">
      <c r="A2961" s="2" t="s">
        <v>141</v>
      </c>
      <c r="B2961" s="2">
        <v>12.9</v>
      </c>
      <c r="C2961" s="2">
        <v>13.2</v>
      </c>
      <c r="D2961" s="60" t="s">
        <v>153</v>
      </c>
    </row>
    <row r="2962" spans="1:10">
      <c r="A2962" s="2" t="s">
        <v>141</v>
      </c>
      <c r="B2962" s="2">
        <v>12.9</v>
      </c>
      <c r="C2962" s="2">
        <v>15</v>
      </c>
      <c r="D2962" s="60" t="s">
        <v>152</v>
      </c>
    </row>
    <row r="2963" spans="1:10">
      <c r="A2963" s="2" t="s">
        <v>141</v>
      </c>
      <c r="B2963" s="2">
        <v>12.9</v>
      </c>
      <c r="C2963" s="2">
        <v>21.4526</v>
      </c>
      <c r="D2963" s="60" t="s">
        <v>144</v>
      </c>
    </row>
    <row r="2964" spans="1:10">
      <c r="A2964" s="2" t="s">
        <v>141</v>
      </c>
      <c r="B2964" s="2">
        <v>15</v>
      </c>
      <c r="C2964" s="2">
        <v>21.4526</v>
      </c>
      <c r="D2964" s="60" t="s">
        <v>161</v>
      </c>
    </row>
    <row r="2965" spans="1:10">
      <c r="A2965" s="2" t="s">
        <v>148</v>
      </c>
      <c r="B2965" s="2" t="s">
        <v>100</v>
      </c>
      <c r="C2965" s="2">
        <v>1.9637499999999999E-2</v>
      </c>
      <c r="D2965" s="60">
        <v>0</v>
      </c>
      <c r="E2965" s="2">
        <v>20.631799999999998</v>
      </c>
      <c r="F2965" s="2">
        <v>6.3031300000000003</v>
      </c>
      <c r="G2965" s="2">
        <v>0</v>
      </c>
      <c r="H2965" s="2">
        <v>10</v>
      </c>
      <c r="I2965" s="2">
        <v>0</v>
      </c>
      <c r="J2965" s="2">
        <v>0</v>
      </c>
    </row>
    <row r="2966" spans="1:10">
      <c r="A2966" s="2" t="s">
        <v>148</v>
      </c>
      <c r="B2966" s="2" t="s">
        <v>98</v>
      </c>
      <c r="C2966" s="2">
        <v>9.5451999999999995E-2</v>
      </c>
      <c r="D2966" s="60">
        <v>0</v>
      </c>
      <c r="E2966" s="2">
        <v>14.6524</v>
      </c>
      <c r="F2966" s="2">
        <v>5.9794</v>
      </c>
      <c r="G2966" s="2">
        <v>10</v>
      </c>
      <c r="H2966" s="2">
        <v>18.0183</v>
      </c>
      <c r="I2966" s="2">
        <v>0</v>
      </c>
      <c r="J2966" s="2">
        <v>0</v>
      </c>
    </row>
    <row r="2967" spans="1:10">
      <c r="A2967" s="2" t="s">
        <v>148</v>
      </c>
      <c r="B2967" s="2" t="s">
        <v>101</v>
      </c>
      <c r="C2967" s="2">
        <v>5.0204800000000001E-2</v>
      </c>
      <c r="D2967" s="60">
        <v>0</v>
      </c>
      <c r="E2967" s="2">
        <v>12.9</v>
      </c>
      <c r="F2967" s="2">
        <v>1.7523899999999999</v>
      </c>
      <c r="G2967" s="2">
        <v>18.0183</v>
      </c>
      <c r="H2967" s="2">
        <v>20.1326</v>
      </c>
      <c r="I2967" s="2">
        <v>0</v>
      </c>
      <c r="J2967" s="2">
        <v>0</v>
      </c>
    </row>
    <row r="2968" spans="1:10">
      <c r="A2968" s="2" t="s">
        <v>138</v>
      </c>
      <c r="B2968" s="2">
        <v>10</v>
      </c>
      <c r="C2968" s="2">
        <v>16.360600000000002</v>
      </c>
      <c r="D2968" s="60" t="s">
        <v>129</v>
      </c>
      <c r="E2968" s="2" t="s">
        <v>149</v>
      </c>
    </row>
    <row r="2969" spans="1:10">
      <c r="A2969" s="2" t="s">
        <v>140</v>
      </c>
      <c r="B2969" s="2">
        <v>0</v>
      </c>
      <c r="C2969" s="2">
        <v>28.3</v>
      </c>
      <c r="D2969" s="60">
        <v>23.330300000000001</v>
      </c>
    </row>
    <row r="2970" spans="1:10">
      <c r="A2970" s="2" t="s">
        <v>141</v>
      </c>
      <c r="B2970" s="2">
        <v>0</v>
      </c>
      <c r="C2970" s="2">
        <v>1.4</v>
      </c>
      <c r="D2970" s="60" t="s">
        <v>152</v>
      </c>
    </row>
    <row r="2971" spans="1:10">
      <c r="A2971" s="2" t="s">
        <v>141</v>
      </c>
      <c r="B2971" s="2">
        <v>0</v>
      </c>
      <c r="C2971" s="2">
        <v>5.9</v>
      </c>
      <c r="D2971" s="60" t="s">
        <v>142</v>
      </c>
    </row>
    <row r="2972" spans="1:10">
      <c r="A2972" s="2" t="s">
        <v>141</v>
      </c>
      <c r="B2972" s="2">
        <v>1.4</v>
      </c>
      <c r="C2972" s="2">
        <v>5.9</v>
      </c>
      <c r="D2972" s="60" t="s">
        <v>146</v>
      </c>
    </row>
    <row r="2973" spans="1:10">
      <c r="A2973" s="2" t="s">
        <v>141</v>
      </c>
      <c r="B2973" s="2">
        <v>5.9</v>
      </c>
      <c r="C2973" s="2">
        <v>6.2</v>
      </c>
      <c r="D2973" s="60" t="s">
        <v>153</v>
      </c>
    </row>
    <row r="2974" spans="1:10">
      <c r="A2974" s="2" t="s">
        <v>141</v>
      </c>
      <c r="B2974" s="2">
        <v>5.9</v>
      </c>
      <c r="C2974" s="2">
        <v>6.2</v>
      </c>
      <c r="D2974" s="60" t="s">
        <v>154</v>
      </c>
    </row>
    <row r="2975" spans="1:10">
      <c r="A2975" s="2" t="s">
        <v>141</v>
      </c>
      <c r="B2975" s="2">
        <v>5.9</v>
      </c>
      <c r="C2975" s="2">
        <v>18.8094</v>
      </c>
      <c r="D2975" s="60" t="s">
        <v>144</v>
      </c>
    </row>
    <row r="2976" spans="1:10">
      <c r="A2976" s="2" t="s">
        <v>141</v>
      </c>
      <c r="B2976" s="2">
        <v>5.9</v>
      </c>
      <c r="C2976" s="2">
        <v>18.8094</v>
      </c>
      <c r="D2976" s="60" t="s">
        <v>161</v>
      </c>
    </row>
    <row r="2977" spans="1:10">
      <c r="A2977" s="2" t="s">
        <v>156</v>
      </c>
      <c r="B2977" s="2">
        <v>5.9</v>
      </c>
      <c r="C2977" s="2">
        <v>22.4282</v>
      </c>
    </row>
    <row r="2978" spans="1:10">
      <c r="A2978" s="2" t="s">
        <v>148</v>
      </c>
      <c r="B2978" s="2" t="s">
        <v>99</v>
      </c>
      <c r="C2978" s="2">
        <v>2.154E-2</v>
      </c>
      <c r="D2978" s="60">
        <v>0</v>
      </c>
      <c r="E2978" s="2">
        <v>0</v>
      </c>
      <c r="F2978" s="2">
        <v>0.3</v>
      </c>
      <c r="G2978" s="2">
        <v>29.438800000000001</v>
      </c>
      <c r="H2978" s="2">
        <v>31.1037</v>
      </c>
      <c r="I2978" s="2">
        <v>0</v>
      </c>
      <c r="J2978" s="2">
        <v>0</v>
      </c>
    </row>
    <row r="2979" spans="1:10">
      <c r="A2979" s="2" t="s">
        <v>148</v>
      </c>
      <c r="B2979" s="2" t="s">
        <v>100</v>
      </c>
      <c r="C2979" s="2">
        <v>2.4354799999999999E-2</v>
      </c>
      <c r="D2979" s="60">
        <v>0</v>
      </c>
      <c r="E2979" s="2">
        <v>14.980700000000001</v>
      </c>
      <c r="F2979" s="2">
        <v>8.3495899999999992</v>
      </c>
      <c r="G2979" s="2">
        <v>0</v>
      </c>
      <c r="H2979" s="2">
        <v>10</v>
      </c>
      <c r="I2979" s="2">
        <v>0</v>
      </c>
      <c r="J2979" s="2">
        <v>0</v>
      </c>
    </row>
    <row r="2980" spans="1:10">
      <c r="A2980" s="2" t="s">
        <v>148</v>
      </c>
      <c r="B2980" s="2" t="s">
        <v>101</v>
      </c>
      <c r="C2980" s="2">
        <v>0.16897200000000001</v>
      </c>
      <c r="D2980" s="60">
        <v>0</v>
      </c>
      <c r="E2980" s="2">
        <v>5.4</v>
      </c>
      <c r="F2980" s="2">
        <v>9.5806900000000006</v>
      </c>
      <c r="G2980" s="2">
        <v>10</v>
      </c>
      <c r="H2980" s="2">
        <v>22.4284</v>
      </c>
      <c r="I2980" s="2">
        <v>0</v>
      </c>
      <c r="J2980" s="2">
        <v>0</v>
      </c>
    </row>
    <row r="2981" spans="1:10">
      <c r="A2981" s="2" t="s">
        <v>148</v>
      </c>
      <c r="B2981" s="2" t="s">
        <v>60</v>
      </c>
      <c r="C2981" s="2">
        <v>0.18173500000000001</v>
      </c>
      <c r="D2981" s="60">
        <v>16.356100000000001</v>
      </c>
      <c r="E2981" s="2">
        <v>1.4</v>
      </c>
      <c r="F2981" s="2">
        <v>4</v>
      </c>
      <c r="G2981" s="2">
        <v>22.4284</v>
      </c>
      <c r="H2981" s="2">
        <v>26.1281</v>
      </c>
      <c r="I2981" s="2">
        <v>0</v>
      </c>
      <c r="J2981" s="2">
        <v>0</v>
      </c>
    </row>
    <row r="2982" spans="1:10">
      <c r="A2982" s="2" t="s">
        <v>148</v>
      </c>
      <c r="B2982" s="2" t="s">
        <v>101</v>
      </c>
      <c r="C2982" s="2">
        <v>6.5479999999999997E-2</v>
      </c>
      <c r="D2982" s="60">
        <v>0</v>
      </c>
      <c r="E2982" s="2">
        <v>0.3</v>
      </c>
      <c r="F2982" s="2">
        <v>1.1000000000000001</v>
      </c>
      <c r="G2982" s="2">
        <v>26.1281</v>
      </c>
      <c r="H2982" s="2">
        <v>29.438800000000001</v>
      </c>
      <c r="I2982" s="2">
        <v>0</v>
      </c>
      <c r="J2982" s="2">
        <v>0</v>
      </c>
    </row>
    <row r="2983" spans="1:10">
      <c r="A2983" s="2" t="s">
        <v>140</v>
      </c>
      <c r="B2983" s="2">
        <v>1</v>
      </c>
      <c r="C2983" s="2">
        <v>17.258800000000001</v>
      </c>
      <c r="D2983" s="60">
        <v>23.330300000000001</v>
      </c>
      <c r="E2983" s="2">
        <v>5.9</v>
      </c>
    </row>
    <row r="2984" spans="1:10">
      <c r="A2984" s="2" t="s">
        <v>141</v>
      </c>
      <c r="B2984" s="2">
        <v>5.9</v>
      </c>
      <c r="C2984" s="2">
        <v>6.2</v>
      </c>
      <c r="D2984" s="60" t="s">
        <v>153</v>
      </c>
    </row>
    <row r="2985" spans="1:10">
      <c r="A2985" s="2" t="s">
        <v>141</v>
      </c>
      <c r="B2985" s="2">
        <v>5.9</v>
      </c>
      <c r="C2985" s="2">
        <v>18.8094</v>
      </c>
      <c r="D2985" s="60" t="s">
        <v>144</v>
      </c>
    </row>
    <row r="2986" spans="1:10">
      <c r="A2986" s="2" t="s">
        <v>141</v>
      </c>
      <c r="B2986" s="2">
        <v>5.9</v>
      </c>
      <c r="C2986" s="2">
        <v>18.8094</v>
      </c>
      <c r="D2986" s="60" t="s">
        <v>161</v>
      </c>
    </row>
    <row r="2987" spans="1:10">
      <c r="A2987" s="2" t="s">
        <v>148</v>
      </c>
      <c r="B2987" s="2" t="s">
        <v>100</v>
      </c>
      <c r="C2987" s="2">
        <v>3.1518400000000002E-2</v>
      </c>
      <c r="D2987" s="60">
        <v>0</v>
      </c>
      <c r="E2987" s="2">
        <v>12.4155</v>
      </c>
      <c r="F2987" s="2">
        <v>10.9148</v>
      </c>
      <c r="G2987" s="2">
        <v>0</v>
      </c>
      <c r="H2987" s="2">
        <v>10</v>
      </c>
      <c r="I2987" s="2">
        <v>0</v>
      </c>
      <c r="J2987" s="2">
        <v>0</v>
      </c>
    </row>
    <row r="2988" spans="1:10">
      <c r="A2988" s="2" t="s">
        <v>148</v>
      </c>
      <c r="B2988" s="2" t="s">
        <v>101</v>
      </c>
      <c r="C2988" s="2">
        <v>7.7269000000000004E-2</v>
      </c>
      <c r="D2988" s="60">
        <v>0</v>
      </c>
      <c r="E2988" s="2">
        <v>5.9</v>
      </c>
      <c r="F2988" s="2">
        <v>6.5155099999999999</v>
      </c>
      <c r="G2988" s="2">
        <v>10</v>
      </c>
      <c r="H2988" s="2">
        <v>14.155099999999999</v>
      </c>
      <c r="I2988" s="2">
        <v>0</v>
      </c>
      <c r="J2988" s="2">
        <v>0</v>
      </c>
    </row>
    <row r="2989" spans="1:10">
      <c r="A2989" s="2" t="s">
        <v>138</v>
      </c>
      <c r="B2989" s="2">
        <v>11</v>
      </c>
      <c r="C2989" s="2">
        <v>19.787800000000001</v>
      </c>
      <c r="D2989" s="60" t="s">
        <v>129</v>
      </c>
      <c r="E2989" s="2" t="s">
        <v>139</v>
      </c>
    </row>
    <row r="2990" spans="1:10">
      <c r="A2990" s="2" t="s">
        <v>140</v>
      </c>
      <c r="B2990" s="2">
        <v>0</v>
      </c>
      <c r="C2990" s="2">
        <v>68.032499999999999</v>
      </c>
      <c r="D2990" s="60">
        <v>26.999600000000001</v>
      </c>
    </row>
    <row r="2991" spans="1:10">
      <c r="A2991" s="2" t="s">
        <v>141</v>
      </c>
      <c r="B2991" s="2">
        <v>0</v>
      </c>
      <c r="C2991" s="2">
        <v>2.2999999999999998</v>
      </c>
      <c r="D2991" s="60" t="s">
        <v>144</v>
      </c>
    </row>
    <row r="2992" spans="1:10">
      <c r="A2992" s="2" t="s">
        <v>141</v>
      </c>
      <c r="B2992" s="2">
        <v>0</v>
      </c>
      <c r="C2992" s="2">
        <v>2.2999999999999998</v>
      </c>
      <c r="D2992" s="60" t="s">
        <v>158</v>
      </c>
    </row>
    <row r="2993" spans="1:10">
      <c r="A2993" s="2" t="s">
        <v>141</v>
      </c>
      <c r="B2993" s="2">
        <v>0</v>
      </c>
      <c r="C2993" s="2">
        <v>15.7</v>
      </c>
      <c r="D2993" s="60" t="s">
        <v>146</v>
      </c>
    </row>
    <row r="2994" spans="1:10">
      <c r="A2994" s="2" t="s">
        <v>141</v>
      </c>
      <c r="B2994" s="2">
        <v>2.2999999999999998</v>
      </c>
      <c r="C2994" s="2">
        <v>3</v>
      </c>
      <c r="D2994" s="60" t="s">
        <v>151</v>
      </c>
    </row>
    <row r="2995" spans="1:10">
      <c r="A2995" s="2" t="s">
        <v>141</v>
      </c>
      <c r="B2995" s="2">
        <v>2.2999999999999998</v>
      </c>
      <c r="C2995" s="2">
        <v>3</v>
      </c>
      <c r="D2995" s="60" t="s">
        <v>178</v>
      </c>
    </row>
    <row r="2996" spans="1:10">
      <c r="A2996" s="2" t="s">
        <v>141</v>
      </c>
      <c r="B2996" s="2">
        <v>3</v>
      </c>
      <c r="C2996" s="2">
        <v>11.8</v>
      </c>
      <c r="D2996" s="60" t="s">
        <v>145</v>
      </c>
    </row>
    <row r="2997" spans="1:10">
      <c r="A2997" s="2" t="s">
        <v>141</v>
      </c>
      <c r="B2997" s="2">
        <v>11.8</v>
      </c>
      <c r="C2997" s="2">
        <v>16</v>
      </c>
      <c r="D2997" s="60" t="s">
        <v>147</v>
      </c>
    </row>
    <row r="2998" spans="1:10">
      <c r="A2998" s="2" t="s">
        <v>141</v>
      </c>
      <c r="B2998" s="2">
        <v>15.7</v>
      </c>
      <c r="C2998" s="2">
        <v>16</v>
      </c>
      <c r="D2998" s="60" t="s">
        <v>155</v>
      </c>
    </row>
    <row r="2999" spans="1:10">
      <c r="A2999" s="2" t="s">
        <v>141</v>
      </c>
      <c r="B2999" s="2">
        <v>16</v>
      </c>
      <c r="C2999" s="2">
        <v>21.5</v>
      </c>
      <c r="D2999" s="60" t="s">
        <v>144</v>
      </c>
    </row>
    <row r="3000" spans="1:10">
      <c r="A3000" s="2" t="s">
        <v>141</v>
      </c>
      <c r="B3000" s="2">
        <v>16</v>
      </c>
      <c r="C3000" s="2">
        <v>21.5</v>
      </c>
      <c r="D3000" s="60" t="s">
        <v>146</v>
      </c>
    </row>
    <row r="3001" spans="1:10">
      <c r="A3001" s="2" t="s">
        <v>148</v>
      </c>
      <c r="B3001" s="2" t="s">
        <v>99</v>
      </c>
      <c r="C3001" s="2">
        <v>0.104516</v>
      </c>
      <c r="D3001" s="60">
        <v>0</v>
      </c>
      <c r="E3001" s="2">
        <v>0</v>
      </c>
      <c r="F3001" s="2">
        <v>0.3</v>
      </c>
      <c r="G3001" s="2">
        <v>65.052899999999994</v>
      </c>
      <c r="H3001" s="2">
        <v>68.2697</v>
      </c>
      <c r="I3001" s="2">
        <v>0</v>
      </c>
      <c r="J3001" s="2">
        <v>0</v>
      </c>
    </row>
    <row r="3002" spans="1:10">
      <c r="A3002" s="2" t="s">
        <v>148</v>
      </c>
      <c r="B3002" s="2" t="s">
        <v>100</v>
      </c>
      <c r="C3002" s="2">
        <v>1.0066800000000001E-2</v>
      </c>
      <c r="D3002" s="60">
        <v>0</v>
      </c>
      <c r="E3002" s="2">
        <v>24.209599999999998</v>
      </c>
      <c r="F3002" s="2">
        <v>2.78993</v>
      </c>
      <c r="G3002" s="2">
        <v>0</v>
      </c>
      <c r="H3002" s="2">
        <v>10.0002</v>
      </c>
      <c r="I3002" s="2">
        <v>0</v>
      </c>
      <c r="J3002" s="2">
        <v>0</v>
      </c>
    </row>
    <row r="3003" spans="1:10">
      <c r="A3003" s="2" t="s">
        <v>148</v>
      </c>
      <c r="B3003" s="2" t="s">
        <v>98</v>
      </c>
      <c r="C3003" s="2">
        <v>0.194942</v>
      </c>
      <c r="D3003" s="60">
        <v>0</v>
      </c>
      <c r="E3003" s="2">
        <v>17.352699999999999</v>
      </c>
      <c r="F3003" s="2">
        <v>6.8569599999999999</v>
      </c>
      <c r="G3003" s="2">
        <v>10.0002</v>
      </c>
      <c r="H3003" s="2">
        <v>26.989799999999999</v>
      </c>
      <c r="I3003" s="2">
        <v>0</v>
      </c>
      <c r="J3003" s="2">
        <v>0</v>
      </c>
    </row>
    <row r="3004" spans="1:10">
      <c r="A3004" s="2" t="s">
        <v>148</v>
      </c>
      <c r="B3004" s="2" t="s">
        <v>101</v>
      </c>
      <c r="C3004" s="2">
        <v>6.6248899999999999E-2</v>
      </c>
      <c r="D3004" s="60">
        <v>0</v>
      </c>
      <c r="E3004" s="2">
        <v>16.3</v>
      </c>
      <c r="F3004" s="2">
        <v>1.05267</v>
      </c>
      <c r="G3004" s="2">
        <v>26.989799999999999</v>
      </c>
      <c r="H3004" s="2">
        <v>29.5946</v>
      </c>
      <c r="I3004" s="2">
        <v>0</v>
      </c>
      <c r="J3004" s="2">
        <v>0</v>
      </c>
    </row>
    <row r="3005" spans="1:10">
      <c r="A3005" s="2" t="s">
        <v>148</v>
      </c>
      <c r="B3005" s="2" t="s">
        <v>62</v>
      </c>
      <c r="C3005" s="2">
        <v>0.37110599999999999</v>
      </c>
      <c r="D3005" s="60">
        <v>29.688400000000001</v>
      </c>
      <c r="E3005" s="2">
        <v>12.3</v>
      </c>
      <c r="F3005" s="2">
        <v>4</v>
      </c>
      <c r="G3005" s="2">
        <v>29.5946</v>
      </c>
      <c r="H3005" s="2">
        <v>38.694299999999998</v>
      </c>
      <c r="I3005" s="2">
        <v>0</v>
      </c>
      <c r="J3005" s="2">
        <v>0</v>
      </c>
    </row>
    <row r="3006" spans="1:10">
      <c r="A3006" s="2" t="s">
        <v>148</v>
      </c>
      <c r="B3006" s="2" t="s">
        <v>59</v>
      </c>
      <c r="C3006" s="2">
        <v>0.569936</v>
      </c>
      <c r="D3006" s="60">
        <v>56.993600000000001</v>
      </c>
      <c r="E3006" s="2">
        <v>8.3000000000000007</v>
      </c>
      <c r="F3006" s="2">
        <v>4</v>
      </c>
      <c r="G3006" s="2">
        <v>38.694299999999998</v>
      </c>
      <c r="H3006" s="2">
        <v>46.083100000000002</v>
      </c>
      <c r="I3006" s="2">
        <v>0</v>
      </c>
      <c r="J3006" s="2">
        <v>0</v>
      </c>
    </row>
    <row r="3007" spans="1:10">
      <c r="A3007" s="2" t="s">
        <v>148</v>
      </c>
      <c r="B3007" s="2" t="s">
        <v>58</v>
      </c>
      <c r="C3007" s="2">
        <v>0.758795</v>
      </c>
      <c r="D3007" s="60">
        <v>79.673500000000004</v>
      </c>
      <c r="E3007" s="2">
        <v>4.3</v>
      </c>
      <c r="F3007" s="2">
        <v>4</v>
      </c>
      <c r="G3007" s="2">
        <v>46.083100000000002</v>
      </c>
      <c r="H3007" s="2">
        <v>52.010199999999998</v>
      </c>
      <c r="I3007" s="2">
        <v>0</v>
      </c>
      <c r="J3007" s="2">
        <v>0</v>
      </c>
    </row>
    <row r="3008" spans="1:10">
      <c r="A3008" s="2" t="s">
        <v>148</v>
      </c>
      <c r="B3008" s="2" t="s">
        <v>62</v>
      </c>
      <c r="C3008" s="2">
        <v>1.00145</v>
      </c>
      <c r="D3008" s="60">
        <v>80.116100000000003</v>
      </c>
      <c r="E3008" s="2">
        <v>0.3</v>
      </c>
      <c r="F3008" s="2">
        <v>4</v>
      </c>
      <c r="G3008" s="2">
        <v>52.010199999999998</v>
      </c>
      <c r="H3008" s="2">
        <v>65.052899999999994</v>
      </c>
      <c r="I3008" s="2">
        <v>0</v>
      </c>
      <c r="J3008" s="2">
        <v>0</v>
      </c>
    </row>
    <row r="3009" spans="1:10">
      <c r="A3009" s="2" t="s">
        <v>138</v>
      </c>
      <c r="B3009" s="2">
        <v>12</v>
      </c>
      <c r="C3009" s="2">
        <v>19.687200000000001</v>
      </c>
      <c r="D3009" s="60" t="s">
        <v>129</v>
      </c>
      <c r="E3009" s="2" t="s">
        <v>139</v>
      </c>
    </row>
    <row r="3010" spans="1:10">
      <c r="A3010" s="2" t="s">
        <v>140</v>
      </c>
      <c r="B3010" s="2">
        <v>0</v>
      </c>
      <c r="C3010" s="2">
        <v>57.181199999999997</v>
      </c>
      <c r="D3010" s="60">
        <v>29.4543</v>
      </c>
    </row>
    <row r="3011" spans="1:10">
      <c r="A3011" s="2" t="s">
        <v>141</v>
      </c>
      <c r="B3011" s="2">
        <v>0</v>
      </c>
      <c r="C3011" s="2">
        <v>1</v>
      </c>
      <c r="D3011" s="60" t="s">
        <v>155</v>
      </c>
    </row>
    <row r="3012" spans="1:10">
      <c r="A3012" s="2" t="s">
        <v>141</v>
      </c>
      <c r="B3012" s="2">
        <v>0</v>
      </c>
      <c r="C3012" s="2">
        <v>6.3</v>
      </c>
      <c r="D3012" s="60" t="s">
        <v>142</v>
      </c>
    </row>
    <row r="3013" spans="1:10">
      <c r="A3013" s="2" t="s">
        <v>141</v>
      </c>
      <c r="B3013" s="2">
        <v>1</v>
      </c>
      <c r="C3013" s="2">
        <v>23.3</v>
      </c>
      <c r="D3013" s="60" t="s">
        <v>146</v>
      </c>
    </row>
    <row r="3014" spans="1:10">
      <c r="A3014" s="2" t="s">
        <v>141</v>
      </c>
      <c r="B3014" s="2">
        <v>6.3</v>
      </c>
      <c r="C3014" s="2">
        <v>9.3000000000000007</v>
      </c>
      <c r="D3014" s="60" t="s">
        <v>144</v>
      </c>
    </row>
    <row r="3015" spans="1:10">
      <c r="A3015" s="2" t="s">
        <v>141</v>
      </c>
      <c r="B3015" s="2">
        <v>9.3000000000000007</v>
      </c>
      <c r="C3015" s="2">
        <v>10.8</v>
      </c>
      <c r="D3015" s="60" t="s">
        <v>145</v>
      </c>
    </row>
    <row r="3016" spans="1:10">
      <c r="A3016" s="2" t="s">
        <v>141</v>
      </c>
      <c r="B3016" s="2">
        <v>10.8</v>
      </c>
      <c r="C3016" s="2">
        <v>15.4</v>
      </c>
      <c r="D3016" s="60" t="s">
        <v>147</v>
      </c>
    </row>
    <row r="3017" spans="1:10">
      <c r="A3017" s="2" t="s">
        <v>141</v>
      </c>
      <c r="B3017" s="2">
        <v>15.4</v>
      </c>
      <c r="C3017" s="2">
        <v>23.3</v>
      </c>
      <c r="D3017" s="60" t="s">
        <v>144</v>
      </c>
    </row>
    <row r="3018" spans="1:10">
      <c r="A3018" s="2" t="s">
        <v>148</v>
      </c>
      <c r="B3018" s="2" t="s">
        <v>99</v>
      </c>
      <c r="C3018" s="2">
        <v>7.6988799999999996E-2</v>
      </c>
      <c r="D3018" s="60">
        <v>0</v>
      </c>
      <c r="E3018" s="2">
        <v>0</v>
      </c>
      <c r="F3018" s="2">
        <v>0.3</v>
      </c>
      <c r="G3018" s="2">
        <v>55.929900000000004</v>
      </c>
      <c r="H3018" s="2">
        <v>58.480800000000002</v>
      </c>
      <c r="I3018" s="2">
        <v>0</v>
      </c>
      <c r="J3018" s="2">
        <v>0</v>
      </c>
    </row>
    <row r="3019" spans="1:10">
      <c r="A3019" s="2" t="s">
        <v>148</v>
      </c>
      <c r="B3019" s="2" t="s">
        <v>100</v>
      </c>
      <c r="C3019" s="2">
        <v>1.33288E-2</v>
      </c>
      <c r="D3019" s="60">
        <v>0</v>
      </c>
      <c r="E3019" s="2">
        <v>25.633400000000002</v>
      </c>
      <c r="F3019" s="2">
        <v>3.8208600000000001</v>
      </c>
      <c r="G3019" s="2">
        <v>0</v>
      </c>
      <c r="H3019" s="2">
        <v>10</v>
      </c>
      <c r="I3019" s="2">
        <v>0</v>
      </c>
      <c r="J3019" s="2">
        <v>0</v>
      </c>
    </row>
    <row r="3020" spans="1:10">
      <c r="A3020" s="2" t="s">
        <v>148</v>
      </c>
      <c r="B3020" s="2" t="s">
        <v>98</v>
      </c>
      <c r="C3020" s="2">
        <v>1.5104899999999999E-2</v>
      </c>
      <c r="D3020" s="60">
        <v>0</v>
      </c>
      <c r="E3020" s="2">
        <v>24.1568</v>
      </c>
      <c r="F3020" s="2">
        <v>1.47668</v>
      </c>
      <c r="G3020" s="2">
        <v>10</v>
      </c>
      <c r="H3020" s="2">
        <v>12.7843</v>
      </c>
      <c r="I3020" s="2">
        <v>0</v>
      </c>
      <c r="J3020" s="2">
        <v>0</v>
      </c>
    </row>
    <row r="3021" spans="1:10">
      <c r="A3021" s="2" t="s">
        <v>148</v>
      </c>
      <c r="B3021" s="2" t="s">
        <v>101</v>
      </c>
      <c r="C3021" s="2">
        <v>3.3345E-2</v>
      </c>
      <c r="D3021" s="60">
        <v>0</v>
      </c>
      <c r="E3021" s="2">
        <v>22.2</v>
      </c>
      <c r="F3021" s="2">
        <v>1.9567600000000001</v>
      </c>
      <c r="G3021" s="2">
        <v>12.7843</v>
      </c>
      <c r="H3021" s="2">
        <v>16.6145</v>
      </c>
      <c r="I3021" s="2">
        <v>0</v>
      </c>
      <c r="J3021" s="2">
        <v>0</v>
      </c>
    </row>
    <row r="3022" spans="1:10">
      <c r="A3022" s="2" t="s">
        <v>148</v>
      </c>
      <c r="B3022" s="2" t="s">
        <v>61</v>
      </c>
      <c r="C3022" s="2">
        <v>0.13492599999999999</v>
      </c>
      <c r="D3022" s="60">
        <v>11.4687</v>
      </c>
      <c r="E3022" s="2">
        <v>18.2</v>
      </c>
      <c r="F3022" s="2">
        <v>4</v>
      </c>
      <c r="G3022" s="2">
        <v>16.6145</v>
      </c>
      <c r="H3022" s="2">
        <v>24.545000000000002</v>
      </c>
      <c r="I3022" s="2">
        <v>0</v>
      </c>
      <c r="J3022" s="2">
        <v>0</v>
      </c>
    </row>
    <row r="3023" spans="1:10">
      <c r="A3023" s="2" t="s">
        <v>148</v>
      </c>
      <c r="B3023" s="2" t="s">
        <v>63</v>
      </c>
      <c r="C3023" s="2">
        <v>0.25264700000000001</v>
      </c>
      <c r="D3023" s="60">
        <v>17.685300000000002</v>
      </c>
      <c r="E3023" s="2">
        <v>14.2</v>
      </c>
      <c r="F3023" s="2">
        <v>4</v>
      </c>
      <c r="G3023" s="2">
        <v>24.545000000000002</v>
      </c>
      <c r="H3023" s="2">
        <v>31.848500000000001</v>
      </c>
      <c r="I3023" s="2">
        <v>0</v>
      </c>
      <c r="J3023" s="2">
        <v>0</v>
      </c>
    </row>
    <row r="3024" spans="1:10">
      <c r="A3024" s="2" t="s">
        <v>148</v>
      </c>
      <c r="B3024" s="2" t="s">
        <v>59</v>
      </c>
      <c r="C3024" s="2">
        <v>0.38615899999999997</v>
      </c>
      <c r="D3024" s="60">
        <v>38.615900000000003</v>
      </c>
      <c r="E3024" s="2">
        <v>10.199999999999999</v>
      </c>
      <c r="F3024" s="2">
        <v>4</v>
      </c>
      <c r="G3024" s="2">
        <v>31.848500000000001</v>
      </c>
      <c r="H3024" s="2">
        <v>37.963099999999997</v>
      </c>
      <c r="I3024" s="2">
        <v>0</v>
      </c>
      <c r="J3024" s="2">
        <v>0</v>
      </c>
    </row>
    <row r="3025" spans="1:10">
      <c r="A3025" s="2" t="s">
        <v>148</v>
      </c>
      <c r="B3025" s="2" t="s">
        <v>59</v>
      </c>
      <c r="C3025" s="2">
        <v>0.515899</v>
      </c>
      <c r="D3025" s="60">
        <v>51.5899</v>
      </c>
      <c r="E3025" s="2">
        <v>6.2</v>
      </c>
      <c r="F3025" s="2">
        <v>4</v>
      </c>
      <c r="G3025" s="2">
        <v>37.963099999999997</v>
      </c>
      <c r="H3025" s="2">
        <v>42.867899999999999</v>
      </c>
      <c r="I3025" s="2">
        <v>0</v>
      </c>
      <c r="J3025" s="2">
        <v>0</v>
      </c>
    </row>
    <row r="3026" spans="1:10">
      <c r="A3026" s="2" t="s">
        <v>148</v>
      </c>
      <c r="B3026" s="2" t="s">
        <v>55</v>
      </c>
      <c r="C3026" s="2">
        <v>0.87625699999999995</v>
      </c>
      <c r="D3026" s="60">
        <v>127.057</v>
      </c>
      <c r="E3026" s="2">
        <v>1</v>
      </c>
      <c r="F3026" s="2">
        <v>5.2</v>
      </c>
      <c r="G3026" s="2">
        <v>42.867899999999999</v>
      </c>
      <c r="H3026" s="2">
        <v>51.802999999999997</v>
      </c>
      <c r="I3026" s="2">
        <v>0</v>
      </c>
      <c r="J3026" s="2">
        <v>0</v>
      </c>
    </row>
    <row r="3027" spans="1:10">
      <c r="A3027" s="2" t="s">
        <v>148</v>
      </c>
      <c r="B3027" s="2" t="s">
        <v>101</v>
      </c>
      <c r="C3027" s="2">
        <v>0.15854299999999999</v>
      </c>
      <c r="D3027" s="60">
        <v>0</v>
      </c>
      <c r="E3027" s="2">
        <v>0.3</v>
      </c>
      <c r="F3027" s="2">
        <v>0.7</v>
      </c>
      <c r="G3027" s="2">
        <v>51.802999999999997</v>
      </c>
      <c r="H3027" s="2">
        <v>55.929900000000004</v>
      </c>
      <c r="I3027" s="2">
        <v>0</v>
      </c>
      <c r="J3027" s="2">
        <v>0</v>
      </c>
    </row>
    <row r="3028" spans="1:10">
      <c r="A3028" s="2" t="s">
        <v>138</v>
      </c>
      <c r="B3028" s="2">
        <v>13</v>
      </c>
      <c r="C3028" s="2">
        <v>19.538699999999999</v>
      </c>
      <c r="D3028" s="60" t="s">
        <v>129</v>
      </c>
      <c r="E3028" s="2" t="s">
        <v>149</v>
      </c>
    </row>
    <row r="3029" spans="1:10">
      <c r="A3029" s="2" t="s">
        <v>140</v>
      </c>
      <c r="B3029" s="2">
        <v>0</v>
      </c>
      <c r="C3029" s="2">
        <v>53.140900000000002</v>
      </c>
      <c r="D3029" s="60">
        <v>26.451899999999998</v>
      </c>
    </row>
    <row r="3030" spans="1:10">
      <c r="A3030" s="2" t="s">
        <v>141</v>
      </c>
      <c r="B3030" s="2">
        <v>0</v>
      </c>
      <c r="C3030" s="2">
        <v>6.9</v>
      </c>
      <c r="D3030" s="60" t="s">
        <v>142</v>
      </c>
    </row>
    <row r="3031" spans="1:10">
      <c r="A3031" s="2" t="s">
        <v>141</v>
      </c>
      <c r="B3031" s="2">
        <v>0</v>
      </c>
      <c r="C3031" s="2">
        <v>12.1</v>
      </c>
      <c r="D3031" s="60" t="s">
        <v>146</v>
      </c>
    </row>
    <row r="3032" spans="1:10">
      <c r="A3032" s="2" t="s">
        <v>141</v>
      </c>
      <c r="B3032" s="2">
        <v>6.9</v>
      </c>
      <c r="C3032" s="2">
        <v>9.6999999999999993</v>
      </c>
      <c r="D3032" s="60" t="s">
        <v>145</v>
      </c>
    </row>
    <row r="3033" spans="1:10">
      <c r="A3033" s="2" t="s">
        <v>141</v>
      </c>
      <c r="B3033" s="2">
        <v>9.6999999999999993</v>
      </c>
      <c r="C3033" s="2">
        <v>12.1</v>
      </c>
      <c r="D3033" s="60" t="s">
        <v>147</v>
      </c>
    </row>
    <row r="3034" spans="1:10">
      <c r="A3034" s="2" t="s">
        <v>141</v>
      </c>
      <c r="B3034" s="2">
        <v>12.1</v>
      </c>
      <c r="C3034" s="2">
        <v>13</v>
      </c>
      <c r="D3034" s="60" t="s">
        <v>151</v>
      </c>
    </row>
    <row r="3035" spans="1:10">
      <c r="A3035" s="2" t="s">
        <v>141</v>
      </c>
      <c r="B3035" s="2">
        <v>12.1</v>
      </c>
      <c r="C3035" s="2">
        <v>13</v>
      </c>
      <c r="D3035" s="60" t="s">
        <v>159</v>
      </c>
    </row>
    <row r="3036" spans="1:10">
      <c r="A3036" s="2" t="s">
        <v>141</v>
      </c>
      <c r="B3036" s="2">
        <v>13</v>
      </c>
      <c r="C3036" s="2">
        <v>15</v>
      </c>
      <c r="D3036" s="60" t="s">
        <v>145</v>
      </c>
    </row>
    <row r="3037" spans="1:10">
      <c r="A3037" s="2" t="s">
        <v>141</v>
      </c>
      <c r="B3037" s="2">
        <v>13</v>
      </c>
      <c r="C3037" s="2">
        <v>15</v>
      </c>
      <c r="D3037" s="60" t="s">
        <v>146</v>
      </c>
    </row>
    <row r="3038" spans="1:10">
      <c r="A3038" s="2" t="s">
        <v>141</v>
      </c>
      <c r="B3038" s="2">
        <v>15</v>
      </c>
      <c r="C3038" s="2">
        <v>15.5</v>
      </c>
      <c r="D3038" s="60" t="s">
        <v>151</v>
      </c>
    </row>
    <row r="3039" spans="1:10">
      <c r="A3039" s="2" t="s">
        <v>141</v>
      </c>
      <c r="B3039" s="2">
        <v>15</v>
      </c>
      <c r="C3039" s="2">
        <v>15.5</v>
      </c>
      <c r="D3039" s="60" t="s">
        <v>159</v>
      </c>
    </row>
    <row r="3040" spans="1:10">
      <c r="A3040" s="2" t="s">
        <v>141</v>
      </c>
      <c r="B3040" s="2">
        <v>15.5</v>
      </c>
      <c r="C3040" s="2">
        <v>21.098400000000002</v>
      </c>
      <c r="D3040" s="60" t="s">
        <v>144</v>
      </c>
    </row>
    <row r="3041" spans="1:10">
      <c r="A3041" s="2" t="s">
        <v>141</v>
      </c>
      <c r="B3041" s="2">
        <v>15.5</v>
      </c>
      <c r="C3041" s="2">
        <v>21.098400000000002</v>
      </c>
      <c r="D3041" s="60" t="s">
        <v>146</v>
      </c>
    </row>
    <row r="3042" spans="1:10">
      <c r="A3042" s="2" t="s">
        <v>148</v>
      </c>
      <c r="B3042" s="2" t="s">
        <v>99</v>
      </c>
      <c r="C3042" s="2">
        <v>6.7068000000000003E-2</v>
      </c>
      <c r="D3042" s="60">
        <v>0</v>
      </c>
      <c r="E3042" s="2">
        <v>0</v>
      </c>
      <c r="F3042" s="2">
        <v>0.3</v>
      </c>
      <c r="G3042" s="2">
        <v>52.089300000000001</v>
      </c>
      <c r="H3042" s="2">
        <v>54.714300000000001</v>
      </c>
      <c r="I3042" s="2">
        <v>0</v>
      </c>
      <c r="J3042" s="2">
        <v>0</v>
      </c>
    </row>
    <row r="3043" spans="1:10">
      <c r="A3043" s="2" t="s">
        <v>148</v>
      </c>
      <c r="B3043" s="2" t="s">
        <v>100</v>
      </c>
      <c r="C3043" s="2">
        <v>1.29225E-2</v>
      </c>
      <c r="D3043" s="60">
        <v>0</v>
      </c>
      <c r="E3043" s="2">
        <v>22.688300000000002</v>
      </c>
      <c r="F3043" s="2">
        <v>3.7636099999999999</v>
      </c>
      <c r="G3043" s="2">
        <v>0</v>
      </c>
      <c r="H3043" s="2">
        <v>10</v>
      </c>
      <c r="I3043" s="2">
        <v>0</v>
      </c>
      <c r="J3043" s="2">
        <v>0</v>
      </c>
    </row>
    <row r="3044" spans="1:10">
      <c r="A3044" s="2" t="s">
        <v>148</v>
      </c>
      <c r="B3044" s="2" t="s">
        <v>98</v>
      </c>
      <c r="C3044" s="2">
        <v>0.30039500000000002</v>
      </c>
      <c r="D3044" s="60">
        <v>0</v>
      </c>
      <c r="E3044" s="2">
        <v>13.345800000000001</v>
      </c>
      <c r="F3044" s="2">
        <v>9.3425100000000008</v>
      </c>
      <c r="G3044" s="2">
        <v>10</v>
      </c>
      <c r="H3044" s="2">
        <v>28.736899999999999</v>
      </c>
      <c r="I3044" s="2">
        <v>0</v>
      </c>
      <c r="J3044" s="2">
        <v>0</v>
      </c>
    </row>
    <row r="3045" spans="1:10">
      <c r="A3045" s="2" t="s">
        <v>148</v>
      </c>
      <c r="B3045" s="2" t="s">
        <v>101</v>
      </c>
      <c r="C3045" s="2">
        <v>0.133743</v>
      </c>
      <c r="D3045" s="60">
        <v>0</v>
      </c>
      <c r="E3045" s="2">
        <v>11.5</v>
      </c>
      <c r="F3045" s="2">
        <v>1.8457699999999999</v>
      </c>
      <c r="G3045" s="2">
        <v>28.736899999999999</v>
      </c>
      <c r="H3045" s="2">
        <v>31.9313</v>
      </c>
      <c r="I3045" s="2">
        <v>0</v>
      </c>
      <c r="J3045" s="2">
        <v>0</v>
      </c>
    </row>
    <row r="3046" spans="1:10">
      <c r="A3046" s="2" t="s">
        <v>148</v>
      </c>
      <c r="B3046" s="2" t="s">
        <v>59</v>
      </c>
      <c r="C3046" s="2">
        <v>0.62390199999999996</v>
      </c>
      <c r="D3046" s="60">
        <v>62.3902</v>
      </c>
      <c r="E3046" s="2">
        <v>5.5</v>
      </c>
      <c r="F3046" s="2">
        <v>6</v>
      </c>
      <c r="G3046" s="2">
        <v>31.9313</v>
      </c>
      <c r="H3046" s="2">
        <v>40.186199999999999</v>
      </c>
      <c r="I3046" s="2">
        <v>0</v>
      </c>
      <c r="J3046" s="2">
        <v>0</v>
      </c>
    </row>
    <row r="3047" spans="1:10">
      <c r="A3047" s="2" t="s">
        <v>148</v>
      </c>
      <c r="B3047" s="2" t="s">
        <v>55</v>
      </c>
      <c r="C3047" s="2">
        <v>0.79830999999999996</v>
      </c>
      <c r="D3047" s="60">
        <v>115.755</v>
      </c>
      <c r="E3047" s="2">
        <v>0.3</v>
      </c>
      <c r="F3047" s="2">
        <v>5.2</v>
      </c>
      <c r="G3047" s="2">
        <v>40.186199999999999</v>
      </c>
      <c r="H3047" s="2">
        <v>52.089300000000001</v>
      </c>
      <c r="I3047" s="2">
        <v>0</v>
      </c>
      <c r="J3047" s="2">
        <v>0</v>
      </c>
    </row>
    <row r="3048" spans="1:10">
      <c r="A3048" s="2" t="s">
        <v>138</v>
      </c>
      <c r="B3048" s="2">
        <v>14</v>
      </c>
      <c r="C3048" s="2">
        <v>19.623899999999999</v>
      </c>
      <c r="D3048" s="60" t="s">
        <v>129</v>
      </c>
      <c r="E3048" s="2" t="s">
        <v>139</v>
      </c>
    </row>
    <row r="3049" spans="1:10">
      <c r="A3049" s="2" t="s">
        <v>140</v>
      </c>
      <c r="B3049" s="2">
        <v>0</v>
      </c>
      <c r="C3049" s="2">
        <v>53.866999999999997</v>
      </c>
      <c r="D3049" s="60">
        <v>29.317900000000002</v>
      </c>
    </row>
    <row r="3050" spans="1:10">
      <c r="A3050" s="2" t="s">
        <v>141</v>
      </c>
      <c r="B3050" s="2">
        <v>0</v>
      </c>
      <c r="C3050" s="2">
        <v>6.7</v>
      </c>
      <c r="D3050" s="60" t="s">
        <v>142</v>
      </c>
    </row>
    <row r="3051" spans="1:10">
      <c r="A3051" s="2" t="s">
        <v>141</v>
      </c>
      <c r="B3051" s="2">
        <v>0</v>
      </c>
      <c r="C3051" s="2">
        <v>15.9</v>
      </c>
      <c r="D3051" s="60" t="s">
        <v>146</v>
      </c>
    </row>
    <row r="3052" spans="1:10">
      <c r="A3052" s="2" t="s">
        <v>141</v>
      </c>
      <c r="B3052" s="2">
        <v>6.7</v>
      </c>
      <c r="C3052" s="2">
        <v>10.5</v>
      </c>
      <c r="D3052" s="60" t="s">
        <v>145</v>
      </c>
    </row>
    <row r="3053" spans="1:10">
      <c r="A3053" s="2" t="s">
        <v>141</v>
      </c>
      <c r="B3053" s="2">
        <v>10.5</v>
      </c>
      <c r="C3053" s="2">
        <v>11</v>
      </c>
      <c r="D3053" s="60" t="s">
        <v>151</v>
      </c>
    </row>
    <row r="3054" spans="1:10">
      <c r="A3054" s="2" t="s">
        <v>141</v>
      </c>
      <c r="B3054" s="2">
        <v>11</v>
      </c>
      <c r="C3054" s="2">
        <v>15.9</v>
      </c>
      <c r="D3054" s="60" t="s">
        <v>145</v>
      </c>
    </row>
    <row r="3055" spans="1:10">
      <c r="A3055" s="2" t="s">
        <v>141</v>
      </c>
      <c r="B3055" s="2">
        <v>15.9</v>
      </c>
      <c r="C3055" s="2">
        <v>16.2</v>
      </c>
      <c r="D3055" s="60" t="s">
        <v>153</v>
      </c>
    </row>
    <row r="3056" spans="1:10">
      <c r="A3056" s="2" t="s">
        <v>141</v>
      </c>
      <c r="B3056" s="2">
        <v>15.9</v>
      </c>
      <c r="C3056" s="2">
        <v>16.2</v>
      </c>
      <c r="D3056" s="60" t="s">
        <v>154</v>
      </c>
    </row>
    <row r="3057" spans="1:10">
      <c r="A3057" s="2" t="s">
        <v>141</v>
      </c>
      <c r="B3057" s="2">
        <v>15.9</v>
      </c>
      <c r="C3057" s="2">
        <v>23.2</v>
      </c>
      <c r="D3057" s="60" t="s">
        <v>144</v>
      </c>
    </row>
    <row r="3058" spans="1:10">
      <c r="A3058" s="2" t="s">
        <v>141</v>
      </c>
      <c r="B3058" s="2">
        <v>15.9</v>
      </c>
      <c r="C3058" s="2">
        <v>23.2</v>
      </c>
      <c r="D3058" s="60" t="s">
        <v>152</v>
      </c>
    </row>
    <row r="3059" spans="1:10">
      <c r="A3059" s="2" t="s">
        <v>156</v>
      </c>
      <c r="B3059" s="2">
        <v>15.9</v>
      </c>
      <c r="C3059" s="2">
        <v>38.4831</v>
      </c>
    </row>
    <row r="3060" spans="1:10">
      <c r="A3060" s="2" t="s">
        <v>148</v>
      </c>
      <c r="B3060" s="2" t="s">
        <v>99</v>
      </c>
      <c r="C3060" s="2">
        <v>6.9161899999999998E-2</v>
      </c>
      <c r="D3060" s="60">
        <v>0</v>
      </c>
      <c r="E3060" s="2">
        <v>0</v>
      </c>
      <c r="F3060" s="2">
        <v>0.3</v>
      </c>
      <c r="G3060" s="2">
        <v>53.006</v>
      </c>
      <c r="H3060" s="2">
        <v>55.433999999999997</v>
      </c>
      <c r="I3060" s="2">
        <v>0</v>
      </c>
      <c r="J3060" s="2">
        <v>0</v>
      </c>
    </row>
    <row r="3061" spans="1:10">
      <c r="A3061" s="2" t="s">
        <v>148</v>
      </c>
      <c r="B3061" s="2" t="s">
        <v>100</v>
      </c>
      <c r="C3061" s="2">
        <v>1.9274599999999999E-2</v>
      </c>
      <c r="D3061" s="60">
        <v>0</v>
      </c>
      <c r="E3061" s="2">
        <v>23.2882</v>
      </c>
      <c r="F3061" s="2">
        <v>6.0297400000000003</v>
      </c>
      <c r="G3061" s="2">
        <v>0</v>
      </c>
      <c r="H3061" s="2">
        <v>10</v>
      </c>
      <c r="I3061" s="2">
        <v>0</v>
      </c>
      <c r="J3061" s="2">
        <v>0</v>
      </c>
    </row>
    <row r="3062" spans="1:10">
      <c r="A3062" s="2" t="s">
        <v>148</v>
      </c>
      <c r="B3062" s="2" t="s">
        <v>98</v>
      </c>
      <c r="C3062" s="2">
        <v>7.5606499999999993E-2</v>
      </c>
      <c r="D3062" s="60">
        <v>0</v>
      </c>
      <c r="E3062" s="2">
        <v>18.178599999999999</v>
      </c>
      <c r="F3062" s="2">
        <v>5.1096300000000001</v>
      </c>
      <c r="G3062" s="2">
        <v>10</v>
      </c>
      <c r="H3062" s="2">
        <v>17.1312</v>
      </c>
      <c r="I3062" s="2">
        <v>0</v>
      </c>
      <c r="J3062" s="2">
        <v>0</v>
      </c>
    </row>
    <row r="3063" spans="1:10">
      <c r="A3063" s="2" t="s">
        <v>148</v>
      </c>
      <c r="B3063" s="2" t="s">
        <v>101</v>
      </c>
      <c r="C3063" s="2">
        <v>0.117906</v>
      </c>
      <c r="D3063" s="60">
        <v>0</v>
      </c>
      <c r="E3063" s="2">
        <v>15</v>
      </c>
      <c r="F3063" s="2">
        <v>3.1785600000000001</v>
      </c>
      <c r="G3063" s="2">
        <v>17.1312</v>
      </c>
      <c r="H3063" s="2">
        <v>28.7683</v>
      </c>
      <c r="I3063" s="2">
        <v>0</v>
      </c>
      <c r="J3063" s="2">
        <v>0</v>
      </c>
    </row>
    <row r="3064" spans="1:10">
      <c r="A3064" s="2" t="s">
        <v>148</v>
      </c>
      <c r="B3064" s="2" t="s">
        <v>60</v>
      </c>
      <c r="C3064" s="2">
        <v>0.320967</v>
      </c>
      <c r="D3064" s="60">
        <v>28.887</v>
      </c>
      <c r="E3064" s="2">
        <v>11</v>
      </c>
      <c r="F3064" s="2">
        <v>4</v>
      </c>
      <c r="G3064" s="2">
        <v>28.7683</v>
      </c>
      <c r="H3064" s="2">
        <v>34.856299999999997</v>
      </c>
      <c r="I3064" s="2">
        <v>0</v>
      </c>
      <c r="J3064" s="2">
        <v>0</v>
      </c>
    </row>
    <row r="3065" spans="1:10">
      <c r="A3065" s="2" t="s">
        <v>148</v>
      </c>
      <c r="B3065" s="2" t="s">
        <v>101</v>
      </c>
      <c r="C3065" s="2">
        <v>5.8594500000000001E-2</v>
      </c>
      <c r="D3065" s="60">
        <v>0</v>
      </c>
      <c r="E3065" s="2">
        <v>10.4</v>
      </c>
      <c r="F3065" s="2">
        <v>0.6</v>
      </c>
      <c r="G3065" s="2">
        <v>34.856299999999997</v>
      </c>
      <c r="H3065" s="2">
        <v>35.6616</v>
      </c>
      <c r="I3065" s="2">
        <v>0</v>
      </c>
      <c r="J3065" s="2">
        <v>0</v>
      </c>
    </row>
    <row r="3066" spans="1:10">
      <c r="A3066" s="2" t="s">
        <v>148</v>
      </c>
      <c r="B3066" s="2" t="s">
        <v>59</v>
      </c>
      <c r="C3066" s="2">
        <v>0.45683499999999999</v>
      </c>
      <c r="D3066" s="60">
        <v>45.683500000000002</v>
      </c>
      <c r="E3066" s="2">
        <v>6.4</v>
      </c>
      <c r="F3066" s="2">
        <v>4</v>
      </c>
      <c r="G3066" s="2">
        <v>35.6616</v>
      </c>
      <c r="H3066" s="2">
        <v>40.389699999999998</v>
      </c>
      <c r="I3066" s="2">
        <v>0</v>
      </c>
      <c r="J3066" s="2">
        <v>0</v>
      </c>
    </row>
    <row r="3067" spans="1:10">
      <c r="A3067" s="2" t="s">
        <v>148</v>
      </c>
      <c r="B3067" s="2" t="s">
        <v>55</v>
      </c>
      <c r="C3067" s="2">
        <v>0.95465299999999997</v>
      </c>
      <c r="D3067" s="60">
        <v>138.42500000000001</v>
      </c>
      <c r="E3067" s="2">
        <v>0.3</v>
      </c>
      <c r="F3067" s="2">
        <v>6.1</v>
      </c>
      <c r="G3067" s="2">
        <v>40.389699999999998</v>
      </c>
      <c r="H3067" s="2">
        <v>53.006</v>
      </c>
      <c r="I3067" s="2">
        <v>0</v>
      </c>
      <c r="J3067" s="2">
        <v>0</v>
      </c>
    </row>
    <row r="3068" spans="1:10">
      <c r="A3068" s="2" t="s">
        <v>140</v>
      </c>
      <c r="B3068" s="2">
        <v>1</v>
      </c>
      <c r="C3068" s="2">
        <v>29.4331</v>
      </c>
      <c r="D3068" s="60">
        <v>29.317900000000002</v>
      </c>
      <c r="E3068" s="2">
        <v>15.9</v>
      </c>
    </row>
    <row r="3069" spans="1:10">
      <c r="A3069" s="2" t="s">
        <v>141</v>
      </c>
      <c r="B3069" s="2">
        <v>15.9</v>
      </c>
      <c r="C3069" s="2">
        <v>16.2</v>
      </c>
      <c r="D3069" s="60" t="s">
        <v>153</v>
      </c>
    </row>
    <row r="3070" spans="1:10">
      <c r="A3070" s="2" t="s">
        <v>141</v>
      </c>
      <c r="B3070" s="2">
        <v>15.9</v>
      </c>
      <c r="C3070" s="2">
        <v>23.2</v>
      </c>
      <c r="D3070" s="60" t="s">
        <v>144</v>
      </c>
    </row>
    <row r="3071" spans="1:10">
      <c r="A3071" s="2" t="s">
        <v>141</v>
      </c>
      <c r="B3071" s="2">
        <v>15.9</v>
      </c>
      <c r="C3071" s="2">
        <v>23.2</v>
      </c>
      <c r="D3071" s="60" t="s">
        <v>152</v>
      </c>
    </row>
    <row r="3072" spans="1:10">
      <c r="A3072" s="2" t="s">
        <v>148</v>
      </c>
      <c r="B3072" s="2" t="s">
        <v>100</v>
      </c>
      <c r="C3072" s="2">
        <v>2.4162699999999999E-2</v>
      </c>
      <c r="D3072" s="60">
        <v>0</v>
      </c>
      <c r="E3072" s="2">
        <v>21.3432</v>
      </c>
      <c r="F3072" s="2">
        <v>7.9747300000000001</v>
      </c>
      <c r="G3072" s="2">
        <v>0</v>
      </c>
      <c r="H3072" s="2">
        <v>10</v>
      </c>
      <c r="I3072" s="2">
        <v>0</v>
      </c>
      <c r="J3072" s="2">
        <v>0</v>
      </c>
    </row>
    <row r="3073" spans="1:10">
      <c r="A3073" s="2" t="s">
        <v>148</v>
      </c>
      <c r="B3073" s="2" t="s">
        <v>98</v>
      </c>
      <c r="C3073" s="2">
        <v>2.4015700000000001E-2</v>
      </c>
      <c r="D3073" s="60">
        <v>0</v>
      </c>
      <c r="E3073" s="2">
        <v>18.965299999999999</v>
      </c>
      <c r="F3073" s="2">
        <v>2.37784</v>
      </c>
      <c r="G3073" s="2">
        <v>10</v>
      </c>
      <c r="H3073" s="2">
        <v>12.6228</v>
      </c>
      <c r="I3073" s="2">
        <v>0</v>
      </c>
      <c r="J3073" s="2">
        <v>0</v>
      </c>
    </row>
    <row r="3074" spans="1:10">
      <c r="A3074" s="2" t="s">
        <v>148</v>
      </c>
      <c r="B3074" s="2" t="s">
        <v>101</v>
      </c>
      <c r="C3074" s="2">
        <v>4.9165599999999997E-2</v>
      </c>
      <c r="D3074" s="60">
        <v>0</v>
      </c>
      <c r="E3074" s="2">
        <v>15.9</v>
      </c>
      <c r="F3074" s="2">
        <v>3.06535</v>
      </c>
      <c r="G3074" s="2">
        <v>12.6228</v>
      </c>
      <c r="H3074" s="2">
        <v>15.854100000000001</v>
      </c>
      <c r="I3074" s="2">
        <v>0</v>
      </c>
      <c r="J3074" s="2">
        <v>0</v>
      </c>
    </row>
    <row r="3075" spans="1:10">
      <c r="A3075" s="2" t="s">
        <v>138</v>
      </c>
      <c r="B3075" s="2">
        <v>15</v>
      </c>
      <c r="C3075" s="2">
        <v>19.610499999999998</v>
      </c>
      <c r="D3075" s="60" t="s">
        <v>129</v>
      </c>
      <c r="E3075" s="2" t="s">
        <v>175</v>
      </c>
    </row>
    <row r="3076" spans="1:10">
      <c r="A3076" s="2" t="s">
        <v>140</v>
      </c>
      <c r="B3076" s="2">
        <v>0</v>
      </c>
      <c r="C3076" s="2">
        <v>56.033099999999997</v>
      </c>
      <c r="D3076" s="60">
        <v>26.6631</v>
      </c>
      <c r="E3076" s="2">
        <v>0</v>
      </c>
      <c r="F3076" s="2">
        <v>18.3</v>
      </c>
    </row>
    <row r="3077" spans="1:10">
      <c r="A3077" s="2" t="s">
        <v>141</v>
      </c>
      <c r="B3077" s="2">
        <v>0</v>
      </c>
      <c r="C3077" s="2">
        <v>6.6</v>
      </c>
      <c r="D3077" s="60" t="s">
        <v>142</v>
      </c>
    </row>
    <row r="3078" spans="1:10">
      <c r="A3078" s="2" t="s">
        <v>141</v>
      </c>
      <c r="B3078" s="2">
        <v>0</v>
      </c>
      <c r="C3078" s="2">
        <v>13.3</v>
      </c>
      <c r="D3078" s="60" t="s">
        <v>146</v>
      </c>
    </row>
    <row r="3079" spans="1:10">
      <c r="A3079" s="2" t="s">
        <v>141</v>
      </c>
      <c r="B3079" s="2">
        <v>6.6</v>
      </c>
      <c r="C3079" s="2">
        <v>11</v>
      </c>
      <c r="D3079" s="60" t="s">
        <v>144</v>
      </c>
    </row>
    <row r="3080" spans="1:10">
      <c r="A3080" s="2" t="s">
        <v>141</v>
      </c>
      <c r="B3080" s="2">
        <v>11</v>
      </c>
      <c r="C3080" s="2">
        <v>13.3</v>
      </c>
      <c r="D3080" s="60" t="s">
        <v>147</v>
      </c>
    </row>
    <row r="3081" spans="1:10">
      <c r="A3081" s="2" t="s">
        <v>141</v>
      </c>
      <c r="B3081" s="2">
        <v>13.3</v>
      </c>
      <c r="C3081" s="2">
        <v>13.8</v>
      </c>
      <c r="D3081" s="60" t="s">
        <v>159</v>
      </c>
    </row>
    <row r="3082" spans="1:10">
      <c r="A3082" s="2" t="s">
        <v>141</v>
      </c>
      <c r="B3082" s="2">
        <v>13.3</v>
      </c>
      <c r="C3082" s="2">
        <v>21.253299999999999</v>
      </c>
      <c r="D3082" s="60" t="s">
        <v>144</v>
      </c>
    </row>
    <row r="3083" spans="1:10">
      <c r="A3083" s="2" t="s">
        <v>141</v>
      </c>
      <c r="B3083" s="2">
        <v>13.8</v>
      </c>
      <c r="C3083" s="2">
        <v>15</v>
      </c>
      <c r="D3083" s="60" t="s">
        <v>152</v>
      </c>
    </row>
    <row r="3084" spans="1:10">
      <c r="A3084" s="2" t="s">
        <v>141</v>
      </c>
      <c r="B3084" s="2">
        <v>15</v>
      </c>
      <c r="C3084" s="2">
        <v>21.253299999999999</v>
      </c>
      <c r="D3084" s="60" t="s">
        <v>146</v>
      </c>
    </row>
    <row r="3085" spans="1:10">
      <c r="A3085" s="2" t="s">
        <v>148</v>
      </c>
      <c r="B3085" s="2" t="s">
        <v>99</v>
      </c>
      <c r="C3085" s="2">
        <v>7.3780499999999999E-2</v>
      </c>
      <c r="D3085" s="60">
        <v>0</v>
      </c>
      <c r="E3085" s="2">
        <v>0</v>
      </c>
      <c r="F3085" s="2">
        <v>0.3</v>
      </c>
      <c r="G3085" s="2">
        <v>54.642899999999997</v>
      </c>
      <c r="H3085" s="2">
        <v>57.376399999999997</v>
      </c>
      <c r="I3085" s="2">
        <v>0</v>
      </c>
      <c r="J3085" s="2">
        <v>0</v>
      </c>
    </row>
    <row r="3086" spans="1:10">
      <c r="A3086" s="2" t="s">
        <v>148</v>
      </c>
      <c r="B3086" s="2" t="s">
        <v>98</v>
      </c>
      <c r="C3086" s="2">
        <v>1.2768900000000001</v>
      </c>
      <c r="D3086" s="60">
        <v>0</v>
      </c>
      <c r="E3086" s="2">
        <v>4.2268400000000002</v>
      </c>
      <c r="F3086" s="2">
        <v>14.0732</v>
      </c>
      <c r="G3086" s="2">
        <v>20.185300000000002</v>
      </c>
      <c r="H3086" s="2">
        <v>43.735399999999998</v>
      </c>
      <c r="I3086" s="2">
        <v>0</v>
      </c>
      <c r="J3086" s="2">
        <v>0</v>
      </c>
    </row>
    <row r="3087" spans="1:10">
      <c r="A3087" s="2" t="s">
        <v>148</v>
      </c>
      <c r="B3087" s="2" t="s">
        <v>101</v>
      </c>
      <c r="C3087" s="2">
        <v>4.0350200000000003E-3</v>
      </c>
      <c r="D3087" s="60">
        <v>0</v>
      </c>
      <c r="E3087" s="2">
        <v>4.2</v>
      </c>
      <c r="F3087" s="2">
        <v>2.68387E-2</v>
      </c>
      <c r="G3087" s="2">
        <v>43.735399999999998</v>
      </c>
      <c r="H3087" s="2">
        <v>43.768500000000003</v>
      </c>
      <c r="I3087" s="2">
        <v>0</v>
      </c>
      <c r="J3087" s="2">
        <v>0</v>
      </c>
    </row>
    <row r="3088" spans="1:10">
      <c r="A3088" s="2" t="s">
        <v>148</v>
      </c>
      <c r="B3088" s="2" t="s">
        <v>64</v>
      </c>
      <c r="C3088" s="2">
        <v>0.69069400000000003</v>
      </c>
      <c r="D3088" s="60">
        <v>20.720800000000001</v>
      </c>
      <c r="E3088" s="2">
        <v>0.3</v>
      </c>
      <c r="F3088" s="2">
        <v>3.9</v>
      </c>
      <c r="G3088" s="2">
        <v>43.768500000000003</v>
      </c>
      <c r="H3088" s="2">
        <v>54.642899999999997</v>
      </c>
      <c r="I3088" s="2">
        <v>0</v>
      </c>
      <c r="J3088" s="2">
        <v>0</v>
      </c>
    </row>
    <row r="3089" spans="1:10">
      <c r="A3089" s="2" t="s">
        <v>138</v>
      </c>
      <c r="B3089" s="2">
        <v>16</v>
      </c>
      <c r="C3089" s="2">
        <v>19.554400000000001</v>
      </c>
      <c r="D3089" s="60" t="s">
        <v>129</v>
      </c>
      <c r="E3089" s="2" t="s">
        <v>149</v>
      </c>
    </row>
    <row r="3090" spans="1:10">
      <c r="A3090" s="2" t="s">
        <v>140</v>
      </c>
      <c r="B3090" s="2">
        <v>0</v>
      </c>
      <c r="C3090" s="2">
        <v>53.722000000000001</v>
      </c>
      <c r="D3090" s="60">
        <v>26.4954</v>
      </c>
    </row>
    <row r="3091" spans="1:10">
      <c r="A3091" s="2" t="s">
        <v>141</v>
      </c>
      <c r="B3091" s="2">
        <v>0</v>
      </c>
      <c r="C3091" s="2">
        <v>6.5</v>
      </c>
      <c r="D3091" s="60" t="s">
        <v>142</v>
      </c>
    </row>
    <row r="3092" spans="1:10">
      <c r="A3092" s="2" t="s">
        <v>141</v>
      </c>
      <c r="B3092" s="2">
        <v>0</v>
      </c>
      <c r="C3092" s="2">
        <v>9.8000000000000007</v>
      </c>
      <c r="D3092" s="60" t="s">
        <v>146</v>
      </c>
    </row>
    <row r="3093" spans="1:10">
      <c r="A3093" s="2" t="s">
        <v>141</v>
      </c>
      <c r="B3093" s="2">
        <v>6.5</v>
      </c>
      <c r="C3093" s="2">
        <v>9.8000000000000007</v>
      </c>
      <c r="D3093" s="60" t="s">
        <v>145</v>
      </c>
    </row>
    <row r="3094" spans="1:10">
      <c r="A3094" s="2" t="s">
        <v>141</v>
      </c>
      <c r="B3094" s="2">
        <v>9.8000000000000007</v>
      </c>
      <c r="C3094" s="2">
        <v>10.199999999999999</v>
      </c>
      <c r="D3094" s="60" t="s">
        <v>190</v>
      </c>
    </row>
    <row r="3095" spans="1:10">
      <c r="A3095" s="2" t="s">
        <v>141</v>
      </c>
      <c r="B3095" s="2">
        <v>9.8000000000000007</v>
      </c>
      <c r="C3095" s="2">
        <v>12.5</v>
      </c>
      <c r="D3095" s="60" t="s">
        <v>155</v>
      </c>
    </row>
    <row r="3096" spans="1:10">
      <c r="A3096" s="2" t="s">
        <v>141</v>
      </c>
      <c r="B3096" s="2">
        <v>10.199999999999999</v>
      </c>
      <c r="C3096" s="2">
        <v>12.5</v>
      </c>
      <c r="D3096" s="60" t="s">
        <v>145</v>
      </c>
    </row>
    <row r="3097" spans="1:10">
      <c r="A3097" s="2" t="s">
        <v>141</v>
      </c>
      <c r="B3097" s="2">
        <v>12.5</v>
      </c>
      <c r="C3097" s="2">
        <v>12.9</v>
      </c>
      <c r="D3097" s="60" t="s">
        <v>190</v>
      </c>
    </row>
    <row r="3098" spans="1:10">
      <c r="A3098" s="2" t="s">
        <v>141</v>
      </c>
      <c r="B3098" s="2">
        <v>12.5</v>
      </c>
      <c r="C3098" s="2">
        <v>12.9</v>
      </c>
      <c r="D3098" s="60" t="s">
        <v>159</v>
      </c>
    </row>
    <row r="3099" spans="1:10">
      <c r="A3099" s="2" t="s">
        <v>141</v>
      </c>
      <c r="B3099" s="2">
        <v>12.9</v>
      </c>
      <c r="C3099" s="2">
        <v>21.130299999999998</v>
      </c>
      <c r="D3099" s="60" t="s">
        <v>144</v>
      </c>
    </row>
    <row r="3100" spans="1:10">
      <c r="A3100" s="2" t="s">
        <v>141</v>
      </c>
      <c r="B3100" s="2">
        <v>12.9</v>
      </c>
      <c r="C3100" s="2">
        <v>21.130299999999998</v>
      </c>
      <c r="D3100" s="60" t="s">
        <v>152</v>
      </c>
    </row>
    <row r="3101" spans="1:10">
      <c r="A3101" s="2" t="s">
        <v>148</v>
      </c>
      <c r="B3101" s="2" t="s">
        <v>99</v>
      </c>
      <c r="C3101" s="2">
        <v>6.8393899999999994E-2</v>
      </c>
      <c r="D3101" s="60">
        <v>0</v>
      </c>
      <c r="E3101" s="2">
        <v>0</v>
      </c>
      <c r="F3101" s="2">
        <v>0.3</v>
      </c>
      <c r="G3101" s="2">
        <v>52.603499999999997</v>
      </c>
      <c r="H3101" s="2">
        <v>55.250399999999999</v>
      </c>
      <c r="I3101" s="2">
        <v>0</v>
      </c>
      <c r="J3101" s="2">
        <v>0</v>
      </c>
    </row>
    <row r="3102" spans="1:10">
      <c r="A3102" s="2" t="s">
        <v>148</v>
      </c>
      <c r="B3102" s="2" t="s">
        <v>100</v>
      </c>
      <c r="C3102" s="2">
        <v>1.28024E-2</v>
      </c>
      <c r="D3102" s="60">
        <v>0</v>
      </c>
      <c r="E3102" s="2">
        <v>22.775500000000001</v>
      </c>
      <c r="F3102" s="2">
        <v>3.71984</v>
      </c>
      <c r="G3102" s="2">
        <v>0</v>
      </c>
      <c r="H3102" s="2">
        <v>10</v>
      </c>
      <c r="I3102" s="2">
        <v>0</v>
      </c>
      <c r="J3102" s="2">
        <v>0</v>
      </c>
    </row>
    <row r="3103" spans="1:10">
      <c r="A3103" s="2" t="s">
        <v>148</v>
      </c>
      <c r="B3103" s="2" t="s">
        <v>98</v>
      </c>
      <c r="C3103" s="2">
        <v>0.33402799999999999</v>
      </c>
      <c r="D3103" s="60">
        <v>0</v>
      </c>
      <c r="E3103" s="2">
        <v>12.972099999999999</v>
      </c>
      <c r="F3103" s="2">
        <v>9.8034499999999998</v>
      </c>
      <c r="G3103" s="2">
        <v>10</v>
      </c>
      <c r="H3103" s="2">
        <v>29.7348</v>
      </c>
      <c r="I3103" s="2">
        <v>0</v>
      </c>
      <c r="J3103" s="2">
        <v>0</v>
      </c>
    </row>
    <row r="3104" spans="1:10">
      <c r="A3104" s="2" t="s">
        <v>148</v>
      </c>
      <c r="B3104" s="2" t="s">
        <v>101</v>
      </c>
      <c r="C3104" s="2">
        <v>0.29163099999999997</v>
      </c>
      <c r="D3104" s="60">
        <v>0</v>
      </c>
      <c r="E3104" s="2">
        <v>9.5</v>
      </c>
      <c r="F3104" s="2">
        <v>3.4721000000000002</v>
      </c>
      <c r="G3104" s="2">
        <v>29.7348</v>
      </c>
      <c r="H3104" s="2">
        <v>35.395699999999998</v>
      </c>
      <c r="I3104" s="2">
        <v>0</v>
      </c>
      <c r="J3104" s="2">
        <v>0</v>
      </c>
    </row>
    <row r="3105" spans="1:10">
      <c r="A3105" s="2" t="s">
        <v>148</v>
      </c>
      <c r="B3105" s="2" t="s">
        <v>59</v>
      </c>
      <c r="C3105" s="2">
        <v>0.45655600000000002</v>
      </c>
      <c r="D3105" s="60">
        <v>45.6556</v>
      </c>
      <c r="E3105" s="2">
        <v>5.5</v>
      </c>
      <c r="F3105" s="2">
        <v>4</v>
      </c>
      <c r="G3105" s="2">
        <v>35.395699999999998</v>
      </c>
      <c r="H3105" s="2">
        <v>40.590600000000002</v>
      </c>
      <c r="I3105" s="2">
        <v>0</v>
      </c>
      <c r="J3105" s="2">
        <v>0</v>
      </c>
    </row>
    <row r="3106" spans="1:10">
      <c r="A3106" s="2" t="s">
        <v>148</v>
      </c>
      <c r="B3106" s="2" t="s">
        <v>55</v>
      </c>
      <c r="C3106" s="2">
        <v>0.81430499999999995</v>
      </c>
      <c r="D3106" s="60">
        <v>118.074</v>
      </c>
      <c r="E3106" s="2">
        <v>0.3</v>
      </c>
      <c r="F3106" s="2">
        <v>5.2</v>
      </c>
      <c r="G3106" s="2">
        <v>40.590600000000002</v>
      </c>
      <c r="H3106" s="2">
        <v>52.603499999999997</v>
      </c>
      <c r="I3106" s="2">
        <v>0</v>
      </c>
      <c r="J3106" s="2">
        <v>0</v>
      </c>
    </row>
    <row r="3107" spans="1:10">
      <c r="A3107" s="2" t="s">
        <v>138</v>
      </c>
      <c r="B3107" s="2">
        <v>18</v>
      </c>
      <c r="C3107" s="2">
        <v>19.3398</v>
      </c>
      <c r="D3107" s="60" t="s">
        <v>129</v>
      </c>
      <c r="E3107" s="2" t="s">
        <v>175</v>
      </c>
    </row>
    <row r="3108" spans="1:10">
      <c r="A3108" s="2" t="s">
        <v>140</v>
      </c>
      <c r="B3108" s="2">
        <v>0</v>
      </c>
      <c r="C3108" s="2">
        <v>47.392800000000001</v>
      </c>
      <c r="D3108" s="60">
        <v>25.991599999999998</v>
      </c>
      <c r="E3108" s="2">
        <v>0</v>
      </c>
      <c r="F3108" s="2">
        <v>10.3</v>
      </c>
    </row>
    <row r="3109" spans="1:10">
      <c r="A3109" s="2" t="s">
        <v>141</v>
      </c>
      <c r="B3109" s="2">
        <v>0</v>
      </c>
      <c r="C3109" s="2">
        <v>6.7</v>
      </c>
      <c r="D3109" s="60" t="s">
        <v>142</v>
      </c>
    </row>
    <row r="3110" spans="1:10">
      <c r="A3110" s="2" t="s">
        <v>141</v>
      </c>
      <c r="B3110" s="2">
        <v>0</v>
      </c>
      <c r="C3110" s="2">
        <v>20.760899999999999</v>
      </c>
      <c r="D3110" s="60" t="s">
        <v>146</v>
      </c>
    </row>
    <row r="3111" spans="1:10">
      <c r="A3111" s="2" t="s">
        <v>141</v>
      </c>
      <c r="B3111" s="2">
        <v>6.7</v>
      </c>
      <c r="C3111" s="2">
        <v>7</v>
      </c>
      <c r="D3111" s="60" t="s">
        <v>147</v>
      </c>
    </row>
    <row r="3112" spans="1:10">
      <c r="A3112" s="2" t="s">
        <v>141</v>
      </c>
      <c r="B3112" s="2">
        <v>7</v>
      </c>
      <c r="C3112" s="2">
        <v>9.4</v>
      </c>
      <c r="D3112" s="60" t="s">
        <v>144</v>
      </c>
    </row>
    <row r="3113" spans="1:10">
      <c r="A3113" s="2" t="s">
        <v>141</v>
      </c>
      <c r="B3113" s="2">
        <v>9.4</v>
      </c>
      <c r="C3113" s="2">
        <v>20.760899999999999</v>
      </c>
      <c r="D3113" s="60" t="s">
        <v>151</v>
      </c>
    </row>
    <row r="3114" spans="1:10">
      <c r="A3114" s="2" t="s">
        <v>148</v>
      </c>
      <c r="B3114" s="2" t="s">
        <v>99</v>
      </c>
      <c r="C3114" s="2">
        <v>5.4578700000000001E-2</v>
      </c>
      <c r="D3114" s="60">
        <v>0</v>
      </c>
      <c r="E3114" s="2">
        <v>0</v>
      </c>
      <c r="F3114" s="2">
        <v>0.3</v>
      </c>
      <c r="G3114" s="2">
        <v>46.972299999999997</v>
      </c>
      <c r="H3114" s="2">
        <v>49.378100000000003</v>
      </c>
      <c r="I3114" s="2">
        <v>0</v>
      </c>
      <c r="J3114" s="2">
        <v>0</v>
      </c>
    </row>
    <row r="3115" spans="1:10">
      <c r="A3115" s="2" t="s">
        <v>148</v>
      </c>
      <c r="B3115" s="2" t="s">
        <v>101</v>
      </c>
      <c r="C3115" s="2">
        <v>7.2363999999999996E-3</v>
      </c>
      <c r="D3115" s="60">
        <v>0</v>
      </c>
      <c r="E3115" s="2">
        <v>10.199999999999999</v>
      </c>
      <c r="F3115" s="2">
        <v>0.1</v>
      </c>
      <c r="G3115" s="2">
        <v>30.283100000000001</v>
      </c>
      <c r="H3115" s="2">
        <v>30.424800000000001</v>
      </c>
      <c r="I3115" s="2">
        <v>0</v>
      </c>
      <c r="J3115" s="2">
        <v>0</v>
      </c>
    </row>
    <row r="3116" spans="1:10">
      <c r="A3116" s="2" t="s">
        <v>148</v>
      </c>
      <c r="B3116" s="2" t="s">
        <v>62</v>
      </c>
      <c r="C3116" s="2">
        <v>0.343171</v>
      </c>
      <c r="D3116" s="60">
        <v>27.453700000000001</v>
      </c>
      <c r="E3116" s="2">
        <v>6.2</v>
      </c>
      <c r="F3116" s="2">
        <v>4</v>
      </c>
      <c r="G3116" s="2">
        <v>30.424800000000001</v>
      </c>
      <c r="H3116" s="2">
        <v>35.4039</v>
      </c>
      <c r="I3116" s="2">
        <v>0</v>
      </c>
      <c r="J3116" s="2">
        <v>0</v>
      </c>
    </row>
    <row r="3117" spans="1:10">
      <c r="A3117" s="2" t="s">
        <v>148</v>
      </c>
      <c r="B3117" s="2" t="s">
        <v>56</v>
      </c>
      <c r="C3117" s="2">
        <v>0.71823499999999996</v>
      </c>
      <c r="D3117" s="60">
        <v>100.553</v>
      </c>
      <c r="E3117" s="2">
        <v>0.3</v>
      </c>
      <c r="F3117" s="2">
        <v>5.9</v>
      </c>
      <c r="G3117" s="2">
        <v>35.4039</v>
      </c>
      <c r="H3117" s="2">
        <v>46.972299999999997</v>
      </c>
      <c r="I3117" s="2">
        <v>0</v>
      </c>
      <c r="J3117" s="2">
        <v>0</v>
      </c>
    </row>
    <row r="3118" spans="1:10">
      <c r="A3118" s="2" t="s">
        <v>138</v>
      </c>
      <c r="B3118" s="2">
        <v>19</v>
      </c>
      <c r="C3118" s="2">
        <v>19.603999999999999</v>
      </c>
      <c r="D3118" s="60" t="s">
        <v>129</v>
      </c>
      <c r="E3118" s="2" t="s">
        <v>149</v>
      </c>
    </row>
    <row r="3119" spans="1:10">
      <c r="A3119" s="2" t="s">
        <v>140</v>
      </c>
      <c r="B3119" s="2">
        <v>0</v>
      </c>
      <c r="C3119" s="2">
        <v>55.7453</v>
      </c>
      <c r="D3119" s="60">
        <v>26.642700000000001</v>
      </c>
    </row>
    <row r="3120" spans="1:10">
      <c r="A3120" s="2" t="s">
        <v>141</v>
      </c>
      <c r="B3120" s="2">
        <v>0</v>
      </c>
      <c r="C3120" s="2">
        <v>7.1</v>
      </c>
      <c r="D3120" s="60" t="s">
        <v>158</v>
      </c>
    </row>
    <row r="3121" spans="1:10">
      <c r="A3121" s="2" t="s">
        <v>141</v>
      </c>
      <c r="B3121" s="2">
        <v>0</v>
      </c>
      <c r="C3121" s="2">
        <v>10.4</v>
      </c>
      <c r="D3121" s="60" t="s">
        <v>145</v>
      </c>
    </row>
    <row r="3122" spans="1:10">
      <c r="A3122" s="2" t="s">
        <v>141</v>
      </c>
      <c r="B3122" s="2">
        <v>0</v>
      </c>
      <c r="C3122" s="2">
        <v>11.2</v>
      </c>
      <c r="D3122" s="60" t="s">
        <v>146</v>
      </c>
    </row>
    <row r="3123" spans="1:10">
      <c r="A3123" s="2" t="s">
        <v>141</v>
      </c>
      <c r="B3123" s="2">
        <v>7.1</v>
      </c>
      <c r="C3123" s="2">
        <v>7.4</v>
      </c>
      <c r="D3123" s="60" t="s">
        <v>160</v>
      </c>
    </row>
    <row r="3124" spans="1:10">
      <c r="A3124" s="2" t="s">
        <v>141</v>
      </c>
      <c r="B3124" s="2">
        <v>10.4</v>
      </c>
      <c r="C3124" s="2">
        <v>21.238299999999999</v>
      </c>
      <c r="D3124" s="60" t="s">
        <v>144</v>
      </c>
    </row>
    <row r="3125" spans="1:10">
      <c r="A3125" s="2" t="s">
        <v>141</v>
      </c>
      <c r="B3125" s="2">
        <v>11.2</v>
      </c>
      <c r="C3125" s="2">
        <v>11.5</v>
      </c>
      <c r="D3125" s="60" t="s">
        <v>153</v>
      </c>
    </row>
    <row r="3126" spans="1:10">
      <c r="A3126" s="2" t="s">
        <v>141</v>
      </c>
      <c r="B3126" s="2">
        <v>11.2</v>
      </c>
      <c r="C3126" s="2">
        <v>11.5</v>
      </c>
      <c r="D3126" s="60" t="s">
        <v>154</v>
      </c>
    </row>
    <row r="3127" spans="1:10">
      <c r="A3127" s="2" t="s">
        <v>141</v>
      </c>
      <c r="B3127" s="2">
        <v>11.2</v>
      </c>
      <c r="C3127" s="2">
        <v>21.238299999999999</v>
      </c>
      <c r="D3127" s="60" t="s">
        <v>155</v>
      </c>
    </row>
    <row r="3128" spans="1:10">
      <c r="A3128" s="2" t="s">
        <v>156</v>
      </c>
      <c r="B3128" s="2">
        <v>11.2</v>
      </c>
      <c r="C3128" s="2">
        <v>34.796599999999998</v>
      </c>
    </row>
    <row r="3129" spans="1:10">
      <c r="A3129" s="2" t="s">
        <v>148</v>
      </c>
      <c r="B3129" s="2" t="s">
        <v>99</v>
      </c>
      <c r="C3129" s="2">
        <v>7.3099899999999995E-2</v>
      </c>
      <c r="D3129" s="60">
        <v>0</v>
      </c>
      <c r="E3129" s="2">
        <v>0</v>
      </c>
      <c r="F3129" s="2">
        <v>0.3</v>
      </c>
      <c r="G3129" s="2">
        <v>54.389400000000002</v>
      </c>
      <c r="H3129" s="2">
        <v>57.112200000000001</v>
      </c>
      <c r="I3129" s="2">
        <v>0</v>
      </c>
      <c r="J3129" s="2">
        <v>0</v>
      </c>
    </row>
    <row r="3130" spans="1:10">
      <c r="A3130" s="2" t="s">
        <v>148</v>
      </c>
      <c r="B3130" s="2" t="s">
        <v>100</v>
      </c>
      <c r="C3130" s="2">
        <v>1.9099399999999999E-2</v>
      </c>
      <c r="D3130" s="60">
        <v>0</v>
      </c>
      <c r="E3130" s="2">
        <v>20.537400000000002</v>
      </c>
      <c r="F3130" s="2">
        <v>6.1053100000000002</v>
      </c>
      <c r="G3130" s="2">
        <v>0</v>
      </c>
      <c r="H3130" s="2">
        <v>10</v>
      </c>
      <c r="I3130" s="2">
        <v>0</v>
      </c>
      <c r="J3130" s="2">
        <v>0</v>
      </c>
    </row>
    <row r="3131" spans="1:10">
      <c r="A3131" s="2" t="s">
        <v>148</v>
      </c>
      <c r="B3131" s="2" t="s">
        <v>98</v>
      </c>
      <c r="C3131" s="2">
        <v>3.5888999999999997E-2</v>
      </c>
      <c r="D3131" s="60">
        <v>0</v>
      </c>
      <c r="E3131" s="2">
        <v>17.4773</v>
      </c>
      <c r="F3131" s="2">
        <v>3.06006</v>
      </c>
      <c r="G3131" s="2">
        <v>10</v>
      </c>
      <c r="H3131" s="2">
        <v>14.3126</v>
      </c>
      <c r="I3131" s="2">
        <v>0</v>
      </c>
      <c r="J3131" s="2">
        <v>0</v>
      </c>
    </row>
    <row r="3132" spans="1:10">
      <c r="A3132" s="2" t="s">
        <v>148</v>
      </c>
      <c r="B3132" s="2" t="s">
        <v>101</v>
      </c>
      <c r="C3132" s="2">
        <v>3.8268200000000002E-2</v>
      </c>
      <c r="D3132" s="60">
        <v>0</v>
      </c>
      <c r="E3132" s="2">
        <v>15.5</v>
      </c>
      <c r="F3132" s="2">
        <v>1.9773000000000001</v>
      </c>
      <c r="G3132" s="2">
        <v>14.3126</v>
      </c>
      <c r="H3132" s="2">
        <v>17.023</v>
      </c>
      <c r="I3132" s="2">
        <v>0</v>
      </c>
      <c r="J3132" s="2">
        <v>0</v>
      </c>
    </row>
    <row r="3133" spans="1:10">
      <c r="A3133" s="2" t="s">
        <v>148</v>
      </c>
      <c r="B3133" s="2" t="s">
        <v>63</v>
      </c>
      <c r="C3133" s="2">
        <v>0.120849</v>
      </c>
      <c r="D3133" s="60">
        <v>8.4594299999999993</v>
      </c>
      <c r="E3133" s="2">
        <v>11.5</v>
      </c>
      <c r="F3133" s="2">
        <v>4</v>
      </c>
      <c r="G3133" s="2">
        <v>17.023</v>
      </c>
      <c r="H3133" s="2">
        <v>21.9497</v>
      </c>
      <c r="I3133" s="2">
        <v>0</v>
      </c>
      <c r="J3133" s="2">
        <v>0</v>
      </c>
    </row>
    <row r="3134" spans="1:10">
      <c r="A3134" s="2" t="s">
        <v>148</v>
      </c>
      <c r="B3134" s="2" t="s">
        <v>101</v>
      </c>
      <c r="C3134" s="2">
        <v>9.6714099999999997E-2</v>
      </c>
      <c r="D3134" s="60">
        <v>0</v>
      </c>
      <c r="E3134" s="2">
        <v>10.3</v>
      </c>
      <c r="F3134" s="2">
        <v>1.2</v>
      </c>
      <c r="G3134" s="2">
        <v>21.9497</v>
      </c>
      <c r="H3134" s="2">
        <v>35.436799999999998</v>
      </c>
      <c r="I3134" s="2">
        <v>0</v>
      </c>
      <c r="J3134" s="2">
        <v>0</v>
      </c>
    </row>
    <row r="3135" spans="1:10">
      <c r="A3135" s="2" t="s">
        <v>148</v>
      </c>
      <c r="B3135" s="2" t="s">
        <v>62</v>
      </c>
      <c r="C3135" s="2">
        <v>0.46265800000000001</v>
      </c>
      <c r="D3135" s="60">
        <v>37.012599999999999</v>
      </c>
      <c r="E3135" s="2">
        <v>6.3</v>
      </c>
      <c r="F3135" s="2">
        <v>4</v>
      </c>
      <c r="G3135" s="2">
        <v>35.436799999999998</v>
      </c>
      <c r="H3135" s="2">
        <v>41.017899999999997</v>
      </c>
      <c r="I3135" s="2">
        <v>0</v>
      </c>
      <c r="J3135" s="2">
        <v>0</v>
      </c>
    </row>
    <row r="3136" spans="1:10">
      <c r="A3136" s="2" t="s">
        <v>148</v>
      </c>
      <c r="B3136" s="2" t="s">
        <v>58</v>
      </c>
      <c r="C3136" s="2">
        <v>0.97936699999999999</v>
      </c>
      <c r="D3136" s="60">
        <v>102.834</v>
      </c>
      <c r="E3136" s="2">
        <v>0.3</v>
      </c>
      <c r="F3136" s="2">
        <v>6</v>
      </c>
      <c r="G3136" s="2">
        <v>41.017899999999997</v>
      </c>
      <c r="H3136" s="2">
        <v>54.389400000000002</v>
      </c>
      <c r="I3136" s="2">
        <v>0</v>
      </c>
      <c r="J3136" s="2">
        <v>0</v>
      </c>
    </row>
    <row r="3137" spans="1:10">
      <c r="A3137" s="2" t="s">
        <v>140</v>
      </c>
      <c r="B3137" s="2">
        <v>1</v>
      </c>
      <c r="C3137" s="2">
        <v>34.796599999999998</v>
      </c>
      <c r="D3137" s="60">
        <v>26.642700000000001</v>
      </c>
      <c r="E3137" s="2">
        <v>11.2</v>
      </c>
    </row>
    <row r="3138" spans="1:10">
      <c r="A3138" s="2" t="s">
        <v>141</v>
      </c>
      <c r="B3138" s="2">
        <v>11.2</v>
      </c>
      <c r="C3138" s="2">
        <v>11.5</v>
      </c>
      <c r="D3138" s="60" t="s">
        <v>153</v>
      </c>
    </row>
    <row r="3139" spans="1:10">
      <c r="A3139" s="2" t="s">
        <v>141</v>
      </c>
      <c r="B3139" s="2">
        <v>11.2</v>
      </c>
      <c r="C3139" s="2">
        <v>21.238299999999999</v>
      </c>
      <c r="D3139" s="60" t="s">
        <v>144</v>
      </c>
    </row>
    <row r="3140" spans="1:10">
      <c r="A3140" s="2" t="s">
        <v>141</v>
      </c>
      <c r="B3140" s="2">
        <v>11.2</v>
      </c>
      <c r="C3140" s="2">
        <v>21.238299999999999</v>
      </c>
      <c r="D3140" s="60" t="s">
        <v>155</v>
      </c>
    </row>
    <row r="3141" spans="1:10">
      <c r="A3141" s="2" t="s">
        <v>148</v>
      </c>
      <c r="B3141" s="2" t="s">
        <v>100</v>
      </c>
      <c r="C3141" s="2">
        <v>1.9099399999999999E-2</v>
      </c>
      <c r="D3141" s="60">
        <v>0</v>
      </c>
      <c r="E3141" s="2">
        <v>20.537400000000002</v>
      </c>
      <c r="F3141" s="2">
        <v>6.1053100000000002</v>
      </c>
      <c r="G3141" s="2">
        <v>0</v>
      </c>
      <c r="H3141" s="2">
        <v>10</v>
      </c>
      <c r="I3141" s="2">
        <v>0</v>
      </c>
      <c r="J3141" s="2">
        <v>0</v>
      </c>
    </row>
    <row r="3142" spans="1:10">
      <c r="A3142" s="2" t="s">
        <v>148</v>
      </c>
      <c r="B3142" s="2" t="s">
        <v>98</v>
      </c>
      <c r="C3142" s="2">
        <v>4.6667500000000001E-2</v>
      </c>
      <c r="D3142" s="60">
        <v>0</v>
      </c>
      <c r="E3142" s="2">
        <v>16.846900000000002</v>
      </c>
      <c r="F3142" s="2">
        <v>3.69049</v>
      </c>
      <c r="G3142" s="2">
        <v>10</v>
      </c>
      <c r="H3142" s="2">
        <v>15.1898</v>
      </c>
      <c r="I3142" s="2">
        <v>0</v>
      </c>
      <c r="J3142" s="2">
        <v>0</v>
      </c>
    </row>
    <row r="3143" spans="1:10">
      <c r="A3143" s="2" t="s">
        <v>148</v>
      </c>
      <c r="B3143" s="2" t="s">
        <v>101</v>
      </c>
      <c r="C3143" s="2">
        <v>2.7489599999999999E-2</v>
      </c>
      <c r="D3143" s="60">
        <v>0</v>
      </c>
      <c r="E3143" s="2">
        <v>15.5</v>
      </c>
      <c r="F3143" s="2">
        <v>1.3468599999999999</v>
      </c>
      <c r="G3143" s="2">
        <v>15.1898</v>
      </c>
      <c r="H3143" s="2">
        <v>17.023</v>
      </c>
      <c r="I3143" s="2">
        <v>0</v>
      </c>
      <c r="J3143" s="2">
        <v>0</v>
      </c>
    </row>
    <row r="3144" spans="1:10">
      <c r="A3144" s="2" t="s">
        <v>148</v>
      </c>
      <c r="B3144" s="2" t="s">
        <v>63</v>
      </c>
      <c r="C3144" s="2">
        <v>0.120849</v>
      </c>
      <c r="D3144" s="60">
        <v>8.4594299999999993</v>
      </c>
      <c r="E3144" s="2">
        <v>11.5</v>
      </c>
      <c r="F3144" s="2">
        <v>4</v>
      </c>
      <c r="G3144" s="2">
        <v>17.023</v>
      </c>
      <c r="H3144" s="2">
        <v>21.9497</v>
      </c>
      <c r="I3144" s="2">
        <v>0</v>
      </c>
      <c r="J3144" s="2">
        <v>0</v>
      </c>
    </row>
    <row r="3145" spans="1:10">
      <c r="A3145" s="2" t="s">
        <v>148</v>
      </c>
      <c r="B3145" s="2" t="s">
        <v>101</v>
      </c>
      <c r="C3145" s="2">
        <v>1.1524299999999999E-2</v>
      </c>
      <c r="D3145" s="60">
        <v>0</v>
      </c>
      <c r="E3145" s="2">
        <v>11.2</v>
      </c>
      <c r="F3145" s="2">
        <v>0.3</v>
      </c>
      <c r="G3145" s="2">
        <v>21.9497</v>
      </c>
      <c r="H3145" s="2">
        <v>22.2806</v>
      </c>
      <c r="I3145" s="2">
        <v>0</v>
      </c>
      <c r="J3145" s="2">
        <v>0</v>
      </c>
    </row>
    <row r="3146" spans="1:10">
      <c r="A3146" s="2" t="s">
        <v>130</v>
      </c>
      <c r="B3146" s="2" t="s">
        <v>131</v>
      </c>
      <c r="C3146" s="2" t="s">
        <v>213</v>
      </c>
      <c r="D3146" s="60" t="s">
        <v>133</v>
      </c>
      <c r="E3146" s="2">
        <v>8</v>
      </c>
      <c r="F3146" s="2">
        <v>2016</v>
      </c>
    </row>
    <row r="3147" spans="1:10">
      <c r="A3147" s="2" t="s">
        <v>134</v>
      </c>
      <c r="B3147" s="2" t="s">
        <v>73</v>
      </c>
      <c r="C3147" s="2">
        <v>28</v>
      </c>
      <c r="D3147" s="60" t="s">
        <v>229</v>
      </c>
      <c r="E3147" s="2" t="s">
        <v>136</v>
      </c>
      <c r="F3147" s="2" t="s">
        <v>171</v>
      </c>
      <c r="G3147" s="2" t="s">
        <v>128</v>
      </c>
    </row>
    <row r="3148" spans="1:10">
      <c r="A3148" s="2" t="s">
        <v>138</v>
      </c>
      <c r="B3148" s="2">
        <v>1</v>
      </c>
      <c r="C3148" s="2">
        <v>19.700800000000001</v>
      </c>
      <c r="D3148" s="60" t="s">
        <v>129</v>
      </c>
      <c r="E3148" s="2" t="s">
        <v>139</v>
      </c>
    </row>
    <row r="3149" spans="1:10">
      <c r="A3149" s="2" t="s">
        <v>140</v>
      </c>
      <c r="B3149" s="2">
        <v>0</v>
      </c>
      <c r="C3149" s="2">
        <v>61.220300000000002</v>
      </c>
      <c r="D3149" s="60">
        <v>25.624500000000001</v>
      </c>
    </row>
    <row r="3150" spans="1:10">
      <c r="A3150" s="2" t="s">
        <v>141</v>
      </c>
      <c r="B3150" s="2">
        <v>0</v>
      </c>
      <c r="C3150" s="2">
        <v>4.5</v>
      </c>
      <c r="D3150" s="60" t="s">
        <v>142</v>
      </c>
    </row>
    <row r="3151" spans="1:10">
      <c r="A3151" s="2" t="s">
        <v>141</v>
      </c>
      <c r="B3151" s="2">
        <v>0</v>
      </c>
      <c r="C3151" s="2">
        <v>4.5</v>
      </c>
      <c r="D3151" s="60" t="s">
        <v>158</v>
      </c>
    </row>
    <row r="3152" spans="1:10">
      <c r="A3152" s="2" t="s">
        <v>141</v>
      </c>
      <c r="B3152" s="2">
        <v>0</v>
      </c>
      <c r="C3152" s="2">
        <v>16</v>
      </c>
      <c r="D3152" s="60" t="s">
        <v>146</v>
      </c>
    </row>
    <row r="3153" spans="1:10">
      <c r="A3153" s="2" t="s">
        <v>141</v>
      </c>
      <c r="B3153" s="2">
        <v>4.5</v>
      </c>
      <c r="C3153" s="2">
        <v>5</v>
      </c>
      <c r="D3153" s="60" t="s">
        <v>147</v>
      </c>
    </row>
    <row r="3154" spans="1:10">
      <c r="A3154" s="2" t="s">
        <v>141</v>
      </c>
      <c r="B3154" s="2">
        <v>4.5</v>
      </c>
      <c r="C3154" s="2">
        <v>5</v>
      </c>
      <c r="D3154" s="60" t="s">
        <v>178</v>
      </c>
    </row>
    <row r="3155" spans="1:10">
      <c r="A3155" s="2" t="s">
        <v>141</v>
      </c>
      <c r="B3155" s="2">
        <v>5</v>
      </c>
      <c r="C3155" s="2">
        <v>8.4</v>
      </c>
      <c r="D3155" s="60" t="s">
        <v>144</v>
      </c>
    </row>
    <row r="3156" spans="1:10">
      <c r="A3156" s="2" t="s">
        <v>141</v>
      </c>
      <c r="B3156" s="2">
        <v>8.4</v>
      </c>
      <c r="C3156" s="2">
        <v>14</v>
      </c>
      <c r="D3156" s="60" t="s">
        <v>147</v>
      </c>
    </row>
    <row r="3157" spans="1:10">
      <c r="A3157" s="2" t="s">
        <v>141</v>
      </c>
      <c r="B3157" s="2">
        <v>14</v>
      </c>
      <c r="C3157" s="2">
        <v>18</v>
      </c>
      <c r="D3157" s="60" t="s">
        <v>145</v>
      </c>
    </row>
    <row r="3158" spans="1:10">
      <c r="A3158" s="2" t="s">
        <v>141</v>
      </c>
      <c r="B3158" s="2">
        <v>16</v>
      </c>
      <c r="C3158" s="2">
        <v>16.5</v>
      </c>
      <c r="D3158" s="60" t="s">
        <v>159</v>
      </c>
    </row>
    <row r="3159" spans="1:10">
      <c r="A3159" s="2" t="s">
        <v>141</v>
      </c>
      <c r="B3159" s="2">
        <v>16.5</v>
      </c>
      <c r="C3159" s="2">
        <v>20.399999999999999</v>
      </c>
      <c r="D3159" s="60" t="s">
        <v>155</v>
      </c>
    </row>
    <row r="3160" spans="1:10">
      <c r="A3160" s="2" t="s">
        <v>141</v>
      </c>
      <c r="B3160" s="2">
        <v>18</v>
      </c>
      <c r="C3160" s="2">
        <v>20.399999999999999</v>
      </c>
      <c r="D3160" s="60" t="s">
        <v>144</v>
      </c>
    </row>
    <row r="3161" spans="1:10">
      <c r="A3161" s="2" t="s">
        <v>148</v>
      </c>
      <c r="B3161" s="2" t="s">
        <v>99</v>
      </c>
      <c r="C3161" s="2">
        <v>8.6246199999999995E-2</v>
      </c>
      <c r="D3161" s="60">
        <v>0</v>
      </c>
      <c r="E3161" s="2">
        <v>0</v>
      </c>
      <c r="F3161" s="2">
        <v>0.3</v>
      </c>
      <c r="G3161" s="2">
        <v>59.029400000000003</v>
      </c>
      <c r="H3161" s="2">
        <v>62.092700000000001</v>
      </c>
      <c r="I3161" s="2">
        <v>0</v>
      </c>
      <c r="J3161" s="2">
        <v>0</v>
      </c>
    </row>
    <row r="3162" spans="1:10">
      <c r="A3162" s="2" t="s">
        <v>148</v>
      </c>
      <c r="B3162" s="2" t="s">
        <v>100</v>
      </c>
      <c r="C3162" s="2">
        <v>1.0787400000000001E-2</v>
      </c>
      <c r="D3162" s="60">
        <v>0</v>
      </c>
      <c r="E3162" s="2">
        <v>22.574100000000001</v>
      </c>
      <c r="F3162" s="2">
        <v>3.05037</v>
      </c>
      <c r="G3162" s="2">
        <v>0</v>
      </c>
      <c r="H3162" s="2">
        <v>10</v>
      </c>
      <c r="I3162" s="2">
        <v>0</v>
      </c>
      <c r="J3162" s="2">
        <v>0</v>
      </c>
    </row>
    <row r="3163" spans="1:10">
      <c r="A3163" s="2" t="s">
        <v>148</v>
      </c>
      <c r="B3163" s="2" t="s">
        <v>98</v>
      </c>
      <c r="C3163" s="2">
        <v>0.117488</v>
      </c>
      <c r="D3163" s="60">
        <v>0</v>
      </c>
      <c r="E3163" s="2">
        <v>17.212199999999999</v>
      </c>
      <c r="F3163" s="2">
        <v>5.36191</v>
      </c>
      <c r="G3163" s="2">
        <v>10</v>
      </c>
      <c r="H3163" s="2">
        <v>22.755099999999999</v>
      </c>
      <c r="I3163" s="2">
        <v>0</v>
      </c>
      <c r="J3163" s="2">
        <v>0</v>
      </c>
    </row>
    <row r="3164" spans="1:10">
      <c r="A3164" s="2" t="s">
        <v>148</v>
      </c>
      <c r="B3164" s="2" t="s">
        <v>101</v>
      </c>
      <c r="C3164" s="2">
        <v>0.112528</v>
      </c>
      <c r="D3164" s="60">
        <v>0</v>
      </c>
      <c r="E3164" s="2">
        <v>15</v>
      </c>
      <c r="F3164" s="2">
        <v>2.2122199999999999</v>
      </c>
      <c r="G3164" s="2">
        <v>22.755099999999999</v>
      </c>
      <c r="H3164" s="2">
        <v>28.009799999999998</v>
      </c>
      <c r="I3164" s="2">
        <v>0</v>
      </c>
      <c r="J3164" s="2">
        <v>0</v>
      </c>
    </row>
    <row r="3165" spans="1:10">
      <c r="A3165" s="2" t="s">
        <v>148</v>
      </c>
      <c r="B3165" s="2" t="s">
        <v>62</v>
      </c>
      <c r="C3165" s="2">
        <v>0.33152900000000002</v>
      </c>
      <c r="D3165" s="60">
        <v>26.522300000000001</v>
      </c>
      <c r="E3165" s="2">
        <v>11</v>
      </c>
      <c r="F3165" s="2">
        <v>4</v>
      </c>
      <c r="G3165" s="2">
        <v>28.009799999999998</v>
      </c>
      <c r="H3165" s="2">
        <v>36.506500000000003</v>
      </c>
      <c r="I3165" s="2">
        <v>0</v>
      </c>
      <c r="J3165" s="2">
        <v>0</v>
      </c>
    </row>
    <row r="3166" spans="1:10">
      <c r="A3166" s="2" t="s">
        <v>148</v>
      </c>
      <c r="B3166" s="2" t="s">
        <v>59</v>
      </c>
      <c r="C3166" s="2">
        <v>0.81790799999999997</v>
      </c>
      <c r="D3166" s="60">
        <v>81.790800000000004</v>
      </c>
      <c r="E3166" s="2">
        <v>5</v>
      </c>
      <c r="F3166" s="2">
        <v>6</v>
      </c>
      <c r="G3166" s="2">
        <v>36.506500000000003</v>
      </c>
      <c r="H3166" s="2">
        <v>46.051699999999997</v>
      </c>
      <c r="I3166" s="2">
        <v>0</v>
      </c>
      <c r="J3166" s="2">
        <v>0</v>
      </c>
    </row>
    <row r="3167" spans="1:10">
      <c r="A3167" s="2" t="s">
        <v>148</v>
      </c>
      <c r="B3167" s="2" t="s">
        <v>101</v>
      </c>
      <c r="C3167" s="2">
        <v>0.119017</v>
      </c>
      <c r="D3167" s="60">
        <v>0</v>
      </c>
      <c r="E3167" s="2">
        <v>4.3</v>
      </c>
      <c r="F3167" s="2">
        <v>0.7</v>
      </c>
      <c r="G3167" s="2">
        <v>46.051699999999997</v>
      </c>
      <c r="H3167" s="2">
        <v>47.003100000000003</v>
      </c>
      <c r="I3167" s="2">
        <v>0</v>
      </c>
      <c r="J3167" s="2">
        <v>0</v>
      </c>
    </row>
    <row r="3168" spans="1:10">
      <c r="A3168" s="2" t="s">
        <v>148</v>
      </c>
      <c r="B3168" s="2" t="s">
        <v>55</v>
      </c>
      <c r="C3168" s="2">
        <v>0.82028800000000002</v>
      </c>
      <c r="D3168" s="60">
        <v>118.94199999999999</v>
      </c>
      <c r="E3168" s="2">
        <v>0.3</v>
      </c>
      <c r="F3168" s="2">
        <v>4</v>
      </c>
      <c r="G3168" s="2">
        <v>47.003100000000003</v>
      </c>
      <c r="H3168" s="2">
        <v>59.029400000000003</v>
      </c>
      <c r="I3168" s="2">
        <v>0</v>
      </c>
      <c r="J3168" s="2">
        <v>0</v>
      </c>
    </row>
    <row r="3169" spans="1:10">
      <c r="A3169" s="2" t="s">
        <v>138</v>
      </c>
      <c r="B3169" s="2">
        <v>2</v>
      </c>
      <c r="C3169" s="2">
        <v>19.531300000000002</v>
      </c>
      <c r="D3169" s="60" t="s">
        <v>129</v>
      </c>
      <c r="E3169" s="2" t="s">
        <v>149</v>
      </c>
    </row>
    <row r="3170" spans="1:10">
      <c r="A3170" s="2" t="s">
        <v>140</v>
      </c>
      <c r="B3170" s="2">
        <v>0</v>
      </c>
      <c r="C3170" s="2">
        <v>51.836100000000002</v>
      </c>
      <c r="D3170" s="60">
        <v>26.389299999999999</v>
      </c>
    </row>
    <row r="3171" spans="1:10">
      <c r="A3171" s="2" t="s">
        <v>141</v>
      </c>
      <c r="B3171" s="2">
        <v>0</v>
      </c>
      <c r="C3171" s="2">
        <v>6.3</v>
      </c>
      <c r="D3171" s="60" t="s">
        <v>142</v>
      </c>
    </row>
    <row r="3172" spans="1:10">
      <c r="A3172" s="2" t="s">
        <v>141</v>
      </c>
      <c r="B3172" s="2">
        <v>0</v>
      </c>
      <c r="C3172" s="2">
        <v>11.8</v>
      </c>
      <c r="D3172" s="60" t="s">
        <v>146</v>
      </c>
    </row>
    <row r="3173" spans="1:10">
      <c r="A3173" s="2" t="s">
        <v>141</v>
      </c>
      <c r="B3173" s="2">
        <v>6.3</v>
      </c>
      <c r="C3173" s="2">
        <v>8.6</v>
      </c>
      <c r="D3173" s="60" t="s">
        <v>144</v>
      </c>
    </row>
    <row r="3174" spans="1:10">
      <c r="A3174" s="2" t="s">
        <v>141</v>
      </c>
      <c r="B3174" s="2">
        <v>8.6</v>
      </c>
      <c r="C3174" s="2">
        <v>9.8000000000000007</v>
      </c>
      <c r="D3174" s="60" t="s">
        <v>145</v>
      </c>
    </row>
    <row r="3175" spans="1:10">
      <c r="A3175" s="2" t="s">
        <v>141</v>
      </c>
      <c r="B3175" s="2">
        <v>9.8000000000000007</v>
      </c>
      <c r="C3175" s="2">
        <v>11.3</v>
      </c>
      <c r="D3175" s="60" t="s">
        <v>147</v>
      </c>
    </row>
    <row r="3176" spans="1:10">
      <c r="A3176" s="2" t="s">
        <v>141</v>
      </c>
      <c r="B3176" s="2">
        <v>11.3</v>
      </c>
      <c r="C3176" s="2">
        <v>11.8</v>
      </c>
      <c r="D3176" s="60" t="s">
        <v>151</v>
      </c>
    </row>
    <row r="3177" spans="1:10">
      <c r="A3177" s="2" t="s">
        <v>141</v>
      </c>
      <c r="B3177" s="2">
        <v>11.8</v>
      </c>
      <c r="C3177" s="2">
        <v>12.3</v>
      </c>
      <c r="D3177" s="60" t="s">
        <v>155</v>
      </c>
    </row>
    <row r="3178" spans="1:10">
      <c r="A3178" s="2" t="s">
        <v>141</v>
      </c>
      <c r="B3178" s="2">
        <v>11.8</v>
      </c>
      <c r="C3178" s="2">
        <v>20.966000000000001</v>
      </c>
      <c r="D3178" s="60" t="s">
        <v>144</v>
      </c>
    </row>
    <row r="3179" spans="1:10">
      <c r="A3179" s="2" t="s">
        <v>141</v>
      </c>
      <c r="B3179" s="2">
        <v>12.3</v>
      </c>
      <c r="C3179" s="2">
        <v>20.966000000000001</v>
      </c>
      <c r="D3179" s="60" t="s">
        <v>161</v>
      </c>
    </row>
    <row r="3180" spans="1:10">
      <c r="A3180" s="2" t="s">
        <v>148</v>
      </c>
      <c r="B3180" s="2" t="s">
        <v>99</v>
      </c>
      <c r="C3180" s="2">
        <v>6.4138700000000007E-2</v>
      </c>
      <c r="D3180" s="60">
        <v>0</v>
      </c>
      <c r="E3180" s="2">
        <v>0</v>
      </c>
      <c r="F3180" s="2">
        <v>0.3</v>
      </c>
      <c r="G3180" s="2">
        <v>50.936500000000002</v>
      </c>
      <c r="H3180" s="2">
        <v>53.509</v>
      </c>
      <c r="I3180" s="2">
        <v>0</v>
      </c>
      <c r="J3180" s="2">
        <v>0</v>
      </c>
    </row>
    <row r="3181" spans="1:10">
      <c r="A3181" s="2" t="s">
        <v>148</v>
      </c>
      <c r="B3181" s="2" t="s">
        <v>100</v>
      </c>
      <c r="C3181" s="2">
        <v>1.32158E-2</v>
      </c>
      <c r="D3181" s="60">
        <v>0</v>
      </c>
      <c r="E3181" s="2">
        <v>22.519300000000001</v>
      </c>
      <c r="F3181" s="2">
        <v>3.86998</v>
      </c>
      <c r="G3181" s="2">
        <v>0</v>
      </c>
      <c r="H3181" s="2">
        <v>10</v>
      </c>
      <c r="I3181" s="2">
        <v>0</v>
      </c>
      <c r="J3181" s="2">
        <v>0</v>
      </c>
    </row>
    <row r="3182" spans="1:10">
      <c r="A3182" s="2" t="s">
        <v>148</v>
      </c>
      <c r="B3182" s="2" t="s">
        <v>101</v>
      </c>
      <c r="C3182" s="2">
        <v>0.35975000000000001</v>
      </c>
      <c r="D3182" s="60">
        <v>0</v>
      </c>
      <c r="E3182" s="2">
        <v>12.2</v>
      </c>
      <c r="F3182" s="2">
        <v>10.3193</v>
      </c>
      <c r="G3182" s="2">
        <v>10</v>
      </c>
      <c r="H3182" s="2">
        <v>30.0306</v>
      </c>
      <c r="I3182" s="2">
        <v>0</v>
      </c>
      <c r="J3182" s="2">
        <v>0</v>
      </c>
    </row>
    <row r="3183" spans="1:10">
      <c r="A3183" s="2" t="s">
        <v>148</v>
      </c>
      <c r="B3183" s="2" t="s">
        <v>62</v>
      </c>
      <c r="C3183" s="2">
        <v>0.56420599999999999</v>
      </c>
      <c r="D3183" s="60">
        <v>45.136499999999998</v>
      </c>
      <c r="E3183" s="2">
        <v>6.2</v>
      </c>
      <c r="F3183" s="2">
        <v>6</v>
      </c>
      <c r="G3183" s="2">
        <v>30.0306</v>
      </c>
      <c r="H3183" s="2">
        <v>38.4771</v>
      </c>
      <c r="I3183" s="2">
        <v>0</v>
      </c>
      <c r="J3183" s="2">
        <v>0</v>
      </c>
    </row>
    <row r="3184" spans="1:10">
      <c r="A3184" s="2" t="s">
        <v>148</v>
      </c>
      <c r="B3184" s="2" t="s">
        <v>56</v>
      </c>
      <c r="C3184" s="2">
        <v>0.84627799999999997</v>
      </c>
      <c r="D3184" s="60">
        <v>118.479</v>
      </c>
      <c r="E3184" s="2">
        <v>0.3</v>
      </c>
      <c r="F3184" s="2">
        <v>5.9</v>
      </c>
      <c r="G3184" s="2">
        <v>38.4771</v>
      </c>
      <c r="H3184" s="2">
        <v>50.936500000000002</v>
      </c>
      <c r="I3184" s="2">
        <v>0</v>
      </c>
      <c r="J3184" s="2">
        <v>0</v>
      </c>
    </row>
    <row r="3185" spans="1:10">
      <c r="A3185" s="2" t="s">
        <v>138</v>
      </c>
      <c r="B3185" s="2">
        <v>3</v>
      </c>
      <c r="C3185" s="2">
        <v>19.471900000000002</v>
      </c>
      <c r="D3185" s="60" t="s">
        <v>129</v>
      </c>
      <c r="E3185" s="2" t="s">
        <v>149</v>
      </c>
    </row>
    <row r="3186" spans="1:10">
      <c r="A3186" s="2" t="s">
        <v>140</v>
      </c>
      <c r="B3186" s="2">
        <v>0</v>
      </c>
      <c r="C3186" s="2">
        <v>49.917999999999999</v>
      </c>
      <c r="D3186" s="60">
        <v>26.235700000000001</v>
      </c>
    </row>
    <row r="3187" spans="1:10">
      <c r="A3187" s="2" t="s">
        <v>141</v>
      </c>
      <c r="B3187" s="2">
        <v>0</v>
      </c>
      <c r="C3187" s="2">
        <v>2.8</v>
      </c>
      <c r="D3187" s="60" t="s">
        <v>142</v>
      </c>
    </row>
    <row r="3188" spans="1:10">
      <c r="A3188" s="2" t="s">
        <v>141</v>
      </c>
      <c r="B3188" s="2">
        <v>0</v>
      </c>
      <c r="C3188" s="2">
        <v>3.3</v>
      </c>
      <c r="D3188" s="60" t="s">
        <v>146</v>
      </c>
    </row>
    <row r="3189" spans="1:10">
      <c r="A3189" s="2" t="s">
        <v>141</v>
      </c>
      <c r="B3189" s="2">
        <v>0</v>
      </c>
      <c r="C3189" s="2">
        <v>3.3</v>
      </c>
      <c r="D3189" s="60" t="s">
        <v>158</v>
      </c>
    </row>
    <row r="3190" spans="1:10">
      <c r="A3190" s="2" t="s">
        <v>141</v>
      </c>
      <c r="B3190" s="2">
        <v>2.8</v>
      </c>
      <c r="C3190" s="2">
        <v>3.9</v>
      </c>
      <c r="D3190" s="60" t="s">
        <v>151</v>
      </c>
    </row>
    <row r="3191" spans="1:10">
      <c r="A3191" s="2" t="s">
        <v>141</v>
      </c>
      <c r="B3191" s="2">
        <v>3.3</v>
      </c>
      <c r="C3191" s="2">
        <v>3.9</v>
      </c>
      <c r="D3191" s="60" t="s">
        <v>161</v>
      </c>
    </row>
    <row r="3192" spans="1:10">
      <c r="A3192" s="2" t="s">
        <v>141</v>
      </c>
      <c r="B3192" s="2">
        <v>3.3</v>
      </c>
      <c r="C3192" s="2">
        <v>3.9</v>
      </c>
      <c r="D3192" s="60" t="s">
        <v>178</v>
      </c>
    </row>
    <row r="3193" spans="1:10">
      <c r="A3193" s="2" t="s">
        <v>141</v>
      </c>
      <c r="B3193" s="2">
        <v>3.9</v>
      </c>
      <c r="C3193" s="2">
        <v>9.3000000000000007</v>
      </c>
      <c r="D3193" s="60" t="s">
        <v>145</v>
      </c>
    </row>
    <row r="3194" spans="1:10">
      <c r="A3194" s="2" t="s">
        <v>141</v>
      </c>
      <c r="B3194" s="2">
        <v>3.9</v>
      </c>
      <c r="C3194" s="2">
        <v>11.6</v>
      </c>
      <c r="D3194" s="60" t="s">
        <v>146</v>
      </c>
    </row>
    <row r="3195" spans="1:10">
      <c r="A3195" s="2" t="s">
        <v>141</v>
      </c>
      <c r="B3195" s="2">
        <v>9.3000000000000007</v>
      </c>
      <c r="C3195" s="2">
        <v>9.6</v>
      </c>
      <c r="D3195" s="60" t="s">
        <v>151</v>
      </c>
    </row>
    <row r="3196" spans="1:10">
      <c r="A3196" s="2" t="s">
        <v>141</v>
      </c>
      <c r="B3196" s="2">
        <v>9.6</v>
      </c>
      <c r="C3196" s="2">
        <v>11.6</v>
      </c>
      <c r="D3196" s="60" t="s">
        <v>145</v>
      </c>
    </row>
    <row r="3197" spans="1:10">
      <c r="A3197" s="2" t="s">
        <v>141</v>
      </c>
      <c r="B3197" s="2">
        <v>11.6</v>
      </c>
      <c r="C3197" s="2">
        <v>12</v>
      </c>
      <c r="D3197" s="60" t="s">
        <v>151</v>
      </c>
    </row>
    <row r="3198" spans="1:10">
      <c r="A3198" s="2" t="s">
        <v>141</v>
      </c>
      <c r="B3198" s="2">
        <v>11.6</v>
      </c>
      <c r="C3198" s="2">
        <v>20.8523</v>
      </c>
      <c r="D3198" s="60" t="s">
        <v>161</v>
      </c>
    </row>
    <row r="3199" spans="1:10">
      <c r="A3199" s="2" t="s">
        <v>141</v>
      </c>
      <c r="B3199" s="2">
        <v>12</v>
      </c>
      <c r="C3199" s="2">
        <v>20.8523</v>
      </c>
      <c r="D3199" s="60" t="s">
        <v>145</v>
      </c>
    </row>
    <row r="3200" spans="1:10">
      <c r="A3200" s="2" t="s">
        <v>148</v>
      </c>
      <c r="B3200" s="2" t="s">
        <v>99</v>
      </c>
      <c r="C3200" s="2">
        <v>5.99296E-2</v>
      </c>
      <c r="D3200" s="60">
        <v>0</v>
      </c>
      <c r="E3200" s="2">
        <v>0</v>
      </c>
      <c r="F3200" s="2">
        <v>0.3</v>
      </c>
      <c r="G3200" s="2">
        <v>49.230800000000002</v>
      </c>
      <c r="H3200" s="2">
        <v>51.730600000000003</v>
      </c>
      <c r="I3200" s="2">
        <v>0</v>
      </c>
      <c r="J3200" s="2">
        <v>0</v>
      </c>
    </row>
    <row r="3201" spans="1:10">
      <c r="A3201" s="2" t="s">
        <v>148</v>
      </c>
      <c r="B3201" s="2" t="s">
        <v>100</v>
      </c>
      <c r="C3201" s="2">
        <v>1.36332E-2</v>
      </c>
      <c r="D3201" s="60">
        <v>0</v>
      </c>
      <c r="E3201" s="2">
        <v>22.21</v>
      </c>
      <c r="F3201" s="2">
        <v>4.0256100000000004</v>
      </c>
      <c r="G3201" s="2">
        <v>0</v>
      </c>
      <c r="H3201" s="2">
        <v>10</v>
      </c>
      <c r="I3201" s="2">
        <v>0</v>
      </c>
      <c r="J3201" s="2">
        <v>0</v>
      </c>
    </row>
    <row r="3202" spans="1:10">
      <c r="A3202" s="2" t="s">
        <v>148</v>
      </c>
      <c r="B3202" s="2" t="s">
        <v>98</v>
      </c>
      <c r="C3202" s="2">
        <v>0.14064599999999999</v>
      </c>
      <c r="D3202" s="60">
        <v>0</v>
      </c>
      <c r="E3202" s="2">
        <v>15.764900000000001</v>
      </c>
      <c r="F3202" s="2">
        <v>6.4451599999999996</v>
      </c>
      <c r="G3202" s="2">
        <v>10</v>
      </c>
      <c r="H3202" s="2">
        <v>22.5657</v>
      </c>
      <c r="I3202" s="2">
        <v>0</v>
      </c>
      <c r="J3202" s="2">
        <v>0</v>
      </c>
    </row>
    <row r="3203" spans="1:10">
      <c r="A3203" s="2" t="s">
        <v>148</v>
      </c>
      <c r="B3203" s="2" t="s">
        <v>101</v>
      </c>
      <c r="C3203" s="2">
        <v>0.22833700000000001</v>
      </c>
      <c r="D3203" s="60">
        <v>0</v>
      </c>
      <c r="E3203" s="2">
        <v>11.6</v>
      </c>
      <c r="F3203" s="2">
        <v>4.1648800000000001</v>
      </c>
      <c r="G3203" s="2">
        <v>22.5657</v>
      </c>
      <c r="H3203" s="2">
        <v>29.884</v>
      </c>
      <c r="I3203" s="2">
        <v>0</v>
      </c>
      <c r="J3203" s="2">
        <v>0</v>
      </c>
    </row>
    <row r="3204" spans="1:10">
      <c r="A3204" s="2" t="s">
        <v>148</v>
      </c>
      <c r="B3204" s="2" t="s">
        <v>64</v>
      </c>
      <c r="C3204" s="2">
        <v>0.30966500000000002</v>
      </c>
      <c r="D3204" s="60">
        <v>9.2899399999999996</v>
      </c>
      <c r="E3204" s="2">
        <v>7.9</v>
      </c>
      <c r="F3204" s="2">
        <v>3.7</v>
      </c>
      <c r="G3204" s="2">
        <v>29.884</v>
      </c>
      <c r="H3204" s="2">
        <v>35.127299999999998</v>
      </c>
      <c r="I3204" s="2">
        <v>0</v>
      </c>
      <c r="J3204" s="2">
        <v>0</v>
      </c>
    </row>
    <row r="3205" spans="1:10">
      <c r="A3205" s="2" t="s">
        <v>148</v>
      </c>
      <c r="B3205" s="2" t="s">
        <v>59</v>
      </c>
      <c r="C3205" s="2">
        <v>0.441662</v>
      </c>
      <c r="D3205" s="60">
        <v>44.166200000000003</v>
      </c>
      <c r="E3205" s="2">
        <v>3.9</v>
      </c>
      <c r="F3205" s="2">
        <v>4</v>
      </c>
      <c r="G3205" s="2">
        <v>35.127299999999998</v>
      </c>
      <c r="H3205" s="2">
        <v>39.726799999999997</v>
      </c>
      <c r="I3205" s="2">
        <v>0</v>
      </c>
      <c r="J3205" s="2">
        <v>0</v>
      </c>
    </row>
    <row r="3206" spans="1:10">
      <c r="A3206" s="2" t="s">
        <v>148</v>
      </c>
      <c r="B3206" s="2" t="s">
        <v>101</v>
      </c>
      <c r="C3206" s="2">
        <v>0.52288900000000005</v>
      </c>
      <c r="D3206" s="60">
        <v>0</v>
      </c>
      <c r="E3206" s="2">
        <v>0.3</v>
      </c>
      <c r="F3206" s="2">
        <v>3.6</v>
      </c>
      <c r="G3206" s="2">
        <v>39.726799999999997</v>
      </c>
      <c r="H3206" s="2">
        <v>49.230800000000002</v>
      </c>
      <c r="I3206" s="2">
        <v>0</v>
      </c>
      <c r="J3206" s="2">
        <v>0</v>
      </c>
    </row>
    <row r="3207" spans="1:10">
      <c r="A3207" s="2" t="s">
        <v>138</v>
      </c>
      <c r="B3207" s="2">
        <v>4</v>
      </c>
      <c r="C3207" s="2">
        <v>19.511700000000001</v>
      </c>
      <c r="D3207" s="60" t="s">
        <v>129</v>
      </c>
      <c r="E3207" s="2" t="s">
        <v>139</v>
      </c>
    </row>
    <row r="3208" spans="1:10">
      <c r="A3208" s="2" t="s">
        <v>140</v>
      </c>
      <c r="B3208" s="2">
        <v>0</v>
      </c>
      <c r="C3208" s="2">
        <v>52.862299999999998</v>
      </c>
      <c r="D3208" s="60">
        <v>24.813800000000001</v>
      </c>
    </row>
    <row r="3209" spans="1:10">
      <c r="A3209" s="2" t="s">
        <v>141</v>
      </c>
      <c r="B3209" s="2">
        <v>0</v>
      </c>
      <c r="C3209" s="2">
        <v>5.9</v>
      </c>
      <c r="D3209" s="60" t="s">
        <v>142</v>
      </c>
    </row>
    <row r="3210" spans="1:10">
      <c r="A3210" s="2" t="s">
        <v>141</v>
      </c>
      <c r="B3210" s="2">
        <v>0</v>
      </c>
      <c r="C3210" s="2">
        <v>12.9</v>
      </c>
      <c r="D3210" s="60" t="s">
        <v>143</v>
      </c>
    </row>
    <row r="3211" spans="1:10">
      <c r="A3211" s="2" t="s">
        <v>141</v>
      </c>
      <c r="B3211" s="2">
        <v>5.9</v>
      </c>
      <c r="C3211" s="2">
        <v>11</v>
      </c>
      <c r="D3211" s="60" t="s">
        <v>145</v>
      </c>
    </row>
    <row r="3212" spans="1:10">
      <c r="A3212" s="2" t="s">
        <v>141</v>
      </c>
      <c r="B3212" s="2">
        <v>11</v>
      </c>
      <c r="C3212" s="2">
        <v>13</v>
      </c>
      <c r="D3212" s="60" t="s">
        <v>151</v>
      </c>
    </row>
    <row r="3213" spans="1:10">
      <c r="A3213" s="2" t="s">
        <v>141</v>
      </c>
      <c r="B3213" s="2">
        <v>12.9</v>
      </c>
      <c r="C3213" s="2">
        <v>13</v>
      </c>
      <c r="D3213" s="60" t="s">
        <v>155</v>
      </c>
    </row>
    <row r="3214" spans="1:10">
      <c r="A3214" s="2" t="s">
        <v>141</v>
      </c>
      <c r="B3214" s="2">
        <v>13</v>
      </c>
      <c r="C3214" s="2">
        <v>13.4</v>
      </c>
      <c r="D3214" s="60" t="s">
        <v>159</v>
      </c>
    </row>
    <row r="3215" spans="1:10">
      <c r="A3215" s="2" t="s">
        <v>141</v>
      </c>
      <c r="B3215" s="2">
        <v>13</v>
      </c>
      <c r="C3215" s="2">
        <v>17</v>
      </c>
      <c r="D3215" s="60" t="s">
        <v>145</v>
      </c>
    </row>
    <row r="3216" spans="1:10">
      <c r="A3216" s="2" t="s">
        <v>141</v>
      </c>
      <c r="B3216" s="2">
        <v>13.4</v>
      </c>
      <c r="C3216" s="2">
        <v>19.8</v>
      </c>
      <c r="D3216" s="60" t="s">
        <v>155</v>
      </c>
    </row>
    <row r="3217" spans="1:10">
      <c r="A3217" s="2" t="s">
        <v>141</v>
      </c>
      <c r="B3217" s="2">
        <v>17</v>
      </c>
      <c r="C3217" s="2">
        <v>19.8</v>
      </c>
      <c r="D3217" s="60" t="s">
        <v>144</v>
      </c>
    </row>
    <row r="3218" spans="1:10">
      <c r="A3218" s="2" t="s">
        <v>148</v>
      </c>
      <c r="B3218" s="2" t="s">
        <v>99</v>
      </c>
      <c r="C3218" s="2">
        <v>6.6182699999999997E-2</v>
      </c>
      <c r="D3218" s="60">
        <v>0</v>
      </c>
      <c r="E3218" s="2">
        <v>0</v>
      </c>
      <c r="F3218" s="2">
        <v>0.3</v>
      </c>
      <c r="G3218" s="2">
        <v>51.6736</v>
      </c>
      <c r="H3218" s="2">
        <v>54.435600000000001</v>
      </c>
      <c r="I3218" s="2">
        <v>0</v>
      </c>
      <c r="J3218" s="2">
        <v>0</v>
      </c>
    </row>
    <row r="3219" spans="1:10">
      <c r="A3219" s="2" t="s">
        <v>148</v>
      </c>
      <c r="B3219" s="2" t="s">
        <v>100</v>
      </c>
      <c r="C3219" s="2">
        <v>1.2191799999999999E-2</v>
      </c>
      <c r="D3219" s="60">
        <v>0</v>
      </c>
      <c r="E3219" s="2">
        <v>21.258600000000001</v>
      </c>
      <c r="F3219" s="2">
        <v>3.5552100000000002</v>
      </c>
      <c r="G3219" s="2">
        <v>0</v>
      </c>
      <c r="H3219" s="2">
        <v>10</v>
      </c>
      <c r="I3219" s="2">
        <v>0</v>
      </c>
      <c r="J3219" s="2">
        <v>0</v>
      </c>
    </row>
    <row r="3220" spans="1:10">
      <c r="A3220" s="2" t="s">
        <v>148</v>
      </c>
      <c r="B3220" s="2" t="s">
        <v>101</v>
      </c>
      <c r="C3220" s="2">
        <v>4.6563300000000002E-4</v>
      </c>
      <c r="D3220" s="60">
        <v>0</v>
      </c>
      <c r="E3220" s="2">
        <v>21.2</v>
      </c>
      <c r="F3220" s="2">
        <v>5.8574300000000003E-2</v>
      </c>
      <c r="G3220" s="2">
        <v>10</v>
      </c>
      <c r="H3220" s="2">
        <v>10.1211</v>
      </c>
      <c r="I3220" s="2">
        <v>0</v>
      </c>
      <c r="J3220" s="2">
        <v>0</v>
      </c>
    </row>
    <row r="3221" spans="1:10">
      <c r="A3221" s="2" t="s">
        <v>148</v>
      </c>
      <c r="B3221" s="2" t="s">
        <v>64</v>
      </c>
      <c r="C3221" s="2">
        <v>6.1720900000000002E-2</v>
      </c>
      <c r="D3221" s="60">
        <v>1.8516300000000001</v>
      </c>
      <c r="E3221" s="2">
        <v>17.399999999999999</v>
      </c>
      <c r="F3221" s="2">
        <v>3.8</v>
      </c>
      <c r="G3221" s="2">
        <v>10.1211</v>
      </c>
      <c r="H3221" s="2">
        <v>18.336500000000001</v>
      </c>
      <c r="I3221" s="2">
        <v>0</v>
      </c>
      <c r="J3221" s="2">
        <v>0</v>
      </c>
    </row>
    <row r="3222" spans="1:10">
      <c r="A3222" s="2" t="s">
        <v>148</v>
      </c>
      <c r="B3222" s="2" t="s">
        <v>63</v>
      </c>
      <c r="C3222" s="2">
        <v>0.16333700000000001</v>
      </c>
      <c r="D3222" s="60">
        <v>11.4336</v>
      </c>
      <c r="E3222" s="2">
        <v>13.4</v>
      </c>
      <c r="F3222" s="2">
        <v>4</v>
      </c>
      <c r="G3222" s="2">
        <v>18.336500000000001</v>
      </c>
      <c r="H3222" s="2">
        <v>26.8611</v>
      </c>
      <c r="I3222" s="2">
        <v>0</v>
      </c>
      <c r="J3222" s="2">
        <v>0</v>
      </c>
    </row>
    <row r="3223" spans="1:10">
      <c r="A3223" s="2" t="s">
        <v>148</v>
      </c>
      <c r="B3223" s="2" t="s">
        <v>101</v>
      </c>
      <c r="C3223" s="2">
        <v>6.7499199999999995E-2</v>
      </c>
      <c r="D3223" s="60">
        <v>0</v>
      </c>
      <c r="E3223" s="2">
        <v>12.3</v>
      </c>
      <c r="F3223" s="2">
        <v>1.1000000000000001</v>
      </c>
      <c r="G3223" s="2">
        <v>26.8611</v>
      </c>
      <c r="H3223" s="2">
        <v>29.009899999999998</v>
      </c>
      <c r="I3223" s="2">
        <v>0</v>
      </c>
      <c r="J3223" s="2">
        <v>0</v>
      </c>
    </row>
    <row r="3224" spans="1:10">
      <c r="A3224" s="2" t="s">
        <v>148</v>
      </c>
      <c r="B3224" s="2" t="s">
        <v>62</v>
      </c>
      <c r="C3224" s="2">
        <v>0.33374500000000001</v>
      </c>
      <c r="D3224" s="60">
        <v>26.6996</v>
      </c>
      <c r="E3224" s="2">
        <v>8.3000000000000007</v>
      </c>
      <c r="F3224" s="2">
        <v>4</v>
      </c>
      <c r="G3224" s="2">
        <v>29.009899999999998</v>
      </c>
      <c r="H3224" s="2">
        <v>35.774500000000003</v>
      </c>
      <c r="I3224" s="2">
        <v>0</v>
      </c>
      <c r="J3224" s="2">
        <v>0</v>
      </c>
    </row>
    <row r="3225" spans="1:10">
      <c r="A3225" s="2" t="s">
        <v>148</v>
      </c>
      <c r="B3225" s="2" t="s">
        <v>59</v>
      </c>
      <c r="C3225" s="2">
        <v>0.46624599999999999</v>
      </c>
      <c r="D3225" s="60">
        <v>46.624600000000001</v>
      </c>
      <c r="E3225" s="2">
        <v>4.3</v>
      </c>
      <c r="F3225" s="2">
        <v>4</v>
      </c>
      <c r="G3225" s="2">
        <v>35.774500000000003</v>
      </c>
      <c r="H3225" s="2">
        <v>41.038600000000002</v>
      </c>
      <c r="I3225" s="2">
        <v>0</v>
      </c>
      <c r="J3225" s="2">
        <v>0</v>
      </c>
    </row>
    <row r="3226" spans="1:10">
      <c r="A3226" s="2" t="s">
        <v>148</v>
      </c>
      <c r="B3226" s="2" t="s">
        <v>55</v>
      </c>
      <c r="C3226" s="2">
        <v>0.62658000000000003</v>
      </c>
      <c r="D3226" s="60">
        <v>90.854100000000003</v>
      </c>
      <c r="E3226" s="2">
        <v>0.3</v>
      </c>
      <c r="F3226" s="2">
        <v>4</v>
      </c>
      <c r="G3226" s="2">
        <v>41.038600000000002</v>
      </c>
      <c r="H3226" s="2">
        <v>51.6736</v>
      </c>
      <c r="I3226" s="2">
        <v>0</v>
      </c>
      <c r="J3226" s="2">
        <v>0</v>
      </c>
    </row>
    <row r="3227" spans="1:10">
      <c r="A3227" s="2" t="s">
        <v>138</v>
      </c>
      <c r="B3227" s="2">
        <v>5</v>
      </c>
      <c r="C3227" s="2">
        <v>19.5396</v>
      </c>
      <c r="D3227" s="60" t="s">
        <v>129</v>
      </c>
      <c r="E3227" s="2" t="s">
        <v>149</v>
      </c>
    </row>
    <row r="3228" spans="1:10">
      <c r="A3228" s="2" t="s">
        <v>140</v>
      </c>
      <c r="B3228" s="2">
        <v>0</v>
      </c>
      <c r="C3228" s="2">
        <v>52.129800000000003</v>
      </c>
      <c r="D3228" s="60">
        <v>26.412299999999998</v>
      </c>
    </row>
    <row r="3229" spans="1:10">
      <c r="A3229" s="2" t="s">
        <v>141</v>
      </c>
      <c r="B3229" s="2">
        <v>0</v>
      </c>
      <c r="C3229" s="2">
        <v>5.0999999999999996</v>
      </c>
      <c r="D3229" s="60" t="s">
        <v>145</v>
      </c>
    </row>
    <row r="3230" spans="1:10">
      <c r="A3230" s="2" t="s">
        <v>141</v>
      </c>
      <c r="B3230" s="2">
        <v>0</v>
      </c>
      <c r="C3230" s="2">
        <v>5.7</v>
      </c>
      <c r="D3230" s="60" t="s">
        <v>146</v>
      </c>
    </row>
    <row r="3231" spans="1:10">
      <c r="A3231" s="2" t="s">
        <v>141</v>
      </c>
      <c r="B3231" s="2">
        <v>5.0999999999999996</v>
      </c>
      <c r="C3231" s="2">
        <v>5.5</v>
      </c>
      <c r="D3231" s="60" t="s">
        <v>147</v>
      </c>
    </row>
    <row r="3232" spans="1:10">
      <c r="A3232" s="2" t="s">
        <v>141</v>
      </c>
      <c r="B3232" s="2">
        <v>5.5</v>
      </c>
      <c r="C3232" s="2">
        <v>10.4</v>
      </c>
      <c r="D3232" s="60" t="s">
        <v>144</v>
      </c>
    </row>
    <row r="3233" spans="1:10">
      <c r="A3233" s="2" t="s">
        <v>141</v>
      </c>
      <c r="B3233" s="2">
        <v>5.7</v>
      </c>
      <c r="C3233" s="2">
        <v>6</v>
      </c>
      <c r="D3233" s="60" t="s">
        <v>153</v>
      </c>
    </row>
    <row r="3234" spans="1:10">
      <c r="A3234" s="2" t="s">
        <v>141</v>
      </c>
      <c r="B3234" s="2">
        <v>5.7</v>
      </c>
      <c r="C3234" s="2">
        <v>6</v>
      </c>
      <c r="D3234" s="60" t="s">
        <v>154</v>
      </c>
    </row>
    <row r="3235" spans="1:10">
      <c r="A3235" s="2" t="s">
        <v>141</v>
      </c>
      <c r="B3235" s="2">
        <v>5.7</v>
      </c>
      <c r="C3235" s="2">
        <v>11</v>
      </c>
      <c r="D3235" s="60" t="s">
        <v>155</v>
      </c>
    </row>
    <row r="3236" spans="1:10">
      <c r="A3236" s="2" t="s">
        <v>141</v>
      </c>
      <c r="B3236" s="2">
        <v>10.4</v>
      </c>
      <c r="C3236" s="2">
        <v>11</v>
      </c>
      <c r="D3236" s="60" t="s">
        <v>145</v>
      </c>
    </row>
    <row r="3237" spans="1:10">
      <c r="A3237" s="2" t="s">
        <v>141</v>
      </c>
      <c r="B3237" s="2">
        <v>11</v>
      </c>
      <c r="C3237" s="2">
        <v>20.983000000000001</v>
      </c>
      <c r="D3237" s="60" t="s">
        <v>144</v>
      </c>
    </row>
    <row r="3238" spans="1:10">
      <c r="A3238" s="2" t="s">
        <v>141</v>
      </c>
      <c r="B3238" s="2">
        <v>11</v>
      </c>
      <c r="C3238" s="2">
        <v>20.983000000000001</v>
      </c>
      <c r="D3238" s="60" t="s">
        <v>161</v>
      </c>
    </row>
    <row r="3239" spans="1:10">
      <c r="A3239" s="2" t="s">
        <v>156</v>
      </c>
      <c r="B3239" s="2">
        <v>5.7</v>
      </c>
      <c r="C3239" s="2">
        <v>34.951099999999997</v>
      </c>
    </row>
    <row r="3240" spans="1:10">
      <c r="A3240" s="2" t="s">
        <v>148</v>
      </c>
      <c r="B3240" s="2" t="s">
        <v>99</v>
      </c>
      <c r="C3240" s="2">
        <v>6.4794199999999996E-2</v>
      </c>
      <c r="D3240" s="60">
        <v>0</v>
      </c>
      <c r="E3240" s="2">
        <v>0</v>
      </c>
      <c r="F3240" s="2">
        <v>0.3</v>
      </c>
      <c r="G3240" s="2">
        <v>51.197099999999999</v>
      </c>
      <c r="H3240" s="2">
        <v>53.780700000000003</v>
      </c>
      <c r="I3240" s="2">
        <v>0</v>
      </c>
      <c r="J3240" s="2">
        <v>0</v>
      </c>
    </row>
    <row r="3241" spans="1:10">
      <c r="A3241" s="2" t="s">
        <v>148</v>
      </c>
      <c r="B3241" s="2" t="s">
        <v>100</v>
      </c>
      <c r="C3241" s="2">
        <v>1.8864800000000001E-2</v>
      </c>
      <c r="D3241" s="60">
        <v>0</v>
      </c>
      <c r="E3241" s="2">
        <v>20.3874</v>
      </c>
      <c r="F3241" s="2">
        <v>6.0248900000000001</v>
      </c>
      <c r="G3241" s="2">
        <v>0</v>
      </c>
      <c r="H3241" s="2">
        <v>10</v>
      </c>
      <c r="I3241" s="2">
        <v>0</v>
      </c>
      <c r="J3241" s="2">
        <v>0</v>
      </c>
    </row>
    <row r="3242" spans="1:10">
      <c r="A3242" s="2" t="s">
        <v>148</v>
      </c>
      <c r="B3242" s="2" t="s">
        <v>98</v>
      </c>
      <c r="C3242" s="2">
        <v>2.3047700000000001E-2</v>
      </c>
      <c r="D3242" s="60">
        <v>0</v>
      </c>
      <c r="E3242" s="2">
        <v>18.203499999999998</v>
      </c>
      <c r="F3242" s="2">
        <v>2.1838299999999999</v>
      </c>
      <c r="G3242" s="2">
        <v>10</v>
      </c>
      <c r="H3242" s="2">
        <v>13.119199999999999</v>
      </c>
      <c r="I3242" s="2">
        <v>0</v>
      </c>
      <c r="J3242" s="2">
        <v>0</v>
      </c>
    </row>
    <row r="3243" spans="1:10">
      <c r="A3243" s="2" t="s">
        <v>148</v>
      </c>
      <c r="B3243" s="2" t="s">
        <v>101</v>
      </c>
      <c r="C3243" s="2">
        <v>0.22917399999999999</v>
      </c>
      <c r="D3243" s="60">
        <v>0</v>
      </c>
      <c r="E3243" s="2">
        <v>10</v>
      </c>
      <c r="F3243" s="2">
        <v>8.1999999999999993</v>
      </c>
      <c r="G3243" s="2">
        <v>13.1242</v>
      </c>
      <c r="H3243" s="2">
        <v>23.5487</v>
      </c>
      <c r="I3243" s="2">
        <v>0</v>
      </c>
      <c r="J3243" s="2">
        <v>0</v>
      </c>
    </row>
    <row r="3244" spans="1:10">
      <c r="A3244" s="2" t="s">
        <v>148</v>
      </c>
      <c r="B3244" s="2" t="s">
        <v>63</v>
      </c>
      <c r="C3244" s="2">
        <v>0.203846</v>
      </c>
      <c r="D3244" s="60">
        <v>14.2692</v>
      </c>
      <c r="E3244" s="2">
        <v>6</v>
      </c>
      <c r="F3244" s="2">
        <v>4</v>
      </c>
      <c r="G3244" s="2">
        <v>23.5487</v>
      </c>
      <c r="H3244" s="2">
        <v>27.204499999999999</v>
      </c>
      <c r="I3244" s="2">
        <v>0</v>
      </c>
      <c r="J3244" s="2">
        <v>0</v>
      </c>
    </row>
    <row r="3245" spans="1:10">
      <c r="A3245" s="2" t="s">
        <v>148</v>
      </c>
      <c r="B3245" s="2" t="s">
        <v>101</v>
      </c>
      <c r="C3245" s="2">
        <v>0.19409499999999999</v>
      </c>
      <c r="D3245" s="60">
        <v>0</v>
      </c>
      <c r="E3245" s="2">
        <v>4.3</v>
      </c>
      <c r="F3245" s="2">
        <v>1.7</v>
      </c>
      <c r="G3245" s="2">
        <v>27.204499999999999</v>
      </c>
      <c r="H3245" s="2">
        <v>40.863500000000002</v>
      </c>
      <c r="I3245" s="2">
        <v>0</v>
      </c>
      <c r="J3245" s="2">
        <v>0</v>
      </c>
    </row>
    <row r="3246" spans="1:10">
      <c r="A3246" s="2" t="s">
        <v>148</v>
      </c>
      <c r="B3246" s="2" t="s">
        <v>58</v>
      </c>
      <c r="C3246" s="2">
        <v>0.61891600000000002</v>
      </c>
      <c r="D3246" s="60">
        <v>64.986099999999993</v>
      </c>
      <c r="E3246" s="2">
        <v>0.3</v>
      </c>
      <c r="F3246" s="2">
        <v>4</v>
      </c>
      <c r="G3246" s="2">
        <v>40.863500000000002</v>
      </c>
      <c r="H3246" s="2">
        <v>51.197099999999999</v>
      </c>
      <c r="I3246" s="2">
        <v>0</v>
      </c>
      <c r="J3246" s="2">
        <v>0</v>
      </c>
    </row>
    <row r="3247" spans="1:10">
      <c r="A3247" s="2" t="s">
        <v>140</v>
      </c>
      <c r="B3247" s="2">
        <v>1</v>
      </c>
      <c r="C3247" s="2">
        <v>30.120699999999999</v>
      </c>
      <c r="D3247" s="60">
        <v>26.412299999999998</v>
      </c>
      <c r="E3247" s="2">
        <v>5.7</v>
      </c>
      <c r="F3247" s="2">
        <v>10.6</v>
      </c>
    </row>
    <row r="3248" spans="1:10">
      <c r="A3248" s="2" t="s">
        <v>141</v>
      </c>
      <c r="B3248" s="2">
        <v>5.7</v>
      </c>
      <c r="C3248" s="2">
        <v>6</v>
      </c>
      <c r="D3248" s="60" t="s">
        <v>153</v>
      </c>
    </row>
    <row r="3249" spans="1:10">
      <c r="A3249" s="2" t="s">
        <v>141</v>
      </c>
      <c r="B3249" s="2">
        <v>5.7</v>
      </c>
      <c r="C3249" s="2">
        <v>7.1</v>
      </c>
      <c r="D3249" s="60" t="s">
        <v>146</v>
      </c>
    </row>
    <row r="3250" spans="1:10">
      <c r="A3250" s="2" t="s">
        <v>141</v>
      </c>
      <c r="B3250" s="2">
        <v>5.7</v>
      </c>
      <c r="C3250" s="2">
        <v>20.983000000000001</v>
      </c>
      <c r="D3250" s="60" t="s">
        <v>144</v>
      </c>
    </row>
    <row r="3251" spans="1:10">
      <c r="A3251" s="2" t="s">
        <v>141</v>
      </c>
      <c r="B3251" s="2">
        <v>7.1</v>
      </c>
      <c r="C3251" s="2">
        <v>20.983000000000001</v>
      </c>
      <c r="D3251" s="60" t="s">
        <v>161</v>
      </c>
    </row>
    <row r="3252" spans="1:10">
      <c r="A3252" s="2" t="s">
        <v>148</v>
      </c>
      <c r="B3252" s="2" t="s">
        <v>101</v>
      </c>
      <c r="C3252" s="2">
        <v>0.18915499999999999</v>
      </c>
      <c r="D3252" s="60">
        <v>0</v>
      </c>
      <c r="E3252" s="2">
        <v>5.7</v>
      </c>
      <c r="F3252" s="2">
        <v>4.9000000000000004</v>
      </c>
      <c r="G3252" s="2">
        <v>20.059100000000001</v>
      </c>
      <c r="H3252" s="2">
        <v>24.025500000000001</v>
      </c>
      <c r="I3252" s="2">
        <v>0</v>
      </c>
      <c r="J3252" s="2">
        <v>0</v>
      </c>
    </row>
    <row r="3253" spans="1:10">
      <c r="A3253" s="2" t="s">
        <v>138</v>
      </c>
      <c r="B3253" s="2">
        <v>6</v>
      </c>
      <c r="C3253" s="2">
        <v>19.625900000000001</v>
      </c>
      <c r="D3253" s="60" t="s">
        <v>129</v>
      </c>
      <c r="E3253" s="2" t="s">
        <v>149</v>
      </c>
    </row>
    <row r="3254" spans="1:10">
      <c r="A3254" s="2" t="s">
        <v>140</v>
      </c>
      <c r="B3254" s="2">
        <v>0</v>
      </c>
      <c r="C3254" s="2">
        <v>55.626899999999999</v>
      </c>
      <c r="D3254" s="60">
        <v>26.674800000000001</v>
      </c>
    </row>
    <row r="3255" spans="1:10">
      <c r="A3255" s="2" t="s">
        <v>141</v>
      </c>
      <c r="B3255" s="2">
        <v>0</v>
      </c>
      <c r="C3255" s="2">
        <v>5.9</v>
      </c>
      <c r="D3255" s="60" t="s">
        <v>142</v>
      </c>
    </row>
    <row r="3256" spans="1:10">
      <c r="A3256" s="2" t="s">
        <v>141</v>
      </c>
      <c r="B3256" s="2">
        <v>0</v>
      </c>
      <c r="C3256" s="2">
        <v>12</v>
      </c>
      <c r="D3256" s="60" t="s">
        <v>146</v>
      </c>
    </row>
    <row r="3257" spans="1:10">
      <c r="A3257" s="2" t="s">
        <v>141</v>
      </c>
      <c r="B3257" s="2">
        <v>5.9</v>
      </c>
      <c r="C3257" s="2">
        <v>6.8</v>
      </c>
      <c r="D3257" s="60" t="s">
        <v>144</v>
      </c>
    </row>
    <row r="3258" spans="1:10">
      <c r="A3258" s="2" t="s">
        <v>141</v>
      </c>
      <c r="B3258" s="2">
        <v>6.8</v>
      </c>
      <c r="C3258" s="2">
        <v>7.2</v>
      </c>
      <c r="D3258" s="60" t="s">
        <v>151</v>
      </c>
    </row>
    <row r="3259" spans="1:10">
      <c r="A3259" s="2" t="s">
        <v>141</v>
      </c>
      <c r="B3259" s="2">
        <v>7.2</v>
      </c>
      <c r="C3259" s="2">
        <v>11</v>
      </c>
      <c r="D3259" s="60" t="s">
        <v>145</v>
      </c>
    </row>
    <row r="3260" spans="1:10">
      <c r="A3260" s="2" t="s">
        <v>141</v>
      </c>
      <c r="B3260" s="2">
        <v>11</v>
      </c>
      <c r="C3260" s="2">
        <v>12</v>
      </c>
      <c r="D3260" s="60" t="s">
        <v>147</v>
      </c>
    </row>
    <row r="3261" spans="1:10">
      <c r="A3261" s="2" t="s">
        <v>141</v>
      </c>
      <c r="B3261" s="2">
        <v>12</v>
      </c>
      <c r="C3261" s="2">
        <v>21.177299999999999</v>
      </c>
      <c r="D3261" s="60" t="s">
        <v>144</v>
      </c>
    </row>
    <row r="3262" spans="1:10">
      <c r="A3262" s="2" t="s">
        <v>141</v>
      </c>
      <c r="B3262" s="2">
        <v>12</v>
      </c>
      <c r="C3262" s="2">
        <v>21.177299999999999</v>
      </c>
      <c r="D3262" s="60" t="s">
        <v>155</v>
      </c>
    </row>
    <row r="3263" spans="1:10">
      <c r="A3263" s="2" t="s">
        <v>148</v>
      </c>
      <c r="B3263" s="2" t="s">
        <v>99</v>
      </c>
      <c r="C3263" s="2">
        <v>7.2827500000000003E-2</v>
      </c>
      <c r="D3263" s="60">
        <v>0</v>
      </c>
      <c r="E3263" s="2">
        <v>0</v>
      </c>
      <c r="F3263" s="2">
        <v>0.3</v>
      </c>
      <c r="G3263" s="2">
        <v>54.289299999999997</v>
      </c>
      <c r="H3263" s="2">
        <v>57.004100000000001</v>
      </c>
      <c r="I3263" s="2">
        <v>0</v>
      </c>
      <c r="J3263" s="2">
        <v>0</v>
      </c>
    </row>
    <row r="3264" spans="1:10">
      <c r="A3264" s="2" t="s">
        <v>148</v>
      </c>
      <c r="B3264" s="2" t="s">
        <v>100</v>
      </c>
      <c r="C3264" s="2">
        <v>1.24368E-2</v>
      </c>
      <c r="D3264" s="60">
        <v>0</v>
      </c>
      <c r="E3264" s="2">
        <v>23.088100000000001</v>
      </c>
      <c r="F3264" s="2">
        <v>3.5866799999999999</v>
      </c>
      <c r="G3264" s="2">
        <v>0</v>
      </c>
      <c r="H3264" s="2">
        <v>10</v>
      </c>
      <c r="I3264" s="2">
        <v>0</v>
      </c>
      <c r="J3264" s="2">
        <v>0</v>
      </c>
    </row>
    <row r="3265" spans="1:10">
      <c r="A3265" s="2" t="s">
        <v>148</v>
      </c>
      <c r="B3265" s="2" t="s">
        <v>98</v>
      </c>
      <c r="C3265" s="2">
        <v>0.11729000000000001</v>
      </c>
      <c r="D3265" s="60">
        <v>0</v>
      </c>
      <c r="E3265" s="2">
        <v>17.440100000000001</v>
      </c>
      <c r="F3265" s="2">
        <v>5.6480600000000001</v>
      </c>
      <c r="G3265" s="2">
        <v>10</v>
      </c>
      <c r="H3265" s="2">
        <v>21.9084</v>
      </c>
      <c r="I3265" s="2">
        <v>0</v>
      </c>
      <c r="J3265" s="2">
        <v>0</v>
      </c>
    </row>
    <row r="3266" spans="1:10">
      <c r="A3266" s="2" t="s">
        <v>148</v>
      </c>
      <c r="B3266" s="2" t="s">
        <v>101</v>
      </c>
      <c r="C3266" s="2">
        <v>8.7560899999999997E-2</v>
      </c>
      <c r="D3266" s="60">
        <v>0</v>
      </c>
      <c r="E3266" s="2">
        <v>15.5</v>
      </c>
      <c r="F3266" s="2">
        <v>1.9400500000000001</v>
      </c>
      <c r="G3266" s="2">
        <v>21.9084</v>
      </c>
      <c r="H3266" s="2">
        <v>25.947800000000001</v>
      </c>
      <c r="I3266" s="2">
        <v>0</v>
      </c>
      <c r="J3266" s="2">
        <v>0</v>
      </c>
    </row>
    <row r="3267" spans="1:10">
      <c r="A3267" s="2" t="s">
        <v>148</v>
      </c>
      <c r="B3267" s="2" t="s">
        <v>63</v>
      </c>
      <c r="C3267" s="2">
        <v>0.28052899999999997</v>
      </c>
      <c r="D3267" s="60">
        <v>19.637</v>
      </c>
      <c r="E3267" s="2">
        <v>11.5</v>
      </c>
      <c r="F3267" s="2">
        <v>4</v>
      </c>
      <c r="G3267" s="2">
        <v>25.947800000000001</v>
      </c>
      <c r="H3267" s="2">
        <v>33.431899999999999</v>
      </c>
      <c r="I3267" s="2">
        <v>0</v>
      </c>
      <c r="J3267" s="2">
        <v>0</v>
      </c>
    </row>
    <row r="3268" spans="1:10">
      <c r="A3268" s="2" t="s">
        <v>148</v>
      </c>
      <c r="B3268" s="2" t="s">
        <v>62</v>
      </c>
      <c r="C3268" s="2">
        <v>0.68084599999999995</v>
      </c>
      <c r="D3268" s="60">
        <v>54.467700000000001</v>
      </c>
      <c r="E3268" s="2">
        <v>5.5</v>
      </c>
      <c r="F3268" s="2">
        <v>6</v>
      </c>
      <c r="G3268" s="2">
        <v>33.431899999999999</v>
      </c>
      <c r="H3268" s="2">
        <v>41.9238</v>
      </c>
      <c r="I3268" s="2">
        <v>0</v>
      </c>
      <c r="J3268" s="2">
        <v>0</v>
      </c>
    </row>
    <row r="3269" spans="1:10">
      <c r="A3269" s="2" t="s">
        <v>148</v>
      </c>
      <c r="B3269" s="2" t="s">
        <v>55</v>
      </c>
      <c r="C3269" s="2">
        <v>0.86802400000000002</v>
      </c>
      <c r="D3269" s="60">
        <v>125.864</v>
      </c>
      <c r="E3269" s="2">
        <v>0.3</v>
      </c>
      <c r="F3269" s="2">
        <v>5.2</v>
      </c>
      <c r="G3269" s="2">
        <v>41.9238</v>
      </c>
      <c r="H3269" s="2">
        <v>54.289299999999997</v>
      </c>
      <c r="I3269" s="2">
        <v>0</v>
      </c>
      <c r="J3269" s="2">
        <v>0</v>
      </c>
    </row>
    <row r="3270" spans="1:10">
      <c r="A3270" s="2" t="s">
        <v>138</v>
      </c>
      <c r="B3270" s="2">
        <v>7</v>
      </c>
      <c r="C3270" s="2">
        <v>19.786100000000001</v>
      </c>
      <c r="D3270" s="60" t="s">
        <v>129</v>
      </c>
      <c r="E3270" s="2" t="s">
        <v>149</v>
      </c>
    </row>
    <row r="3271" spans="1:10">
      <c r="A3271" s="2" t="s">
        <v>140</v>
      </c>
      <c r="B3271" s="2">
        <v>0</v>
      </c>
      <c r="C3271" s="2">
        <v>66.025300000000001</v>
      </c>
      <c r="D3271" s="60">
        <v>27.349499999999999</v>
      </c>
    </row>
    <row r="3272" spans="1:10">
      <c r="A3272" s="2" t="s">
        <v>141</v>
      </c>
      <c r="B3272" s="2">
        <v>0</v>
      </c>
      <c r="C3272" s="2">
        <v>6.7</v>
      </c>
      <c r="D3272" s="60" t="s">
        <v>142</v>
      </c>
    </row>
    <row r="3273" spans="1:10">
      <c r="A3273" s="2" t="s">
        <v>141</v>
      </c>
      <c r="B3273" s="2">
        <v>0</v>
      </c>
      <c r="C3273" s="2">
        <v>6.7</v>
      </c>
      <c r="D3273" s="60" t="s">
        <v>146</v>
      </c>
    </row>
    <row r="3274" spans="1:10">
      <c r="A3274" s="2" t="s">
        <v>141</v>
      </c>
      <c r="B3274" s="2">
        <v>0</v>
      </c>
      <c r="C3274" s="2">
        <v>7.2</v>
      </c>
      <c r="D3274" s="60" t="s">
        <v>158</v>
      </c>
    </row>
    <row r="3275" spans="1:10">
      <c r="A3275" s="2" t="s">
        <v>141</v>
      </c>
      <c r="B3275" s="2">
        <v>6.7</v>
      </c>
      <c r="C3275" s="2">
        <v>7.2</v>
      </c>
      <c r="D3275" s="60" t="s">
        <v>144</v>
      </c>
    </row>
    <row r="3276" spans="1:10">
      <c r="A3276" s="2" t="s">
        <v>141</v>
      </c>
      <c r="B3276" s="2">
        <v>6.7</v>
      </c>
      <c r="C3276" s="2">
        <v>11.1</v>
      </c>
      <c r="D3276" s="60" t="s">
        <v>155</v>
      </c>
    </row>
    <row r="3277" spans="1:10">
      <c r="A3277" s="2" t="s">
        <v>141</v>
      </c>
      <c r="B3277" s="2">
        <v>7.2</v>
      </c>
      <c r="C3277" s="2">
        <v>7.9</v>
      </c>
      <c r="D3277" s="60" t="s">
        <v>151</v>
      </c>
    </row>
    <row r="3278" spans="1:10">
      <c r="A3278" s="2" t="s">
        <v>141</v>
      </c>
      <c r="B3278" s="2">
        <v>7.2</v>
      </c>
      <c r="C3278" s="2">
        <v>7.9</v>
      </c>
      <c r="D3278" s="60" t="s">
        <v>178</v>
      </c>
    </row>
    <row r="3279" spans="1:10">
      <c r="A3279" s="2" t="s">
        <v>141</v>
      </c>
      <c r="B3279" s="2">
        <v>7.9</v>
      </c>
      <c r="C3279" s="2">
        <v>9.5</v>
      </c>
      <c r="D3279" s="60" t="s">
        <v>145</v>
      </c>
    </row>
    <row r="3280" spans="1:10">
      <c r="A3280" s="2" t="s">
        <v>141</v>
      </c>
      <c r="B3280" s="2">
        <v>9.5</v>
      </c>
      <c r="C3280" s="2">
        <v>10</v>
      </c>
      <c r="D3280" s="60" t="s">
        <v>151</v>
      </c>
    </row>
    <row r="3281" spans="1:10">
      <c r="A3281" s="2" t="s">
        <v>141</v>
      </c>
      <c r="B3281" s="2">
        <v>10</v>
      </c>
      <c r="C3281" s="2">
        <v>11.1</v>
      </c>
      <c r="D3281" s="60" t="s">
        <v>145</v>
      </c>
    </row>
    <row r="3282" spans="1:10">
      <c r="A3282" s="2" t="s">
        <v>141</v>
      </c>
      <c r="B3282" s="2">
        <v>11.1</v>
      </c>
      <c r="C3282" s="2">
        <v>11.5</v>
      </c>
      <c r="D3282" s="60" t="s">
        <v>151</v>
      </c>
    </row>
    <row r="3283" spans="1:10">
      <c r="A3283" s="2" t="s">
        <v>141</v>
      </c>
      <c r="B3283" s="2">
        <v>11.1</v>
      </c>
      <c r="C3283" s="2">
        <v>11.5</v>
      </c>
      <c r="D3283" s="60" t="s">
        <v>159</v>
      </c>
    </row>
    <row r="3284" spans="1:10">
      <c r="A3284" s="2" t="s">
        <v>141</v>
      </c>
      <c r="B3284" s="2">
        <v>11.5</v>
      </c>
      <c r="C3284" s="2">
        <v>12.9</v>
      </c>
      <c r="D3284" s="60" t="s">
        <v>144</v>
      </c>
    </row>
    <row r="3285" spans="1:10">
      <c r="A3285" s="2" t="s">
        <v>141</v>
      </c>
      <c r="B3285" s="2">
        <v>11.5</v>
      </c>
      <c r="C3285" s="2">
        <v>21.676600000000001</v>
      </c>
      <c r="D3285" s="60" t="s">
        <v>155</v>
      </c>
    </row>
    <row r="3286" spans="1:10">
      <c r="A3286" s="2" t="s">
        <v>141</v>
      </c>
      <c r="B3286" s="2">
        <v>12.9</v>
      </c>
      <c r="C3286" s="2">
        <v>13.2</v>
      </c>
      <c r="D3286" s="60" t="s">
        <v>147</v>
      </c>
    </row>
    <row r="3287" spans="1:10">
      <c r="A3287" s="2" t="s">
        <v>141</v>
      </c>
      <c r="B3287" s="2">
        <v>13.2</v>
      </c>
      <c r="C3287" s="2">
        <v>21.676600000000001</v>
      </c>
      <c r="D3287" s="60" t="s">
        <v>144</v>
      </c>
    </row>
    <row r="3288" spans="1:10">
      <c r="A3288" s="2" t="s">
        <v>148</v>
      </c>
      <c r="B3288" s="2" t="s">
        <v>99</v>
      </c>
      <c r="C3288" s="2">
        <v>9.9138000000000004E-2</v>
      </c>
      <c r="D3288" s="60">
        <v>0</v>
      </c>
      <c r="E3288" s="2">
        <v>0</v>
      </c>
      <c r="F3288" s="2">
        <v>0.3</v>
      </c>
      <c r="G3288" s="2">
        <v>63.373899999999999</v>
      </c>
      <c r="H3288" s="2">
        <v>66.470500000000001</v>
      </c>
      <c r="I3288" s="2">
        <v>0</v>
      </c>
      <c r="J3288" s="2">
        <v>0</v>
      </c>
    </row>
    <row r="3289" spans="1:10">
      <c r="A3289" s="2" t="s">
        <v>148</v>
      </c>
      <c r="B3289" s="2" t="s">
        <v>100</v>
      </c>
      <c r="C3289" s="2">
        <v>1.05621E-2</v>
      </c>
      <c r="D3289" s="60">
        <v>0</v>
      </c>
      <c r="E3289" s="2">
        <v>24.406300000000002</v>
      </c>
      <c r="F3289" s="2">
        <v>2.9431099999999999</v>
      </c>
      <c r="G3289" s="2">
        <v>0</v>
      </c>
      <c r="H3289" s="2">
        <v>10.000299999999999</v>
      </c>
      <c r="I3289" s="2">
        <v>0</v>
      </c>
      <c r="J3289" s="2">
        <v>0</v>
      </c>
    </row>
    <row r="3290" spans="1:10">
      <c r="A3290" s="2" t="s">
        <v>148</v>
      </c>
      <c r="B3290" s="2" t="s">
        <v>98</v>
      </c>
      <c r="C3290" s="2">
        <v>0.477238</v>
      </c>
      <c r="D3290" s="60">
        <v>0</v>
      </c>
      <c r="E3290" s="2">
        <v>13.6981</v>
      </c>
      <c r="F3290" s="2">
        <v>10.708299999999999</v>
      </c>
      <c r="G3290" s="2">
        <v>10.000299999999999</v>
      </c>
      <c r="H3290" s="2">
        <v>35.1252</v>
      </c>
      <c r="I3290" s="2">
        <v>0</v>
      </c>
      <c r="J3290" s="2">
        <v>0</v>
      </c>
    </row>
    <row r="3291" spans="1:10">
      <c r="A3291" s="2" t="s">
        <v>148</v>
      </c>
      <c r="B3291" s="2" t="s">
        <v>101</v>
      </c>
      <c r="C3291" s="2">
        <v>0.38354899999999997</v>
      </c>
      <c r="D3291" s="60">
        <v>0</v>
      </c>
      <c r="E3291" s="2">
        <v>10.4</v>
      </c>
      <c r="F3291" s="2">
        <v>3.2980700000000001</v>
      </c>
      <c r="G3291" s="2">
        <v>35.1252</v>
      </c>
      <c r="H3291" s="2">
        <v>41.551699999999997</v>
      </c>
      <c r="I3291" s="2">
        <v>0</v>
      </c>
      <c r="J3291" s="2">
        <v>0</v>
      </c>
    </row>
    <row r="3292" spans="1:10">
      <c r="A3292" s="2" t="s">
        <v>148</v>
      </c>
      <c r="B3292" s="2" t="s">
        <v>62</v>
      </c>
      <c r="C3292" s="2">
        <v>0.63204700000000003</v>
      </c>
      <c r="D3292" s="60">
        <v>50.563800000000001</v>
      </c>
      <c r="E3292" s="2">
        <v>6.4</v>
      </c>
      <c r="F3292" s="2">
        <v>4</v>
      </c>
      <c r="G3292" s="2">
        <v>41.551699999999997</v>
      </c>
      <c r="H3292" s="2">
        <v>47.833300000000001</v>
      </c>
      <c r="I3292" s="2">
        <v>0</v>
      </c>
      <c r="J3292" s="2">
        <v>0</v>
      </c>
    </row>
    <row r="3293" spans="1:10">
      <c r="A3293" s="2" t="s">
        <v>148</v>
      </c>
      <c r="B3293" s="2" t="s">
        <v>55</v>
      </c>
      <c r="C3293" s="2">
        <v>1.3522799999999999</v>
      </c>
      <c r="D3293" s="60">
        <v>196.08099999999999</v>
      </c>
      <c r="E3293" s="2">
        <v>0.3</v>
      </c>
      <c r="F3293" s="2">
        <v>6.1</v>
      </c>
      <c r="G3293" s="2">
        <v>47.833300000000001</v>
      </c>
      <c r="H3293" s="2">
        <v>63.373899999999999</v>
      </c>
      <c r="I3293" s="2">
        <v>0</v>
      </c>
      <c r="J3293" s="2">
        <v>0</v>
      </c>
    </row>
    <row r="3294" spans="1:10">
      <c r="A3294" s="2" t="s">
        <v>138</v>
      </c>
      <c r="B3294" s="2">
        <v>8</v>
      </c>
      <c r="C3294" s="2">
        <v>19.441199999999998</v>
      </c>
      <c r="D3294" s="60" t="s">
        <v>129</v>
      </c>
      <c r="E3294" s="2" t="s">
        <v>149</v>
      </c>
    </row>
    <row r="3295" spans="1:10">
      <c r="A3295" s="2" t="s">
        <v>140</v>
      </c>
      <c r="B3295" s="2">
        <v>0</v>
      </c>
      <c r="C3295" s="2">
        <v>49.026899999999998</v>
      </c>
      <c r="D3295" s="60">
        <v>26.162199999999999</v>
      </c>
    </row>
    <row r="3296" spans="1:10">
      <c r="A3296" s="2" t="s">
        <v>141</v>
      </c>
      <c r="B3296" s="2">
        <v>0</v>
      </c>
      <c r="C3296" s="2">
        <v>6.3</v>
      </c>
      <c r="D3296" s="60" t="s">
        <v>142</v>
      </c>
    </row>
    <row r="3297" spans="1:10">
      <c r="A3297" s="2" t="s">
        <v>141</v>
      </c>
      <c r="B3297" s="2">
        <v>0</v>
      </c>
      <c r="C3297" s="2">
        <v>12</v>
      </c>
      <c r="D3297" s="60" t="s">
        <v>146</v>
      </c>
    </row>
    <row r="3298" spans="1:10">
      <c r="A3298" s="2" t="s">
        <v>141</v>
      </c>
      <c r="B3298" s="2">
        <v>6.3</v>
      </c>
      <c r="C3298" s="2">
        <v>12</v>
      </c>
      <c r="D3298" s="60" t="s">
        <v>145</v>
      </c>
    </row>
    <row r="3299" spans="1:10">
      <c r="A3299" s="2" t="s">
        <v>141</v>
      </c>
      <c r="B3299" s="2">
        <v>12</v>
      </c>
      <c r="C3299" s="2">
        <v>20.797899999999998</v>
      </c>
      <c r="D3299" s="60" t="s">
        <v>144</v>
      </c>
    </row>
    <row r="3300" spans="1:10">
      <c r="A3300" s="2" t="s">
        <v>141</v>
      </c>
      <c r="B3300" s="2">
        <v>12</v>
      </c>
      <c r="C3300" s="2">
        <v>20.797899999999998</v>
      </c>
      <c r="D3300" s="60" t="s">
        <v>161</v>
      </c>
    </row>
    <row r="3301" spans="1:10">
      <c r="A3301" s="2" t="s">
        <v>148</v>
      </c>
      <c r="B3301" s="2" t="s">
        <v>99</v>
      </c>
      <c r="C3301" s="2">
        <v>5.8017399999999997E-2</v>
      </c>
      <c r="D3301" s="60">
        <v>0</v>
      </c>
      <c r="E3301" s="2">
        <v>0</v>
      </c>
      <c r="F3301" s="2">
        <v>0.3</v>
      </c>
      <c r="G3301" s="2">
        <v>48.436100000000003</v>
      </c>
      <c r="H3301" s="2">
        <v>50.902000000000001</v>
      </c>
      <c r="I3301" s="2">
        <v>0</v>
      </c>
      <c r="J3301" s="2">
        <v>0</v>
      </c>
    </row>
    <row r="3302" spans="1:10">
      <c r="A3302" s="2" t="s">
        <v>148</v>
      </c>
      <c r="B3302" s="2" t="s">
        <v>100</v>
      </c>
      <c r="C3302" s="2">
        <v>1.3833099999999999E-2</v>
      </c>
      <c r="D3302" s="60">
        <v>0</v>
      </c>
      <c r="E3302" s="2">
        <v>22.0611</v>
      </c>
      <c r="F3302" s="2">
        <v>4.1010299999999997</v>
      </c>
      <c r="G3302" s="2">
        <v>0</v>
      </c>
      <c r="H3302" s="2">
        <v>10</v>
      </c>
      <c r="I3302" s="2">
        <v>0</v>
      </c>
      <c r="J3302" s="2">
        <v>0</v>
      </c>
    </row>
    <row r="3303" spans="1:10">
      <c r="A3303" s="2" t="s">
        <v>148</v>
      </c>
      <c r="B3303" s="2" t="s">
        <v>98</v>
      </c>
      <c r="C3303" s="2">
        <v>0.27539599999999997</v>
      </c>
      <c r="D3303" s="60">
        <v>0</v>
      </c>
      <c r="E3303" s="2">
        <v>12.833600000000001</v>
      </c>
      <c r="F3303" s="2">
        <v>9.2274799999999999</v>
      </c>
      <c r="G3303" s="2">
        <v>10</v>
      </c>
      <c r="H3303" s="2">
        <v>27.353200000000001</v>
      </c>
      <c r="I3303" s="2">
        <v>0</v>
      </c>
      <c r="J3303" s="2">
        <v>0</v>
      </c>
    </row>
    <row r="3304" spans="1:10">
      <c r="A3304" s="2" t="s">
        <v>148</v>
      </c>
      <c r="B3304" s="2" t="s">
        <v>101</v>
      </c>
      <c r="C3304" s="2">
        <v>8.47908E-2</v>
      </c>
      <c r="D3304" s="60">
        <v>0</v>
      </c>
      <c r="E3304" s="2">
        <v>11.5</v>
      </c>
      <c r="F3304" s="2">
        <v>1.33365</v>
      </c>
      <c r="G3304" s="2">
        <v>27.353200000000001</v>
      </c>
      <c r="H3304" s="2">
        <v>29.5108</v>
      </c>
      <c r="I3304" s="2">
        <v>0</v>
      </c>
      <c r="J3304" s="2">
        <v>0</v>
      </c>
    </row>
    <row r="3305" spans="1:10">
      <c r="A3305" s="2" t="s">
        <v>148</v>
      </c>
      <c r="B3305" s="2" t="s">
        <v>60</v>
      </c>
      <c r="C3305" s="2">
        <v>0.53614499999999998</v>
      </c>
      <c r="D3305" s="60">
        <v>48.253</v>
      </c>
      <c r="E3305" s="2">
        <v>5.5</v>
      </c>
      <c r="F3305" s="2">
        <v>6</v>
      </c>
      <c r="G3305" s="2">
        <v>29.5108</v>
      </c>
      <c r="H3305" s="2">
        <v>37.320099999999996</v>
      </c>
      <c r="I3305" s="2">
        <v>0</v>
      </c>
      <c r="J3305" s="2">
        <v>0</v>
      </c>
    </row>
    <row r="3306" spans="1:10">
      <c r="A3306" s="2" t="s">
        <v>148</v>
      </c>
      <c r="B3306" s="2" t="s">
        <v>56</v>
      </c>
      <c r="C3306" s="2">
        <v>0.68936600000000003</v>
      </c>
      <c r="D3306" s="60">
        <v>96.511300000000006</v>
      </c>
      <c r="E3306" s="2">
        <v>0.3</v>
      </c>
      <c r="F3306" s="2">
        <v>5.2</v>
      </c>
      <c r="G3306" s="2">
        <v>37.320099999999996</v>
      </c>
      <c r="H3306" s="2">
        <v>48.436100000000003</v>
      </c>
      <c r="I3306" s="2">
        <v>0</v>
      </c>
      <c r="J3306" s="2">
        <v>0</v>
      </c>
    </row>
    <row r="3307" spans="1:10">
      <c r="A3307" s="2" t="s">
        <v>138</v>
      </c>
      <c r="B3307" s="2">
        <v>9</v>
      </c>
      <c r="C3307" s="2">
        <v>19.5748</v>
      </c>
      <c r="D3307" s="60" t="s">
        <v>129</v>
      </c>
      <c r="E3307" s="2" t="s">
        <v>149</v>
      </c>
    </row>
    <row r="3308" spans="1:10">
      <c r="A3308" s="2" t="s">
        <v>140</v>
      </c>
      <c r="B3308" s="2">
        <v>0</v>
      </c>
      <c r="C3308" s="2">
        <v>53.446800000000003</v>
      </c>
      <c r="D3308" s="60">
        <v>26.513500000000001</v>
      </c>
    </row>
    <row r="3309" spans="1:10">
      <c r="A3309" s="2" t="s">
        <v>141</v>
      </c>
      <c r="B3309" s="2">
        <v>0</v>
      </c>
      <c r="C3309" s="2">
        <v>5.7</v>
      </c>
      <c r="D3309" s="60" t="s">
        <v>142</v>
      </c>
    </row>
    <row r="3310" spans="1:10">
      <c r="A3310" s="2" t="s">
        <v>141</v>
      </c>
      <c r="B3310" s="2">
        <v>0</v>
      </c>
      <c r="C3310" s="2">
        <v>7.3</v>
      </c>
      <c r="D3310" s="60" t="s">
        <v>146</v>
      </c>
    </row>
    <row r="3311" spans="1:10">
      <c r="A3311" s="2" t="s">
        <v>141</v>
      </c>
      <c r="B3311" s="2">
        <v>0</v>
      </c>
      <c r="C3311" s="2">
        <v>7.3</v>
      </c>
      <c r="D3311" s="60" t="s">
        <v>158</v>
      </c>
    </row>
    <row r="3312" spans="1:10">
      <c r="A3312" s="2" t="s">
        <v>141</v>
      </c>
      <c r="B3312" s="2">
        <v>5.7</v>
      </c>
      <c r="C3312" s="2">
        <v>7.3</v>
      </c>
      <c r="D3312" s="60" t="s">
        <v>145</v>
      </c>
    </row>
    <row r="3313" spans="1:10">
      <c r="A3313" s="2" t="s">
        <v>141</v>
      </c>
      <c r="B3313" s="2">
        <v>7.3</v>
      </c>
      <c r="C3313" s="2">
        <v>7.6</v>
      </c>
      <c r="D3313" s="60" t="s">
        <v>160</v>
      </c>
    </row>
    <row r="3314" spans="1:10">
      <c r="A3314" s="2" t="s">
        <v>141</v>
      </c>
      <c r="B3314" s="2">
        <v>7.3</v>
      </c>
      <c r="C3314" s="2">
        <v>7.7</v>
      </c>
      <c r="D3314" s="60" t="s">
        <v>159</v>
      </c>
    </row>
    <row r="3315" spans="1:10">
      <c r="A3315" s="2" t="s">
        <v>141</v>
      </c>
      <c r="B3315" s="2">
        <v>7.3</v>
      </c>
      <c r="C3315" s="2">
        <v>11</v>
      </c>
      <c r="D3315" s="60" t="s">
        <v>147</v>
      </c>
    </row>
    <row r="3316" spans="1:10">
      <c r="A3316" s="2" t="s">
        <v>141</v>
      </c>
      <c r="B3316" s="2">
        <v>7.7</v>
      </c>
      <c r="C3316" s="2">
        <v>11</v>
      </c>
      <c r="D3316" s="60" t="s">
        <v>146</v>
      </c>
    </row>
    <row r="3317" spans="1:10">
      <c r="A3317" s="2" t="s">
        <v>141</v>
      </c>
      <c r="B3317" s="2">
        <v>11</v>
      </c>
      <c r="C3317" s="2">
        <v>12</v>
      </c>
      <c r="D3317" s="60" t="s">
        <v>151</v>
      </c>
    </row>
    <row r="3318" spans="1:10">
      <c r="A3318" s="2" t="s">
        <v>141</v>
      </c>
      <c r="B3318" s="2">
        <v>11</v>
      </c>
      <c r="C3318" s="2">
        <v>12</v>
      </c>
      <c r="D3318" s="60" t="s">
        <v>161</v>
      </c>
    </row>
    <row r="3319" spans="1:10">
      <c r="A3319" s="2" t="s">
        <v>141</v>
      </c>
      <c r="B3319" s="2">
        <v>12</v>
      </c>
      <c r="C3319" s="2">
        <v>21.0579</v>
      </c>
      <c r="D3319" s="60" t="s">
        <v>144</v>
      </c>
    </row>
    <row r="3320" spans="1:10">
      <c r="A3320" s="2" t="s">
        <v>141</v>
      </c>
      <c r="B3320" s="2">
        <v>12</v>
      </c>
      <c r="C3320" s="2">
        <v>21.0579</v>
      </c>
      <c r="D3320" s="60" t="s">
        <v>152</v>
      </c>
    </row>
    <row r="3321" spans="1:10">
      <c r="A3321" s="2" t="s">
        <v>148</v>
      </c>
      <c r="B3321" s="2" t="s">
        <v>99</v>
      </c>
      <c r="C3321" s="2">
        <v>6.7770700000000003E-2</v>
      </c>
      <c r="D3321" s="60">
        <v>0</v>
      </c>
      <c r="E3321" s="2">
        <v>0</v>
      </c>
      <c r="F3321" s="2">
        <v>0.3</v>
      </c>
      <c r="G3321" s="2">
        <v>52.363999999999997</v>
      </c>
      <c r="H3321" s="2">
        <v>54.997199999999999</v>
      </c>
      <c r="I3321" s="2">
        <v>0</v>
      </c>
      <c r="J3321" s="2">
        <v>0</v>
      </c>
    </row>
    <row r="3322" spans="1:10">
      <c r="A3322" s="2" t="s">
        <v>148</v>
      </c>
      <c r="B3322" s="2" t="s">
        <v>100</v>
      </c>
      <c r="C3322" s="2">
        <v>1.2877700000000001E-2</v>
      </c>
      <c r="D3322" s="60">
        <v>0</v>
      </c>
      <c r="E3322" s="2">
        <v>22.767600000000002</v>
      </c>
      <c r="F3322" s="2">
        <v>3.74587</v>
      </c>
      <c r="G3322" s="2">
        <v>0</v>
      </c>
      <c r="H3322" s="2">
        <v>10</v>
      </c>
      <c r="I3322" s="2">
        <v>0</v>
      </c>
      <c r="J3322" s="2">
        <v>0</v>
      </c>
    </row>
    <row r="3323" spans="1:10">
      <c r="A3323" s="2" t="s">
        <v>148</v>
      </c>
      <c r="B3323" s="2" t="s">
        <v>101</v>
      </c>
      <c r="C3323" s="2">
        <v>5.3789699999999996E-4</v>
      </c>
      <c r="D3323" s="60">
        <v>0</v>
      </c>
      <c r="E3323" s="2">
        <v>22.7</v>
      </c>
      <c r="F3323" s="2">
        <v>6.7591600000000002E-2</v>
      </c>
      <c r="G3323" s="2">
        <v>10</v>
      </c>
      <c r="H3323" s="2">
        <v>10.132</v>
      </c>
      <c r="I3323" s="2">
        <v>0</v>
      </c>
      <c r="J3323" s="2">
        <v>0</v>
      </c>
    </row>
    <row r="3324" spans="1:10">
      <c r="A3324" s="2" t="s">
        <v>148</v>
      </c>
      <c r="B3324" s="2" t="s">
        <v>64</v>
      </c>
      <c r="C3324" s="2">
        <v>8.4745500000000001E-2</v>
      </c>
      <c r="D3324" s="60">
        <v>2.54236</v>
      </c>
      <c r="E3324" s="2">
        <v>18</v>
      </c>
      <c r="F3324" s="2">
        <v>4.7</v>
      </c>
      <c r="G3324" s="2">
        <v>10.132</v>
      </c>
      <c r="H3324" s="2">
        <v>19.758800000000001</v>
      </c>
      <c r="I3324" s="2">
        <v>0</v>
      </c>
      <c r="J3324" s="2">
        <v>0</v>
      </c>
    </row>
    <row r="3325" spans="1:10">
      <c r="A3325" s="2" t="s">
        <v>148</v>
      </c>
      <c r="B3325" s="2" t="s">
        <v>64</v>
      </c>
      <c r="C3325" s="2">
        <v>0.31722899999999998</v>
      </c>
      <c r="D3325" s="60">
        <v>9.5168800000000005</v>
      </c>
      <c r="E3325" s="2">
        <v>12</v>
      </c>
      <c r="F3325" s="2">
        <v>6</v>
      </c>
      <c r="G3325" s="2">
        <v>19.758800000000001</v>
      </c>
      <c r="H3325" s="2">
        <v>31.305</v>
      </c>
      <c r="I3325" s="2">
        <v>0</v>
      </c>
      <c r="J3325" s="2">
        <v>0</v>
      </c>
    </row>
    <row r="3326" spans="1:10">
      <c r="A3326" s="2" t="s">
        <v>148</v>
      </c>
      <c r="B3326" s="2" t="s">
        <v>101</v>
      </c>
      <c r="C3326" s="2">
        <v>0.67083599999999999</v>
      </c>
      <c r="D3326" s="60">
        <v>0</v>
      </c>
      <c r="E3326" s="2">
        <v>5.5</v>
      </c>
      <c r="F3326" s="2">
        <v>6.5</v>
      </c>
      <c r="G3326" s="2">
        <v>31.305</v>
      </c>
      <c r="H3326" s="2">
        <v>40.408999999999999</v>
      </c>
      <c r="I3326" s="2">
        <v>0</v>
      </c>
      <c r="J3326" s="2">
        <v>0</v>
      </c>
    </row>
    <row r="3327" spans="1:10">
      <c r="A3327" s="2" t="s">
        <v>148</v>
      </c>
      <c r="B3327" s="2" t="s">
        <v>55</v>
      </c>
      <c r="C3327" s="2">
        <v>0.80697300000000005</v>
      </c>
      <c r="D3327" s="60">
        <v>117.011</v>
      </c>
      <c r="E3327" s="2">
        <v>0.3</v>
      </c>
      <c r="F3327" s="2">
        <v>5.2</v>
      </c>
      <c r="G3327" s="2">
        <v>40.408999999999999</v>
      </c>
      <c r="H3327" s="2">
        <v>52.363999999999997</v>
      </c>
      <c r="I3327" s="2">
        <v>0</v>
      </c>
      <c r="J3327" s="2">
        <v>0</v>
      </c>
    </row>
    <row r="3328" spans="1:10">
      <c r="A3328" s="2" t="s">
        <v>138</v>
      </c>
      <c r="B3328" s="2">
        <v>10</v>
      </c>
      <c r="C3328" s="2">
        <v>19.736899999999999</v>
      </c>
      <c r="D3328" s="60" t="s">
        <v>129</v>
      </c>
      <c r="E3328" s="2" t="s">
        <v>139</v>
      </c>
    </row>
    <row r="3329" spans="1:10">
      <c r="A3329" s="2" t="s">
        <v>140</v>
      </c>
      <c r="B3329" s="2">
        <v>0</v>
      </c>
      <c r="C3329" s="2">
        <v>61.504600000000003</v>
      </c>
      <c r="D3329" s="60">
        <v>27.516200000000001</v>
      </c>
    </row>
    <row r="3330" spans="1:10">
      <c r="A3330" s="2" t="s">
        <v>141</v>
      </c>
      <c r="B3330" s="2">
        <v>0</v>
      </c>
      <c r="C3330" s="2">
        <v>3.8</v>
      </c>
      <c r="D3330" s="60" t="s">
        <v>158</v>
      </c>
    </row>
    <row r="3331" spans="1:10">
      <c r="A3331" s="2" t="s">
        <v>141</v>
      </c>
      <c r="B3331" s="2">
        <v>0</v>
      </c>
      <c r="C3331" s="2">
        <v>6.6</v>
      </c>
      <c r="D3331" s="60" t="s">
        <v>142</v>
      </c>
    </row>
    <row r="3332" spans="1:10">
      <c r="A3332" s="2" t="s">
        <v>141</v>
      </c>
      <c r="B3332" s="2">
        <v>0</v>
      </c>
      <c r="C3332" s="2">
        <v>10.9</v>
      </c>
      <c r="D3332" s="60" t="s">
        <v>146</v>
      </c>
    </row>
    <row r="3333" spans="1:10">
      <c r="A3333" s="2" t="s">
        <v>141</v>
      </c>
      <c r="B3333" s="2">
        <v>3.8</v>
      </c>
      <c r="C3333" s="2">
        <v>4.2</v>
      </c>
      <c r="D3333" s="60" t="s">
        <v>174</v>
      </c>
    </row>
    <row r="3334" spans="1:10">
      <c r="A3334" s="2" t="s">
        <v>141</v>
      </c>
      <c r="B3334" s="2">
        <v>6.6</v>
      </c>
      <c r="C3334" s="2">
        <v>8.6</v>
      </c>
      <c r="D3334" s="60" t="s">
        <v>151</v>
      </c>
    </row>
    <row r="3335" spans="1:10">
      <c r="A3335" s="2" t="s">
        <v>141</v>
      </c>
      <c r="B3335" s="2">
        <v>8.6</v>
      </c>
      <c r="C3335" s="2">
        <v>10.9</v>
      </c>
      <c r="D3335" s="60" t="s">
        <v>144</v>
      </c>
    </row>
    <row r="3336" spans="1:10">
      <c r="A3336" s="2" t="s">
        <v>141</v>
      </c>
      <c r="B3336" s="2">
        <v>10.9</v>
      </c>
      <c r="C3336" s="2">
        <v>11.6</v>
      </c>
      <c r="D3336" s="60" t="s">
        <v>151</v>
      </c>
    </row>
    <row r="3337" spans="1:10">
      <c r="A3337" s="2" t="s">
        <v>141</v>
      </c>
      <c r="B3337" s="2">
        <v>10.9</v>
      </c>
      <c r="C3337" s="2">
        <v>11.6</v>
      </c>
      <c r="D3337" s="60" t="s">
        <v>159</v>
      </c>
    </row>
    <row r="3338" spans="1:10">
      <c r="A3338" s="2" t="s">
        <v>141</v>
      </c>
      <c r="B3338" s="2">
        <v>11.6</v>
      </c>
      <c r="C3338" s="2">
        <v>12.7</v>
      </c>
      <c r="D3338" s="60" t="s">
        <v>147</v>
      </c>
    </row>
    <row r="3339" spans="1:10">
      <c r="A3339" s="2" t="s">
        <v>141</v>
      </c>
      <c r="B3339" s="2">
        <v>11.6</v>
      </c>
      <c r="C3339" s="2">
        <v>12.7</v>
      </c>
      <c r="D3339" s="60" t="s">
        <v>146</v>
      </c>
    </row>
    <row r="3340" spans="1:10">
      <c r="A3340" s="2" t="s">
        <v>141</v>
      </c>
      <c r="B3340" s="2">
        <v>12.7</v>
      </c>
      <c r="C3340" s="2">
        <v>21.8</v>
      </c>
      <c r="D3340" s="60" t="s">
        <v>144</v>
      </c>
    </row>
    <row r="3341" spans="1:10">
      <c r="A3341" s="2" t="s">
        <v>141</v>
      </c>
      <c r="B3341" s="2">
        <v>12.7</v>
      </c>
      <c r="C3341" s="2">
        <v>21.8</v>
      </c>
      <c r="D3341" s="60" t="s">
        <v>161</v>
      </c>
    </row>
    <row r="3342" spans="1:10">
      <c r="A3342" s="2" t="s">
        <v>148</v>
      </c>
      <c r="B3342" s="2" t="s">
        <v>99</v>
      </c>
      <c r="C3342" s="2">
        <v>8.7346699999999999E-2</v>
      </c>
      <c r="D3342" s="60">
        <v>0</v>
      </c>
      <c r="E3342" s="2">
        <v>0</v>
      </c>
      <c r="F3342" s="2">
        <v>0.3</v>
      </c>
      <c r="G3342" s="2">
        <v>59.493200000000002</v>
      </c>
      <c r="H3342" s="2">
        <v>62.383899999999997</v>
      </c>
      <c r="I3342" s="2">
        <v>0</v>
      </c>
      <c r="J3342" s="2">
        <v>0</v>
      </c>
    </row>
    <row r="3343" spans="1:10">
      <c r="A3343" s="2" t="s">
        <v>148</v>
      </c>
      <c r="B3343" s="2" t="s">
        <v>100</v>
      </c>
      <c r="C3343" s="2">
        <v>1.15169E-2</v>
      </c>
      <c r="D3343" s="60">
        <v>0</v>
      </c>
      <c r="E3343" s="2">
        <v>24.262899999999998</v>
      </c>
      <c r="F3343" s="2">
        <v>3.2532899999999998</v>
      </c>
      <c r="G3343" s="2">
        <v>0</v>
      </c>
      <c r="H3343" s="2">
        <v>10</v>
      </c>
      <c r="I3343" s="2">
        <v>0</v>
      </c>
      <c r="J3343" s="2">
        <v>0</v>
      </c>
    </row>
    <row r="3344" spans="1:10">
      <c r="A3344" s="2" t="s">
        <v>148</v>
      </c>
      <c r="B3344" s="2" t="s">
        <v>98</v>
      </c>
      <c r="C3344" s="2">
        <v>0.24354999999999999</v>
      </c>
      <c r="D3344" s="60">
        <v>0</v>
      </c>
      <c r="E3344" s="2">
        <v>16.203600000000002</v>
      </c>
      <c r="F3344" s="2">
        <v>8.0592600000000001</v>
      </c>
      <c r="G3344" s="2">
        <v>10</v>
      </c>
      <c r="H3344" s="2">
        <v>27.9328</v>
      </c>
      <c r="I3344" s="2">
        <v>0</v>
      </c>
      <c r="J3344" s="2">
        <v>0</v>
      </c>
    </row>
    <row r="3345" spans="1:10">
      <c r="A3345" s="2" t="s">
        <v>148</v>
      </c>
      <c r="B3345" s="2" t="s">
        <v>101</v>
      </c>
      <c r="C3345" s="2">
        <v>0.548925</v>
      </c>
      <c r="D3345" s="60">
        <v>0</v>
      </c>
      <c r="E3345" s="2">
        <v>10.199999999999999</v>
      </c>
      <c r="F3345" s="2">
        <v>6.0036399999999999</v>
      </c>
      <c r="G3345" s="2">
        <v>27.9328</v>
      </c>
      <c r="H3345" s="2">
        <v>39.428600000000003</v>
      </c>
      <c r="I3345" s="2">
        <v>0</v>
      </c>
      <c r="J3345" s="2">
        <v>0</v>
      </c>
    </row>
    <row r="3346" spans="1:10">
      <c r="A3346" s="2" t="s">
        <v>148</v>
      </c>
      <c r="B3346" s="2" t="s">
        <v>62</v>
      </c>
      <c r="C3346" s="2">
        <v>0.90587200000000001</v>
      </c>
      <c r="D3346" s="60">
        <v>72.469700000000003</v>
      </c>
      <c r="E3346" s="2">
        <v>4.2</v>
      </c>
      <c r="F3346" s="2">
        <v>6</v>
      </c>
      <c r="G3346" s="2">
        <v>39.428600000000003</v>
      </c>
      <c r="H3346" s="2">
        <v>47.763599999999997</v>
      </c>
      <c r="I3346" s="2">
        <v>0</v>
      </c>
      <c r="J3346" s="2">
        <v>0</v>
      </c>
    </row>
    <row r="3347" spans="1:10">
      <c r="A3347" s="2" t="s">
        <v>148</v>
      </c>
      <c r="B3347" s="2" t="s">
        <v>101</v>
      </c>
      <c r="C3347" s="2">
        <v>0.82131299999999996</v>
      </c>
      <c r="D3347" s="60">
        <v>0</v>
      </c>
      <c r="E3347" s="2">
        <v>0.3</v>
      </c>
      <c r="F3347" s="2">
        <v>3.9</v>
      </c>
      <c r="G3347" s="2">
        <v>47.763599999999997</v>
      </c>
      <c r="H3347" s="2">
        <v>59.493200000000002</v>
      </c>
      <c r="I3347" s="2">
        <v>0</v>
      </c>
      <c r="J3347" s="2">
        <v>0</v>
      </c>
    </row>
    <row r="3348" spans="1:10">
      <c r="A3348" s="2" t="s">
        <v>138</v>
      </c>
      <c r="B3348" s="2">
        <v>11</v>
      </c>
      <c r="C3348" s="2">
        <v>19.635200000000001</v>
      </c>
      <c r="D3348" s="60" t="s">
        <v>129</v>
      </c>
      <c r="E3348" s="2" t="s">
        <v>175</v>
      </c>
    </row>
    <row r="3349" spans="1:10">
      <c r="A3349" s="2" t="s">
        <v>140</v>
      </c>
      <c r="B3349" s="2">
        <v>0</v>
      </c>
      <c r="C3349" s="2">
        <v>56.0608</v>
      </c>
      <c r="D3349" s="60">
        <v>26.706</v>
      </c>
      <c r="E3349" s="2">
        <v>0</v>
      </c>
      <c r="F3349" s="2">
        <v>11.3</v>
      </c>
    </row>
    <row r="3350" spans="1:10">
      <c r="A3350" s="2" t="s">
        <v>141</v>
      </c>
      <c r="B3350" s="2">
        <v>0</v>
      </c>
      <c r="C3350" s="2">
        <v>5.4</v>
      </c>
      <c r="D3350" s="60" t="s">
        <v>142</v>
      </c>
    </row>
    <row r="3351" spans="1:10">
      <c r="A3351" s="2" t="s">
        <v>141</v>
      </c>
      <c r="B3351" s="2">
        <v>0</v>
      </c>
      <c r="C3351" s="2">
        <v>5.4</v>
      </c>
      <c r="D3351" s="60" t="s">
        <v>146</v>
      </c>
    </row>
    <row r="3352" spans="1:10">
      <c r="A3352" s="2" t="s">
        <v>141</v>
      </c>
      <c r="B3352" s="2">
        <v>0</v>
      </c>
      <c r="C3352" s="2">
        <v>5.4</v>
      </c>
      <c r="D3352" s="60" t="s">
        <v>158</v>
      </c>
    </row>
    <row r="3353" spans="1:10">
      <c r="A3353" s="2" t="s">
        <v>141</v>
      </c>
      <c r="B3353" s="2">
        <v>5.4</v>
      </c>
      <c r="C3353" s="2">
        <v>5.7</v>
      </c>
      <c r="D3353" s="60" t="s">
        <v>153</v>
      </c>
    </row>
    <row r="3354" spans="1:10">
      <c r="A3354" s="2" t="s">
        <v>141</v>
      </c>
      <c r="B3354" s="2">
        <v>5.4</v>
      </c>
      <c r="C3354" s="2">
        <v>5.7</v>
      </c>
      <c r="D3354" s="60" t="s">
        <v>154</v>
      </c>
    </row>
    <row r="3355" spans="1:10">
      <c r="A3355" s="2" t="s">
        <v>141</v>
      </c>
      <c r="B3355" s="2">
        <v>5.4</v>
      </c>
      <c r="C3355" s="2">
        <v>6</v>
      </c>
      <c r="D3355" s="60" t="s">
        <v>151</v>
      </c>
    </row>
    <row r="3356" spans="1:10">
      <c r="A3356" s="2" t="s">
        <v>141</v>
      </c>
      <c r="B3356" s="2">
        <v>5.4</v>
      </c>
      <c r="C3356" s="2">
        <v>6</v>
      </c>
      <c r="D3356" s="60" t="s">
        <v>178</v>
      </c>
    </row>
    <row r="3357" spans="1:10">
      <c r="A3357" s="2" t="s">
        <v>141</v>
      </c>
      <c r="B3357" s="2">
        <v>5.4</v>
      </c>
      <c r="C3357" s="2">
        <v>10.199999999999999</v>
      </c>
      <c r="D3357" s="60" t="s">
        <v>155</v>
      </c>
    </row>
    <row r="3358" spans="1:10">
      <c r="A3358" s="2" t="s">
        <v>141</v>
      </c>
      <c r="B3358" s="2">
        <v>6</v>
      </c>
      <c r="C3358" s="2">
        <v>9</v>
      </c>
      <c r="D3358" s="60" t="s">
        <v>144</v>
      </c>
    </row>
    <row r="3359" spans="1:10">
      <c r="A3359" s="2" t="s">
        <v>141</v>
      </c>
      <c r="B3359" s="2">
        <v>9</v>
      </c>
      <c r="C3359" s="2">
        <v>9.8000000000000007</v>
      </c>
      <c r="D3359" s="60" t="s">
        <v>145</v>
      </c>
    </row>
    <row r="3360" spans="1:10">
      <c r="A3360" s="2" t="s">
        <v>141</v>
      </c>
      <c r="B3360" s="2">
        <v>9.8000000000000007</v>
      </c>
      <c r="C3360" s="2">
        <v>10.199999999999999</v>
      </c>
      <c r="D3360" s="60" t="s">
        <v>151</v>
      </c>
    </row>
    <row r="3361" spans="1:10">
      <c r="A3361" s="2" t="s">
        <v>141</v>
      </c>
      <c r="B3361" s="2">
        <v>10.199999999999999</v>
      </c>
      <c r="C3361" s="2">
        <v>21.200399999999998</v>
      </c>
      <c r="D3361" s="60" t="s">
        <v>147</v>
      </c>
    </row>
    <row r="3362" spans="1:10">
      <c r="A3362" s="2" t="s">
        <v>141</v>
      </c>
      <c r="B3362" s="2">
        <v>10.199999999999999</v>
      </c>
      <c r="C3362" s="2">
        <v>21.200399999999998</v>
      </c>
      <c r="D3362" s="60" t="s">
        <v>161</v>
      </c>
    </row>
    <row r="3363" spans="1:10">
      <c r="A3363" s="2" t="s">
        <v>156</v>
      </c>
      <c r="B3363" s="2">
        <v>5.4</v>
      </c>
      <c r="C3363" s="2">
        <v>44.028399999999998</v>
      </c>
    </row>
    <row r="3364" spans="1:10">
      <c r="A3364" s="2" t="s">
        <v>148</v>
      </c>
      <c r="B3364" s="2" t="s">
        <v>99</v>
      </c>
      <c r="C3364" s="2">
        <v>7.3853299999999997E-2</v>
      </c>
      <c r="D3364" s="60">
        <v>0</v>
      </c>
      <c r="E3364" s="2">
        <v>0</v>
      </c>
      <c r="F3364" s="2">
        <v>0.3</v>
      </c>
      <c r="G3364" s="2">
        <v>54.671700000000001</v>
      </c>
      <c r="H3364" s="2">
        <v>57.4026</v>
      </c>
      <c r="I3364" s="2">
        <v>0</v>
      </c>
      <c r="J3364" s="2">
        <v>0</v>
      </c>
    </row>
    <row r="3365" spans="1:10">
      <c r="A3365" s="2" t="s">
        <v>148</v>
      </c>
      <c r="B3365" s="2" t="s">
        <v>101</v>
      </c>
      <c r="C3365" s="2">
        <v>0.101795</v>
      </c>
      <c r="D3365" s="60">
        <v>0</v>
      </c>
      <c r="E3365" s="2">
        <v>9.6999999999999993</v>
      </c>
      <c r="F3365" s="2">
        <v>1.6</v>
      </c>
      <c r="G3365" s="2">
        <v>27.407399999999999</v>
      </c>
      <c r="H3365" s="2">
        <v>29.469200000000001</v>
      </c>
      <c r="I3365" s="2">
        <v>0</v>
      </c>
      <c r="J3365" s="2">
        <v>0</v>
      </c>
    </row>
    <row r="3366" spans="1:10">
      <c r="A3366" s="2" t="s">
        <v>148</v>
      </c>
      <c r="B3366" s="2" t="s">
        <v>62</v>
      </c>
      <c r="C3366" s="2">
        <v>0.316716</v>
      </c>
      <c r="D3366" s="60">
        <v>25.337299999999999</v>
      </c>
      <c r="E3366" s="2">
        <v>5.7</v>
      </c>
      <c r="F3366" s="2">
        <v>4</v>
      </c>
      <c r="G3366" s="2">
        <v>29.469200000000001</v>
      </c>
      <c r="H3366" s="2">
        <v>33.815800000000003</v>
      </c>
      <c r="I3366" s="2">
        <v>0</v>
      </c>
      <c r="J3366" s="2">
        <v>0</v>
      </c>
    </row>
    <row r="3367" spans="1:10">
      <c r="A3367" s="2" t="s">
        <v>148</v>
      </c>
      <c r="B3367" s="2" t="s">
        <v>101</v>
      </c>
      <c r="C3367" s="2">
        <v>0.18699399999999999</v>
      </c>
      <c r="D3367" s="60">
        <v>0</v>
      </c>
      <c r="E3367" s="2">
        <v>4.3</v>
      </c>
      <c r="F3367" s="2">
        <v>1.4</v>
      </c>
      <c r="G3367" s="2">
        <v>33.815800000000003</v>
      </c>
      <c r="H3367" s="2">
        <v>43.673900000000003</v>
      </c>
      <c r="I3367" s="2">
        <v>0</v>
      </c>
      <c r="J3367" s="2">
        <v>0</v>
      </c>
    </row>
    <row r="3368" spans="1:10">
      <c r="A3368" s="2" t="s">
        <v>148</v>
      </c>
      <c r="B3368" s="2" t="s">
        <v>55</v>
      </c>
      <c r="C3368" s="2">
        <v>0.70655400000000002</v>
      </c>
      <c r="D3368" s="60">
        <v>102.45</v>
      </c>
      <c r="E3368" s="2">
        <v>0.3</v>
      </c>
      <c r="F3368" s="2">
        <v>4</v>
      </c>
      <c r="G3368" s="2">
        <v>43.673900000000003</v>
      </c>
      <c r="H3368" s="2">
        <v>54.671700000000001</v>
      </c>
      <c r="I3368" s="2">
        <v>0</v>
      </c>
      <c r="J3368" s="2">
        <v>0</v>
      </c>
    </row>
    <row r="3369" spans="1:10">
      <c r="A3369" s="2" t="s">
        <v>140</v>
      </c>
      <c r="B3369" s="2">
        <v>1</v>
      </c>
      <c r="C3369" s="2">
        <v>26.794</v>
      </c>
      <c r="D3369" s="60">
        <v>26.706</v>
      </c>
      <c r="E3369" s="2">
        <v>5.4</v>
      </c>
    </row>
    <row r="3370" spans="1:10">
      <c r="A3370" s="2" t="s">
        <v>141</v>
      </c>
      <c r="B3370" s="2">
        <v>5.4</v>
      </c>
      <c r="C3370" s="2">
        <v>5.7</v>
      </c>
      <c r="D3370" s="60" t="s">
        <v>153</v>
      </c>
    </row>
    <row r="3371" spans="1:10">
      <c r="A3371" s="2" t="s">
        <v>141</v>
      </c>
      <c r="B3371" s="2">
        <v>5.4</v>
      </c>
      <c r="C3371" s="2">
        <v>6.8</v>
      </c>
      <c r="D3371" s="60" t="s">
        <v>152</v>
      </c>
    </row>
    <row r="3372" spans="1:10">
      <c r="A3372" s="2" t="s">
        <v>141</v>
      </c>
      <c r="B3372" s="2">
        <v>5.4</v>
      </c>
      <c r="C3372" s="2">
        <v>21.200399999999998</v>
      </c>
      <c r="D3372" s="60" t="s">
        <v>144</v>
      </c>
    </row>
    <row r="3373" spans="1:10">
      <c r="A3373" s="2" t="s">
        <v>141</v>
      </c>
      <c r="B3373" s="2">
        <v>6.8</v>
      </c>
      <c r="C3373" s="2">
        <v>10</v>
      </c>
      <c r="D3373" s="60" t="s">
        <v>155</v>
      </c>
    </row>
    <row r="3374" spans="1:10">
      <c r="A3374" s="2" t="s">
        <v>141</v>
      </c>
      <c r="B3374" s="2">
        <v>10</v>
      </c>
      <c r="C3374" s="2">
        <v>21.200399999999998</v>
      </c>
      <c r="D3374" s="60" t="s">
        <v>152</v>
      </c>
    </row>
    <row r="3375" spans="1:10">
      <c r="A3375" s="2" t="s">
        <v>148</v>
      </c>
      <c r="B3375" s="2" t="s">
        <v>100</v>
      </c>
      <c r="C3375" s="2">
        <v>2.3844799999999999E-2</v>
      </c>
      <c r="D3375" s="60">
        <v>0</v>
      </c>
      <c r="E3375" s="2">
        <v>18.712499999999999</v>
      </c>
      <c r="F3375" s="2">
        <v>7.9935600000000004</v>
      </c>
      <c r="G3375" s="2">
        <v>0</v>
      </c>
      <c r="H3375" s="2">
        <v>10</v>
      </c>
      <c r="I3375" s="2">
        <v>0</v>
      </c>
      <c r="J3375" s="2">
        <v>0</v>
      </c>
    </row>
    <row r="3376" spans="1:10">
      <c r="A3376" s="2" t="s">
        <v>148</v>
      </c>
      <c r="B3376" s="2" t="s">
        <v>101</v>
      </c>
      <c r="C3376" s="2">
        <v>9.7925500000000003E-5</v>
      </c>
      <c r="D3376" s="60">
        <v>0</v>
      </c>
      <c r="E3376" s="2">
        <v>18.7</v>
      </c>
      <c r="F3376" s="2">
        <v>1.2450900000000001E-2</v>
      </c>
      <c r="G3376" s="2">
        <v>10</v>
      </c>
      <c r="H3376" s="2">
        <v>10.0139</v>
      </c>
      <c r="I3376" s="2">
        <v>0</v>
      </c>
      <c r="J3376" s="2">
        <v>0</v>
      </c>
    </row>
    <row r="3377" spans="1:10">
      <c r="A3377" s="2" t="s">
        <v>148</v>
      </c>
      <c r="B3377" s="2" t="s">
        <v>64</v>
      </c>
      <c r="C3377" s="2">
        <v>4.1043000000000003E-2</v>
      </c>
      <c r="D3377" s="60">
        <v>1.23129</v>
      </c>
      <c r="E3377" s="2">
        <v>15.1</v>
      </c>
      <c r="F3377" s="2">
        <v>3.6</v>
      </c>
      <c r="G3377" s="2">
        <v>10.0139</v>
      </c>
      <c r="H3377" s="2">
        <v>13.9292</v>
      </c>
      <c r="I3377" s="2">
        <v>0</v>
      </c>
      <c r="J3377" s="2">
        <v>0</v>
      </c>
    </row>
    <row r="3378" spans="1:10">
      <c r="A3378" s="2" t="s">
        <v>148</v>
      </c>
      <c r="B3378" s="2" t="s">
        <v>64</v>
      </c>
      <c r="C3378" s="2">
        <v>7.00741E-2</v>
      </c>
      <c r="D3378" s="60">
        <v>2.10222</v>
      </c>
      <c r="E3378" s="2">
        <v>11.5</v>
      </c>
      <c r="F3378" s="2">
        <v>3.6</v>
      </c>
      <c r="G3378" s="2">
        <v>13.9292</v>
      </c>
      <c r="H3378" s="2">
        <v>17.394600000000001</v>
      </c>
      <c r="I3378" s="2">
        <v>0</v>
      </c>
      <c r="J3378" s="2">
        <v>0</v>
      </c>
    </row>
    <row r="3379" spans="1:10">
      <c r="A3379" s="2" t="s">
        <v>148</v>
      </c>
      <c r="B3379" s="2" t="s">
        <v>64</v>
      </c>
      <c r="C3379" s="2">
        <v>0.17677599999999999</v>
      </c>
      <c r="D3379" s="60">
        <v>5.3032899999999996</v>
      </c>
      <c r="E3379" s="2">
        <v>5.7</v>
      </c>
      <c r="F3379" s="2">
        <v>5.8</v>
      </c>
      <c r="G3379" s="2">
        <v>17.394600000000001</v>
      </c>
      <c r="H3379" s="2">
        <v>21.677</v>
      </c>
      <c r="I3379" s="2">
        <v>0</v>
      </c>
      <c r="J3379" s="2">
        <v>0</v>
      </c>
    </row>
    <row r="3380" spans="1:10">
      <c r="A3380" s="2" t="s">
        <v>148</v>
      </c>
      <c r="B3380" s="2" t="s">
        <v>101</v>
      </c>
      <c r="C3380" s="2">
        <v>1.11678E-2</v>
      </c>
      <c r="D3380" s="60">
        <v>0</v>
      </c>
      <c r="E3380" s="2">
        <v>5.4</v>
      </c>
      <c r="F3380" s="2">
        <v>0.3</v>
      </c>
      <c r="G3380" s="2">
        <v>21.677</v>
      </c>
      <c r="H3380" s="2">
        <v>21.864599999999999</v>
      </c>
      <c r="I3380" s="2">
        <v>0</v>
      </c>
      <c r="J3380" s="2">
        <v>0</v>
      </c>
    </row>
    <row r="3381" spans="1:10">
      <c r="A3381" s="2" t="s">
        <v>138</v>
      </c>
      <c r="B3381" s="2">
        <v>12</v>
      </c>
      <c r="C3381" s="2">
        <v>18.3964</v>
      </c>
      <c r="D3381" s="60" t="s">
        <v>129</v>
      </c>
      <c r="E3381" s="2" t="s">
        <v>175</v>
      </c>
    </row>
    <row r="3382" spans="1:10">
      <c r="A3382" s="2" t="s">
        <v>140</v>
      </c>
      <c r="B3382" s="2">
        <v>0</v>
      </c>
      <c r="C3382" s="2">
        <v>34.764899999999997</v>
      </c>
      <c r="D3382" s="60">
        <v>24.732399999999998</v>
      </c>
      <c r="E3382" s="2">
        <v>0</v>
      </c>
      <c r="F3382" s="2">
        <v>9.5</v>
      </c>
    </row>
    <row r="3383" spans="1:10">
      <c r="A3383" s="2" t="s">
        <v>141</v>
      </c>
      <c r="B3383" s="2">
        <v>0</v>
      </c>
      <c r="C3383" s="2">
        <v>1.6</v>
      </c>
      <c r="D3383" s="60" t="s">
        <v>158</v>
      </c>
    </row>
    <row r="3384" spans="1:10">
      <c r="A3384" s="2" t="s">
        <v>141</v>
      </c>
      <c r="B3384" s="2">
        <v>0</v>
      </c>
      <c r="C3384" s="2">
        <v>2</v>
      </c>
      <c r="D3384" s="60" t="s">
        <v>161</v>
      </c>
    </row>
    <row r="3385" spans="1:10">
      <c r="A3385" s="2" t="s">
        <v>141</v>
      </c>
      <c r="B3385" s="2">
        <v>0</v>
      </c>
      <c r="C3385" s="2">
        <v>19.739799999999999</v>
      </c>
      <c r="D3385" s="60" t="s">
        <v>144</v>
      </c>
    </row>
    <row r="3386" spans="1:10">
      <c r="A3386" s="2" t="s">
        <v>141</v>
      </c>
      <c r="B3386" s="2">
        <v>1.6</v>
      </c>
      <c r="C3386" s="2">
        <v>2</v>
      </c>
      <c r="D3386" s="60" t="s">
        <v>178</v>
      </c>
    </row>
    <row r="3387" spans="1:10">
      <c r="A3387" s="2" t="s">
        <v>141</v>
      </c>
      <c r="B3387" s="2">
        <v>2</v>
      </c>
      <c r="C3387" s="2">
        <v>19.739799999999999</v>
      </c>
      <c r="D3387" s="60" t="s">
        <v>152</v>
      </c>
    </row>
    <row r="3388" spans="1:10">
      <c r="A3388" s="2" t="s">
        <v>148</v>
      </c>
      <c r="B3388" s="2" t="s">
        <v>99</v>
      </c>
      <c r="C3388" s="2">
        <v>3.1242499999999999E-2</v>
      </c>
      <c r="D3388" s="60">
        <v>0</v>
      </c>
      <c r="E3388" s="2">
        <v>0</v>
      </c>
      <c r="F3388" s="2">
        <v>0.3</v>
      </c>
      <c r="G3388" s="2">
        <v>35.500799999999998</v>
      </c>
      <c r="H3388" s="2">
        <v>37.4041</v>
      </c>
      <c r="I3388" s="2">
        <v>0</v>
      </c>
      <c r="J3388" s="2">
        <v>0</v>
      </c>
    </row>
    <row r="3389" spans="1:10">
      <c r="A3389" s="2" t="s">
        <v>148</v>
      </c>
      <c r="B3389" s="2" t="s">
        <v>64</v>
      </c>
      <c r="C3389" s="2">
        <v>0.17868200000000001</v>
      </c>
      <c r="D3389" s="60">
        <v>5.3604500000000002</v>
      </c>
      <c r="E3389" s="2">
        <v>5.9</v>
      </c>
      <c r="F3389" s="2">
        <v>3.6</v>
      </c>
      <c r="G3389" s="2">
        <v>23.276700000000002</v>
      </c>
      <c r="H3389" s="2">
        <v>26.818300000000001</v>
      </c>
      <c r="I3389" s="2">
        <v>0</v>
      </c>
      <c r="J3389" s="2">
        <v>0</v>
      </c>
    </row>
    <row r="3390" spans="1:10">
      <c r="A3390" s="2" t="s">
        <v>148</v>
      </c>
      <c r="B3390" s="2" t="s">
        <v>64</v>
      </c>
      <c r="C3390" s="2">
        <v>0.24976499999999999</v>
      </c>
      <c r="D3390" s="60">
        <v>7.4929500000000004</v>
      </c>
      <c r="E3390" s="2">
        <v>2</v>
      </c>
      <c r="F3390" s="2">
        <v>3.9</v>
      </c>
      <c r="G3390" s="2">
        <v>26.818300000000001</v>
      </c>
      <c r="H3390" s="2">
        <v>30.530200000000001</v>
      </c>
      <c r="I3390" s="2">
        <v>0</v>
      </c>
      <c r="J3390" s="2">
        <v>0</v>
      </c>
    </row>
    <row r="3391" spans="1:10">
      <c r="A3391" s="2" t="s">
        <v>148</v>
      </c>
      <c r="B3391" s="2" t="s">
        <v>101</v>
      </c>
      <c r="C3391" s="2">
        <v>0.14097899999999999</v>
      </c>
      <c r="D3391" s="60">
        <v>0</v>
      </c>
      <c r="E3391" s="2">
        <v>0.3</v>
      </c>
      <c r="F3391" s="2">
        <v>1.7</v>
      </c>
      <c r="G3391" s="2">
        <v>30.530200000000001</v>
      </c>
      <c r="H3391" s="2">
        <v>35.500799999999998</v>
      </c>
      <c r="I3391" s="2">
        <v>0</v>
      </c>
      <c r="J3391" s="2">
        <v>0</v>
      </c>
    </row>
    <row r="3392" spans="1:10">
      <c r="A3392" s="2" t="s">
        <v>138</v>
      </c>
      <c r="B3392" s="2">
        <v>13</v>
      </c>
      <c r="C3392" s="2">
        <v>19.770299999999999</v>
      </c>
      <c r="D3392" s="60" t="s">
        <v>129</v>
      </c>
      <c r="E3392" s="2" t="s">
        <v>139</v>
      </c>
    </row>
    <row r="3393" spans="1:10">
      <c r="A3393" s="2" t="s">
        <v>140</v>
      </c>
      <c r="B3393" s="2">
        <v>0</v>
      </c>
      <c r="C3393" s="2">
        <v>70.499799999999993</v>
      </c>
      <c r="D3393" s="60">
        <v>23.057200000000002</v>
      </c>
    </row>
    <row r="3394" spans="1:10">
      <c r="A3394" s="2" t="s">
        <v>141</v>
      </c>
      <c r="B3394" s="2">
        <v>0</v>
      </c>
      <c r="C3394" s="2">
        <v>4.3</v>
      </c>
      <c r="D3394" s="60" t="s">
        <v>142</v>
      </c>
    </row>
    <row r="3395" spans="1:10">
      <c r="A3395" s="2" t="s">
        <v>141</v>
      </c>
      <c r="B3395" s="2">
        <v>0</v>
      </c>
      <c r="C3395" s="2">
        <v>7.8</v>
      </c>
      <c r="D3395" s="60" t="s">
        <v>155</v>
      </c>
    </row>
    <row r="3396" spans="1:10">
      <c r="A3396" s="2" t="s">
        <v>141</v>
      </c>
      <c r="B3396" s="2">
        <v>4.3</v>
      </c>
      <c r="C3396" s="2">
        <v>4.5999999999999996</v>
      </c>
      <c r="D3396" s="60" t="s">
        <v>153</v>
      </c>
    </row>
    <row r="3397" spans="1:10">
      <c r="A3397" s="2" t="s">
        <v>141</v>
      </c>
      <c r="B3397" s="2">
        <v>4.3</v>
      </c>
      <c r="C3397" s="2">
        <v>4.5999999999999996</v>
      </c>
      <c r="D3397" s="60" t="s">
        <v>154</v>
      </c>
    </row>
    <row r="3398" spans="1:10">
      <c r="A3398" s="2" t="s">
        <v>141</v>
      </c>
      <c r="B3398" s="2">
        <v>4.3</v>
      </c>
      <c r="C3398" s="2">
        <v>12</v>
      </c>
      <c r="D3398" s="60" t="s">
        <v>145</v>
      </c>
    </row>
    <row r="3399" spans="1:10">
      <c r="A3399" s="2" t="s">
        <v>141</v>
      </c>
      <c r="B3399" s="2">
        <v>7.8</v>
      </c>
      <c r="C3399" s="2">
        <v>9.8000000000000007</v>
      </c>
      <c r="D3399" s="60" t="s">
        <v>152</v>
      </c>
    </row>
    <row r="3400" spans="1:10">
      <c r="A3400" s="2" t="s">
        <v>141</v>
      </c>
      <c r="B3400" s="2">
        <v>9.8000000000000007</v>
      </c>
      <c r="C3400" s="2">
        <v>18.5</v>
      </c>
      <c r="D3400" s="60" t="s">
        <v>155</v>
      </c>
    </row>
    <row r="3401" spans="1:10">
      <c r="A3401" s="2" t="s">
        <v>141</v>
      </c>
      <c r="B3401" s="2">
        <v>12</v>
      </c>
      <c r="C3401" s="2">
        <v>12.5</v>
      </c>
      <c r="D3401" s="60" t="s">
        <v>147</v>
      </c>
    </row>
    <row r="3402" spans="1:10">
      <c r="A3402" s="2" t="s">
        <v>141</v>
      </c>
      <c r="B3402" s="2">
        <v>12.5</v>
      </c>
      <c r="C3402" s="2">
        <v>14.6</v>
      </c>
      <c r="D3402" s="60" t="s">
        <v>145</v>
      </c>
    </row>
    <row r="3403" spans="1:10">
      <c r="A3403" s="2" t="s">
        <v>141</v>
      </c>
      <c r="B3403" s="2">
        <v>14.6</v>
      </c>
      <c r="C3403" s="2">
        <v>18.5</v>
      </c>
      <c r="D3403" s="60" t="s">
        <v>144</v>
      </c>
    </row>
    <row r="3404" spans="1:10">
      <c r="A3404" s="2" t="s">
        <v>156</v>
      </c>
      <c r="B3404" s="2">
        <v>4.3</v>
      </c>
      <c r="C3404" s="2">
        <v>49.457900000000002</v>
      </c>
    </row>
    <row r="3405" spans="1:10">
      <c r="A3405" s="2" t="s">
        <v>148</v>
      </c>
      <c r="B3405" s="2" t="s">
        <v>99</v>
      </c>
      <c r="C3405" s="2">
        <v>0.110351</v>
      </c>
      <c r="D3405" s="60">
        <v>0</v>
      </c>
      <c r="E3405" s="2">
        <v>0</v>
      </c>
      <c r="F3405" s="2">
        <v>0.3</v>
      </c>
      <c r="G3405" s="2">
        <v>66.614400000000003</v>
      </c>
      <c r="H3405" s="2">
        <v>70.422499999999999</v>
      </c>
      <c r="I3405" s="2">
        <v>0</v>
      </c>
      <c r="J3405" s="2">
        <v>0</v>
      </c>
    </row>
    <row r="3406" spans="1:10">
      <c r="A3406" s="2" t="s">
        <v>148</v>
      </c>
      <c r="B3406" s="2" t="s">
        <v>100</v>
      </c>
      <c r="C3406" s="2">
        <v>1.20973E-2</v>
      </c>
      <c r="D3406" s="60">
        <v>0</v>
      </c>
      <c r="E3406" s="2">
        <v>19.4772</v>
      </c>
      <c r="F3406" s="2">
        <v>3.58</v>
      </c>
      <c r="G3406" s="2">
        <v>0</v>
      </c>
      <c r="H3406" s="2">
        <v>10</v>
      </c>
      <c r="I3406" s="2">
        <v>0</v>
      </c>
      <c r="J3406" s="2">
        <v>0</v>
      </c>
    </row>
    <row r="3407" spans="1:10">
      <c r="A3407" s="2" t="s">
        <v>148</v>
      </c>
      <c r="B3407" s="2" t="s">
        <v>101</v>
      </c>
      <c r="C3407" s="2">
        <v>6.1635200000000002E-4</v>
      </c>
      <c r="D3407" s="60">
        <v>0</v>
      </c>
      <c r="E3407" s="2">
        <v>19.399999999999999</v>
      </c>
      <c r="F3407" s="2">
        <v>7.72095E-2</v>
      </c>
      <c r="G3407" s="2">
        <v>10</v>
      </c>
      <c r="H3407" s="2">
        <v>10.1633</v>
      </c>
      <c r="I3407" s="2">
        <v>0</v>
      </c>
      <c r="J3407" s="2">
        <v>0</v>
      </c>
    </row>
    <row r="3408" spans="1:10">
      <c r="A3408" s="2" t="s">
        <v>148</v>
      </c>
      <c r="B3408" s="2" t="s">
        <v>64</v>
      </c>
      <c r="C3408" s="2">
        <v>5.7641900000000003E-2</v>
      </c>
      <c r="D3408" s="60">
        <v>1.72926</v>
      </c>
      <c r="E3408" s="2">
        <v>15.8</v>
      </c>
      <c r="F3408" s="2">
        <v>3.6</v>
      </c>
      <c r="G3408" s="2">
        <v>10.1633</v>
      </c>
      <c r="H3408" s="2">
        <v>18.093499999999999</v>
      </c>
      <c r="I3408" s="2">
        <v>0</v>
      </c>
      <c r="J3408" s="2">
        <v>0</v>
      </c>
    </row>
    <row r="3409" spans="1:10">
      <c r="A3409" s="2" t="s">
        <v>148</v>
      </c>
      <c r="B3409" s="2" t="s">
        <v>63</v>
      </c>
      <c r="C3409" s="2">
        <v>0.28779900000000003</v>
      </c>
      <c r="D3409" s="60">
        <v>20.145900000000001</v>
      </c>
      <c r="E3409" s="2">
        <v>9.8000000000000007</v>
      </c>
      <c r="F3409" s="2">
        <v>6</v>
      </c>
      <c r="G3409" s="2">
        <v>18.093499999999999</v>
      </c>
      <c r="H3409" s="2">
        <v>30.315300000000001</v>
      </c>
      <c r="I3409" s="2">
        <v>0</v>
      </c>
      <c r="J3409" s="2">
        <v>0</v>
      </c>
    </row>
    <row r="3410" spans="1:10">
      <c r="A3410" s="2" t="s">
        <v>148</v>
      </c>
      <c r="B3410" s="2" t="s">
        <v>64</v>
      </c>
      <c r="C3410" s="2">
        <v>0.48333199999999998</v>
      </c>
      <c r="D3410" s="60">
        <v>14.5</v>
      </c>
      <c r="E3410" s="2">
        <v>4.5999999999999996</v>
      </c>
      <c r="F3410" s="2">
        <v>5.2</v>
      </c>
      <c r="G3410" s="2">
        <v>30.315300000000001</v>
      </c>
      <c r="H3410" s="2">
        <v>37.899900000000002</v>
      </c>
      <c r="I3410" s="2">
        <v>0</v>
      </c>
      <c r="J3410" s="2">
        <v>0</v>
      </c>
    </row>
    <row r="3411" spans="1:10">
      <c r="A3411" s="2" t="s">
        <v>148</v>
      </c>
      <c r="B3411" s="2" t="s">
        <v>101</v>
      </c>
      <c r="C3411" s="2">
        <v>3.4179300000000003E-2</v>
      </c>
      <c r="D3411" s="60">
        <v>0</v>
      </c>
      <c r="E3411" s="2">
        <v>4.3</v>
      </c>
      <c r="F3411" s="2">
        <v>0.3</v>
      </c>
      <c r="G3411" s="2">
        <v>37.899900000000002</v>
      </c>
      <c r="H3411" s="2">
        <v>52.569899999999997</v>
      </c>
      <c r="I3411" s="2">
        <v>0</v>
      </c>
      <c r="J3411" s="2">
        <v>0</v>
      </c>
    </row>
    <row r="3412" spans="1:10">
      <c r="A3412" s="2" t="s">
        <v>148</v>
      </c>
      <c r="B3412" s="2" t="s">
        <v>62</v>
      </c>
      <c r="C3412" s="2">
        <v>1.03372</v>
      </c>
      <c r="D3412" s="60">
        <v>82.697900000000004</v>
      </c>
      <c r="E3412" s="2">
        <v>0.3</v>
      </c>
      <c r="F3412" s="2">
        <v>4</v>
      </c>
      <c r="G3412" s="2">
        <v>52.569899999999997</v>
      </c>
      <c r="H3412" s="2">
        <v>66.614400000000003</v>
      </c>
      <c r="I3412" s="2">
        <v>0</v>
      </c>
      <c r="J3412" s="2">
        <v>0</v>
      </c>
    </row>
    <row r="3413" spans="1:10">
      <c r="A3413" s="2" t="s">
        <v>140</v>
      </c>
      <c r="B3413" s="2">
        <v>1</v>
      </c>
      <c r="C3413" s="2">
        <v>41.874899999999997</v>
      </c>
      <c r="D3413" s="60">
        <v>23.057200000000002</v>
      </c>
      <c r="E3413" s="2">
        <v>4.3</v>
      </c>
    </row>
    <row r="3414" spans="1:10">
      <c r="A3414" s="2" t="s">
        <v>141</v>
      </c>
      <c r="B3414" s="2">
        <v>4.3</v>
      </c>
      <c r="C3414" s="2">
        <v>4.5999999999999996</v>
      </c>
      <c r="D3414" s="60" t="s">
        <v>153</v>
      </c>
    </row>
    <row r="3415" spans="1:10">
      <c r="A3415" s="2" t="s">
        <v>141</v>
      </c>
      <c r="B3415" s="2">
        <v>4.3</v>
      </c>
      <c r="C3415" s="2">
        <v>8.5</v>
      </c>
      <c r="D3415" s="60" t="s">
        <v>155</v>
      </c>
    </row>
    <row r="3416" spans="1:10">
      <c r="A3416" s="2" t="s">
        <v>141</v>
      </c>
      <c r="B3416" s="2">
        <v>4.3</v>
      </c>
      <c r="C3416" s="2">
        <v>10.5</v>
      </c>
      <c r="D3416" s="60" t="s">
        <v>145</v>
      </c>
    </row>
    <row r="3417" spans="1:10">
      <c r="A3417" s="2" t="s">
        <v>141</v>
      </c>
      <c r="B3417" s="2">
        <v>8.5</v>
      </c>
      <c r="C3417" s="2">
        <v>11</v>
      </c>
      <c r="D3417" s="60" t="s">
        <v>152</v>
      </c>
    </row>
    <row r="3418" spans="1:10">
      <c r="A3418" s="2" t="s">
        <v>141</v>
      </c>
      <c r="B3418" s="2">
        <v>10.5</v>
      </c>
      <c r="C3418" s="2">
        <v>18.5</v>
      </c>
      <c r="D3418" s="60" t="s">
        <v>144</v>
      </c>
    </row>
    <row r="3419" spans="1:10">
      <c r="A3419" s="2" t="s">
        <v>141</v>
      </c>
      <c r="B3419" s="2">
        <v>11</v>
      </c>
      <c r="C3419" s="2">
        <v>18.5</v>
      </c>
      <c r="D3419" s="60" t="s">
        <v>161</v>
      </c>
    </row>
    <row r="3420" spans="1:10">
      <c r="A3420" s="2" t="s">
        <v>148</v>
      </c>
      <c r="B3420" s="2" t="s">
        <v>100</v>
      </c>
      <c r="C3420" s="2">
        <v>1.41025E-2</v>
      </c>
      <c r="D3420" s="60">
        <v>0</v>
      </c>
      <c r="E3420" s="2">
        <v>18.725300000000001</v>
      </c>
      <c r="F3420" s="2">
        <v>4.33195</v>
      </c>
      <c r="G3420" s="2">
        <v>0</v>
      </c>
      <c r="H3420" s="2">
        <v>10</v>
      </c>
      <c r="I3420" s="2">
        <v>0</v>
      </c>
      <c r="J3420" s="2">
        <v>0</v>
      </c>
    </row>
    <row r="3421" spans="1:10">
      <c r="A3421" s="2" t="s">
        <v>148</v>
      </c>
      <c r="B3421" s="2" t="s">
        <v>98</v>
      </c>
      <c r="C3421" s="2">
        <v>4.3670899999999999E-2</v>
      </c>
      <c r="D3421" s="60">
        <v>0</v>
      </c>
      <c r="E3421" s="2">
        <v>15.519</v>
      </c>
      <c r="F3421" s="2">
        <v>3.2062200000000001</v>
      </c>
      <c r="G3421" s="2">
        <v>10</v>
      </c>
      <c r="H3421" s="2">
        <v>16.128</v>
      </c>
      <c r="I3421" s="2">
        <v>0</v>
      </c>
      <c r="J3421" s="2">
        <v>0</v>
      </c>
    </row>
    <row r="3422" spans="1:10">
      <c r="A3422" s="2" t="s">
        <v>148</v>
      </c>
      <c r="B3422" s="2" t="s">
        <v>101</v>
      </c>
      <c r="C3422" s="2">
        <v>0.167189</v>
      </c>
      <c r="D3422" s="60">
        <v>0</v>
      </c>
      <c r="E3422" s="2">
        <v>10.6</v>
      </c>
      <c r="F3422" s="2">
        <v>4.9190399999999999</v>
      </c>
      <c r="G3422" s="2">
        <v>16.128</v>
      </c>
      <c r="H3422" s="2">
        <v>24.885200000000001</v>
      </c>
      <c r="I3422" s="2">
        <v>0</v>
      </c>
      <c r="J3422" s="2">
        <v>0</v>
      </c>
    </row>
    <row r="3423" spans="1:10">
      <c r="A3423" s="2" t="s">
        <v>148</v>
      </c>
      <c r="B3423" s="2" t="s">
        <v>64</v>
      </c>
      <c r="C3423" s="2">
        <v>0.39965400000000001</v>
      </c>
      <c r="D3423" s="60">
        <v>11.989599999999999</v>
      </c>
      <c r="E3423" s="2">
        <v>4.5999999999999996</v>
      </c>
      <c r="F3423" s="2">
        <v>6</v>
      </c>
      <c r="G3423" s="2">
        <v>24.885200000000001</v>
      </c>
      <c r="H3423" s="2">
        <v>32.652900000000002</v>
      </c>
      <c r="I3423" s="2">
        <v>0</v>
      </c>
      <c r="J3423" s="2">
        <v>0</v>
      </c>
    </row>
    <row r="3424" spans="1:10">
      <c r="A3424" s="2" t="s">
        <v>148</v>
      </c>
      <c r="B3424" s="2" t="s">
        <v>101</v>
      </c>
      <c r="C3424" s="2">
        <v>2.5370500000000001E-2</v>
      </c>
      <c r="D3424" s="60">
        <v>0</v>
      </c>
      <c r="E3424" s="2">
        <v>4.3</v>
      </c>
      <c r="F3424" s="2">
        <v>0.3</v>
      </c>
      <c r="G3424" s="2">
        <v>32.652900000000002</v>
      </c>
      <c r="H3424" s="2">
        <v>32.974699999999999</v>
      </c>
      <c r="I3424" s="2">
        <v>0</v>
      </c>
      <c r="J3424" s="2">
        <v>0</v>
      </c>
    </row>
    <row r="3425" spans="1:10">
      <c r="A3425" s="2" t="s">
        <v>138</v>
      </c>
      <c r="B3425" s="2">
        <v>14</v>
      </c>
      <c r="C3425" s="2">
        <v>17.496200000000002</v>
      </c>
      <c r="D3425" s="60" t="s">
        <v>129</v>
      </c>
      <c r="E3425" s="2" t="s">
        <v>149</v>
      </c>
    </row>
    <row r="3426" spans="1:10">
      <c r="A3426" s="2" t="s">
        <v>140</v>
      </c>
      <c r="B3426" s="2">
        <v>0</v>
      </c>
      <c r="C3426" s="2">
        <v>30.6097</v>
      </c>
      <c r="D3426" s="60">
        <v>24.019500000000001</v>
      </c>
    </row>
    <row r="3427" spans="1:10">
      <c r="A3427" s="2" t="s">
        <v>141</v>
      </c>
      <c r="B3427" s="2">
        <v>0</v>
      </c>
      <c r="C3427" s="2">
        <v>5.8</v>
      </c>
      <c r="D3427" s="60" t="s">
        <v>142</v>
      </c>
    </row>
    <row r="3428" spans="1:10">
      <c r="A3428" s="2" t="s">
        <v>141</v>
      </c>
      <c r="B3428" s="2">
        <v>0</v>
      </c>
      <c r="C3428" s="2">
        <v>6.4</v>
      </c>
      <c r="D3428" s="60" t="s">
        <v>146</v>
      </c>
    </row>
    <row r="3429" spans="1:10">
      <c r="A3429" s="2" t="s">
        <v>141</v>
      </c>
      <c r="B3429" s="2">
        <v>5.8</v>
      </c>
      <c r="C3429" s="2">
        <v>9.6999999999999993</v>
      </c>
      <c r="D3429" s="60" t="s">
        <v>147</v>
      </c>
    </row>
    <row r="3430" spans="1:10">
      <c r="A3430" s="2" t="s">
        <v>141</v>
      </c>
      <c r="B3430" s="2">
        <v>6.4</v>
      </c>
      <c r="C3430" s="2">
        <v>19.212199999999999</v>
      </c>
      <c r="D3430" s="60" t="s">
        <v>161</v>
      </c>
    </row>
    <row r="3431" spans="1:10">
      <c r="A3431" s="2" t="s">
        <v>141</v>
      </c>
      <c r="B3431" s="2">
        <v>9.6999999999999993</v>
      </c>
      <c r="C3431" s="2">
        <v>19.212199999999999</v>
      </c>
      <c r="D3431" s="60" t="s">
        <v>144</v>
      </c>
    </row>
    <row r="3432" spans="1:10">
      <c r="A3432" s="2" t="s">
        <v>148</v>
      </c>
      <c r="B3432" s="2" t="s">
        <v>99</v>
      </c>
      <c r="C3432" s="2">
        <v>2.48314E-2</v>
      </c>
      <c r="D3432" s="60">
        <v>0</v>
      </c>
      <c r="E3432" s="2">
        <v>0</v>
      </c>
      <c r="F3432" s="2">
        <v>0.3</v>
      </c>
      <c r="G3432" s="2">
        <v>31.628799999999998</v>
      </c>
      <c r="H3432" s="2">
        <v>33.370600000000003</v>
      </c>
      <c r="I3432" s="2">
        <v>0</v>
      </c>
      <c r="J3432" s="2">
        <v>0</v>
      </c>
    </row>
    <row r="3433" spans="1:10">
      <c r="A3433" s="2" t="s">
        <v>148</v>
      </c>
      <c r="B3433" s="2" t="s">
        <v>100</v>
      </c>
      <c r="C3433" s="2">
        <v>1.9183100000000002E-2</v>
      </c>
      <c r="D3433" s="60">
        <v>0</v>
      </c>
      <c r="E3433" s="2">
        <v>17.730899999999998</v>
      </c>
      <c r="F3433" s="2">
        <v>6.2886199999999999</v>
      </c>
      <c r="G3433" s="2">
        <v>0</v>
      </c>
      <c r="H3433" s="2">
        <v>10</v>
      </c>
      <c r="I3433" s="2">
        <v>0</v>
      </c>
      <c r="J3433" s="2">
        <v>0</v>
      </c>
    </row>
    <row r="3434" spans="1:10">
      <c r="A3434" s="2" t="s">
        <v>148</v>
      </c>
      <c r="B3434" s="2" t="s">
        <v>101</v>
      </c>
      <c r="C3434" s="2">
        <v>0.28353600000000001</v>
      </c>
      <c r="D3434" s="60">
        <v>0</v>
      </c>
      <c r="E3434" s="2">
        <v>6.3</v>
      </c>
      <c r="F3434" s="2">
        <v>11.430899999999999</v>
      </c>
      <c r="G3434" s="2">
        <v>10</v>
      </c>
      <c r="H3434" s="2">
        <v>23.459700000000002</v>
      </c>
      <c r="I3434" s="2">
        <v>0</v>
      </c>
      <c r="J3434" s="2">
        <v>0</v>
      </c>
    </row>
    <row r="3435" spans="1:10">
      <c r="A3435" s="2" t="s">
        <v>148</v>
      </c>
      <c r="B3435" s="2" t="s">
        <v>63</v>
      </c>
      <c r="C3435" s="2">
        <v>0.32650899999999999</v>
      </c>
      <c r="D3435" s="60">
        <v>22.855599999999999</v>
      </c>
      <c r="E3435" s="2">
        <v>0.3</v>
      </c>
      <c r="F3435" s="2">
        <v>6</v>
      </c>
      <c r="G3435" s="2">
        <v>23.459700000000002</v>
      </c>
      <c r="H3435" s="2">
        <v>31.628799999999998</v>
      </c>
      <c r="I3435" s="2">
        <v>0</v>
      </c>
      <c r="J3435" s="2">
        <v>0</v>
      </c>
    </row>
    <row r="3436" spans="1:10">
      <c r="A3436" s="2" t="s">
        <v>138</v>
      </c>
      <c r="B3436" s="2">
        <v>15</v>
      </c>
      <c r="C3436" s="2">
        <v>19.674499999999998</v>
      </c>
      <c r="D3436" s="60" t="s">
        <v>129</v>
      </c>
      <c r="E3436" s="2" t="s">
        <v>149</v>
      </c>
    </row>
    <row r="3437" spans="1:10">
      <c r="A3437" s="2" t="s">
        <v>140</v>
      </c>
      <c r="B3437" s="2">
        <v>0</v>
      </c>
      <c r="C3437" s="2">
        <v>58.077300000000001</v>
      </c>
      <c r="D3437" s="60">
        <v>26.847300000000001</v>
      </c>
    </row>
    <row r="3438" spans="1:10">
      <c r="A3438" s="2" t="s">
        <v>141</v>
      </c>
      <c r="B3438" s="2">
        <v>0</v>
      </c>
      <c r="C3438" s="2">
        <v>4.0999999999999996</v>
      </c>
      <c r="D3438" s="60" t="s">
        <v>146</v>
      </c>
    </row>
    <row r="3439" spans="1:10">
      <c r="A3439" s="2" t="s">
        <v>141</v>
      </c>
      <c r="B3439" s="2">
        <v>0</v>
      </c>
      <c r="C3439" s="2">
        <v>13.2</v>
      </c>
      <c r="D3439" s="60" t="s">
        <v>147</v>
      </c>
    </row>
    <row r="3440" spans="1:10">
      <c r="A3440" s="2" t="s">
        <v>141</v>
      </c>
      <c r="B3440" s="2">
        <v>4.0999999999999996</v>
      </c>
      <c r="C3440" s="2">
        <v>4.4000000000000004</v>
      </c>
      <c r="D3440" s="60" t="s">
        <v>153</v>
      </c>
    </row>
    <row r="3441" spans="1:10">
      <c r="A3441" s="2" t="s">
        <v>141</v>
      </c>
      <c r="B3441" s="2">
        <v>4.0999999999999996</v>
      </c>
      <c r="C3441" s="2">
        <v>4.4000000000000004</v>
      </c>
      <c r="D3441" s="60" t="s">
        <v>154</v>
      </c>
    </row>
    <row r="3442" spans="1:10">
      <c r="A3442" s="2" t="s">
        <v>141</v>
      </c>
      <c r="B3442" s="2">
        <v>4.0999999999999996</v>
      </c>
      <c r="C3442" s="2">
        <v>11.9</v>
      </c>
      <c r="D3442" s="60" t="s">
        <v>155</v>
      </c>
    </row>
    <row r="3443" spans="1:10">
      <c r="A3443" s="2" t="s">
        <v>141</v>
      </c>
      <c r="B3443" s="2">
        <v>6.9</v>
      </c>
      <c r="C3443" s="2">
        <v>7.2</v>
      </c>
      <c r="D3443" s="60" t="s">
        <v>153</v>
      </c>
    </row>
    <row r="3444" spans="1:10">
      <c r="A3444" s="2" t="s">
        <v>141</v>
      </c>
      <c r="B3444" s="2">
        <v>6.9</v>
      </c>
      <c r="C3444" s="2">
        <v>7.2</v>
      </c>
      <c r="D3444" s="60" t="s">
        <v>154</v>
      </c>
    </row>
    <row r="3445" spans="1:10">
      <c r="A3445" s="2" t="s">
        <v>141</v>
      </c>
      <c r="B3445" s="2">
        <v>11.9</v>
      </c>
      <c r="C3445" s="2">
        <v>12.9</v>
      </c>
      <c r="D3445" s="60" t="s">
        <v>161</v>
      </c>
    </row>
    <row r="3446" spans="1:10">
      <c r="A3446" s="2" t="s">
        <v>141</v>
      </c>
      <c r="B3446" s="2">
        <v>12.9</v>
      </c>
      <c r="C3446" s="2">
        <v>14.9</v>
      </c>
      <c r="D3446" s="60" t="s">
        <v>155</v>
      </c>
    </row>
    <row r="3447" spans="1:10">
      <c r="A3447" s="2" t="s">
        <v>141</v>
      </c>
      <c r="B3447" s="2">
        <v>13.2</v>
      </c>
      <c r="C3447" s="2">
        <v>21.305</v>
      </c>
      <c r="D3447" s="60" t="s">
        <v>144</v>
      </c>
    </row>
    <row r="3448" spans="1:10">
      <c r="A3448" s="2" t="s">
        <v>141</v>
      </c>
      <c r="B3448" s="2">
        <v>14.9</v>
      </c>
      <c r="C3448" s="2">
        <v>21.305</v>
      </c>
      <c r="D3448" s="60" t="s">
        <v>161</v>
      </c>
    </row>
    <row r="3449" spans="1:10">
      <c r="A3449" s="2" t="s">
        <v>156</v>
      </c>
      <c r="B3449" s="2">
        <v>4.0999999999999996</v>
      </c>
      <c r="C3449" s="2">
        <v>43.1751</v>
      </c>
    </row>
    <row r="3450" spans="1:10">
      <c r="A3450" s="2" t="s">
        <v>156</v>
      </c>
      <c r="B3450" s="2">
        <v>6.9</v>
      </c>
      <c r="C3450" s="2">
        <v>38.147300000000001</v>
      </c>
    </row>
    <row r="3451" spans="1:10">
      <c r="A3451" s="2" t="s">
        <v>148</v>
      </c>
      <c r="B3451" s="2" t="s">
        <v>99</v>
      </c>
      <c r="C3451" s="2">
        <v>7.8703200000000001E-2</v>
      </c>
      <c r="D3451" s="60">
        <v>0</v>
      </c>
      <c r="E3451" s="2">
        <v>0</v>
      </c>
      <c r="F3451" s="2">
        <v>0.3</v>
      </c>
      <c r="G3451" s="2">
        <v>56.444400000000002</v>
      </c>
      <c r="H3451" s="2">
        <v>59.2502</v>
      </c>
      <c r="I3451" s="2">
        <v>0</v>
      </c>
      <c r="J3451" s="2">
        <v>0</v>
      </c>
    </row>
    <row r="3452" spans="1:10">
      <c r="A3452" s="2" t="s">
        <v>148</v>
      </c>
      <c r="B3452" s="2" t="s">
        <v>100</v>
      </c>
      <c r="C3452" s="2">
        <v>1.7797799999999999E-2</v>
      </c>
      <c r="D3452" s="60">
        <v>0</v>
      </c>
      <c r="E3452" s="2">
        <v>21.267900000000001</v>
      </c>
      <c r="F3452" s="2">
        <v>5.57944</v>
      </c>
      <c r="G3452" s="2">
        <v>0</v>
      </c>
      <c r="H3452" s="2">
        <v>10</v>
      </c>
      <c r="I3452" s="2">
        <v>0</v>
      </c>
      <c r="J3452" s="2">
        <v>0</v>
      </c>
    </row>
    <row r="3453" spans="1:10">
      <c r="A3453" s="2" t="s">
        <v>148</v>
      </c>
      <c r="B3453" s="2" t="s">
        <v>98</v>
      </c>
      <c r="C3453" s="2">
        <v>0.21126900000000001</v>
      </c>
      <c r="D3453" s="60">
        <v>0</v>
      </c>
      <c r="E3453" s="2">
        <v>12.1731</v>
      </c>
      <c r="F3453" s="2">
        <v>9.0947600000000008</v>
      </c>
      <c r="G3453" s="2">
        <v>10</v>
      </c>
      <c r="H3453" s="2">
        <v>23.121400000000001</v>
      </c>
      <c r="I3453" s="2">
        <v>0</v>
      </c>
      <c r="J3453" s="2">
        <v>0</v>
      </c>
    </row>
    <row r="3454" spans="1:10">
      <c r="A3454" s="2" t="s">
        <v>148</v>
      </c>
      <c r="B3454" s="2" t="s">
        <v>101</v>
      </c>
      <c r="C3454" s="2">
        <v>4.2987600000000001E-2</v>
      </c>
      <c r="D3454" s="60">
        <v>0</v>
      </c>
      <c r="E3454" s="2">
        <v>11.2</v>
      </c>
      <c r="F3454" s="2">
        <v>0.97314199999999995</v>
      </c>
      <c r="G3454" s="2">
        <v>23.121400000000001</v>
      </c>
      <c r="H3454" s="2">
        <v>24.294699999999999</v>
      </c>
      <c r="I3454" s="2">
        <v>0</v>
      </c>
      <c r="J3454" s="2">
        <v>0</v>
      </c>
    </row>
    <row r="3455" spans="1:10">
      <c r="A3455" s="2" t="s">
        <v>148</v>
      </c>
      <c r="B3455" s="2" t="s">
        <v>63</v>
      </c>
      <c r="C3455" s="2">
        <v>0.22035199999999999</v>
      </c>
      <c r="D3455" s="60">
        <v>15.4246</v>
      </c>
      <c r="E3455" s="2">
        <v>7.2</v>
      </c>
      <c r="F3455" s="2">
        <v>4</v>
      </c>
      <c r="G3455" s="2">
        <v>24.294699999999999</v>
      </c>
      <c r="H3455" s="2">
        <v>28.445499999999999</v>
      </c>
      <c r="I3455" s="2">
        <v>0</v>
      </c>
      <c r="J3455" s="2">
        <v>0</v>
      </c>
    </row>
    <row r="3456" spans="1:10">
      <c r="A3456" s="2" t="s">
        <v>148</v>
      </c>
      <c r="B3456" s="2" t="s">
        <v>101</v>
      </c>
      <c r="C3456" s="2">
        <v>0.26706999999999997</v>
      </c>
      <c r="D3456" s="60">
        <v>0</v>
      </c>
      <c r="E3456" s="2">
        <v>4.0893600000000001</v>
      </c>
      <c r="F3456" s="2">
        <v>3.1106400000000001</v>
      </c>
      <c r="G3456" s="2">
        <v>28.445499999999999</v>
      </c>
      <c r="H3456" s="2">
        <v>45.3752</v>
      </c>
      <c r="I3456" s="2">
        <v>0</v>
      </c>
      <c r="J3456" s="2">
        <v>0</v>
      </c>
    </row>
    <row r="3457" spans="1:10">
      <c r="A3457" s="2" t="s">
        <v>148</v>
      </c>
      <c r="B3457" s="2" t="s">
        <v>64</v>
      </c>
      <c r="C3457" s="2">
        <v>0.67350500000000002</v>
      </c>
      <c r="D3457" s="60">
        <v>20.205200000000001</v>
      </c>
      <c r="E3457" s="2">
        <v>0.48936200000000002</v>
      </c>
      <c r="F3457" s="2">
        <v>3.6</v>
      </c>
      <c r="G3457" s="2">
        <v>45.3752</v>
      </c>
      <c r="H3457" s="2">
        <v>55</v>
      </c>
      <c r="I3457" s="2">
        <v>0</v>
      </c>
      <c r="J3457" s="2">
        <v>0</v>
      </c>
    </row>
    <row r="3458" spans="1:10">
      <c r="A3458" s="2" t="s">
        <v>148</v>
      </c>
      <c r="B3458" s="2" t="s">
        <v>101</v>
      </c>
      <c r="C3458" s="2">
        <v>4.6149900000000001E-2</v>
      </c>
      <c r="D3458" s="60">
        <v>0</v>
      </c>
      <c r="E3458" s="2">
        <v>0.3</v>
      </c>
      <c r="F3458" s="2">
        <v>0.189362</v>
      </c>
      <c r="G3458" s="2">
        <v>55</v>
      </c>
      <c r="H3458" s="2">
        <v>56.444400000000002</v>
      </c>
      <c r="I3458" s="2">
        <v>0</v>
      </c>
      <c r="J3458" s="2">
        <v>0</v>
      </c>
    </row>
    <row r="3459" spans="1:10">
      <c r="A3459" s="2" t="s">
        <v>140</v>
      </c>
      <c r="B3459" s="2">
        <v>1</v>
      </c>
      <c r="C3459" s="2">
        <v>29.991199999999999</v>
      </c>
      <c r="D3459" s="60">
        <v>26.847300000000001</v>
      </c>
      <c r="E3459" s="2">
        <v>4.0999999999999996</v>
      </c>
      <c r="F3459" s="2">
        <v>10.1</v>
      </c>
    </row>
    <row r="3460" spans="1:10">
      <c r="A3460" s="2" t="s">
        <v>141</v>
      </c>
      <c r="B3460" s="2">
        <v>4.0999999999999996</v>
      </c>
      <c r="C3460" s="2">
        <v>4.4000000000000004</v>
      </c>
      <c r="D3460" s="60" t="s">
        <v>153</v>
      </c>
    </row>
    <row r="3461" spans="1:10">
      <c r="A3461" s="2" t="s">
        <v>141</v>
      </c>
      <c r="B3461" s="2">
        <v>4.0999999999999996</v>
      </c>
      <c r="C3461" s="2">
        <v>9.4</v>
      </c>
      <c r="D3461" s="60" t="s">
        <v>155</v>
      </c>
    </row>
    <row r="3462" spans="1:10">
      <c r="A3462" s="2" t="s">
        <v>141</v>
      </c>
      <c r="B3462" s="2">
        <v>4.0999999999999996</v>
      </c>
      <c r="C3462" s="2">
        <v>21.305</v>
      </c>
      <c r="D3462" s="60" t="s">
        <v>145</v>
      </c>
    </row>
    <row r="3463" spans="1:10">
      <c r="A3463" s="2" t="s">
        <v>141</v>
      </c>
      <c r="B3463" s="2">
        <v>9.4</v>
      </c>
      <c r="C3463" s="2">
        <v>21.305</v>
      </c>
      <c r="D3463" s="60" t="s">
        <v>161</v>
      </c>
    </row>
    <row r="3464" spans="1:10">
      <c r="A3464" s="2" t="s">
        <v>148</v>
      </c>
      <c r="B3464" s="2" t="s">
        <v>101</v>
      </c>
      <c r="C3464" s="2">
        <v>6.0698799999999997E-2</v>
      </c>
      <c r="D3464" s="60">
        <v>0</v>
      </c>
      <c r="E3464" s="2">
        <v>8.4</v>
      </c>
      <c r="F3464" s="2">
        <v>1.7</v>
      </c>
      <c r="G3464" s="2">
        <v>20.593</v>
      </c>
      <c r="H3464" s="2">
        <v>22.0166</v>
      </c>
      <c r="I3464" s="2">
        <v>0</v>
      </c>
      <c r="J3464" s="2">
        <v>0</v>
      </c>
    </row>
    <row r="3465" spans="1:10">
      <c r="A3465" s="2" t="s">
        <v>148</v>
      </c>
      <c r="B3465" s="2" t="s">
        <v>63</v>
      </c>
      <c r="C3465" s="2">
        <v>0.17358899999999999</v>
      </c>
      <c r="D3465" s="60">
        <v>12.151199999999999</v>
      </c>
      <c r="E3465" s="2">
        <v>4.4000000000000004</v>
      </c>
      <c r="F3465" s="2">
        <v>4</v>
      </c>
      <c r="G3465" s="2">
        <v>22.0166</v>
      </c>
      <c r="H3465" s="2">
        <v>24.892700000000001</v>
      </c>
      <c r="I3465" s="2">
        <v>0</v>
      </c>
      <c r="J3465" s="2">
        <v>0</v>
      </c>
    </row>
    <row r="3466" spans="1:10">
      <c r="A3466" s="2" t="s">
        <v>148</v>
      </c>
      <c r="B3466" s="2" t="s">
        <v>101</v>
      </c>
      <c r="C3466" s="2">
        <v>1.4723099999999999E-2</v>
      </c>
      <c r="D3466" s="60">
        <v>0</v>
      </c>
      <c r="E3466" s="2">
        <v>4.0999999999999996</v>
      </c>
      <c r="F3466" s="2">
        <v>0.3</v>
      </c>
      <c r="G3466" s="2">
        <v>24.892700000000001</v>
      </c>
      <c r="H3466" s="2">
        <v>25.102399999999999</v>
      </c>
      <c r="I3466" s="2">
        <v>0</v>
      </c>
      <c r="J3466" s="2">
        <v>0</v>
      </c>
    </row>
    <row r="3467" spans="1:10">
      <c r="A3467" s="2" t="s">
        <v>140</v>
      </c>
      <c r="B3467" s="2">
        <v>1</v>
      </c>
      <c r="C3467" s="2">
        <v>15.612299999999999</v>
      </c>
      <c r="D3467" s="60">
        <v>26.847300000000001</v>
      </c>
      <c r="E3467" s="2">
        <v>6.9</v>
      </c>
    </row>
    <row r="3468" spans="1:10">
      <c r="A3468" s="2" t="s">
        <v>141</v>
      </c>
      <c r="B3468" s="2">
        <v>6.9</v>
      </c>
      <c r="C3468" s="2">
        <v>7.2</v>
      </c>
      <c r="D3468" s="60" t="s">
        <v>153</v>
      </c>
    </row>
    <row r="3469" spans="1:10">
      <c r="A3469" s="2" t="s">
        <v>141</v>
      </c>
      <c r="B3469" s="2">
        <v>6.9</v>
      </c>
      <c r="C3469" s="2">
        <v>12.4</v>
      </c>
      <c r="D3469" s="60" t="s">
        <v>155</v>
      </c>
    </row>
    <row r="3470" spans="1:10">
      <c r="A3470" s="2" t="s">
        <v>141</v>
      </c>
      <c r="B3470" s="2">
        <v>6.9</v>
      </c>
      <c r="C3470" s="2">
        <v>21.305</v>
      </c>
      <c r="D3470" s="60" t="s">
        <v>144</v>
      </c>
    </row>
    <row r="3471" spans="1:10">
      <c r="A3471" s="2" t="s">
        <v>141</v>
      </c>
      <c r="B3471" s="2">
        <v>12.4</v>
      </c>
      <c r="C3471" s="2">
        <v>21.305</v>
      </c>
      <c r="D3471" s="60" t="s">
        <v>161</v>
      </c>
    </row>
    <row r="3472" spans="1:10">
      <c r="A3472" s="2" t="s">
        <v>148</v>
      </c>
      <c r="B3472" s="2" t="s">
        <v>100</v>
      </c>
      <c r="C3472" s="2">
        <v>4.0638000000000001E-2</v>
      </c>
      <c r="D3472" s="60">
        <v>0</v>
      </c>
      <c r="E3472" s="2">
        <v>12.8613</v>
      </c>
      <c r="F3472" s="2">
        <v>13.9861</v>
      </c>
      <c r="G3472" s="2">
        <v>0</v>
      </c>
      <c r="H3472" s="2">
        <v>10</v>
      </c>
      <c r="I3472" s="2">
        <v>0</v>
      </c>
      <c r="J3472" s="2">
        <v>0</v>
      </c>
    </row>
    <row r="3473" spans="1:10">
      <c r="A3473" s="2" t="s">
        <v>148</v>
      </c>
      <c r="B3473" s="2" t="s">
        <v>101</v>
      </c>
      <c r="C3473" s="2">
        <v>3.7195599999999998E-3</v>
      </c>
      <c r="D3473" s="60">
        <v>0</v>
      </c>
      <c r="E3473" s="2">
        <v>12.4</v>
      </c>
      <c r="F3473" s="2">
        <v>0.46129500000000001</v>
      </c>
      <c r="G3473" s="2">
        <v>10</v>
      </c>
      <c r="H3473" s="2">
        <v>10.2631</v>
      </c>
      <c r="I3473" s="2">
        <v>0</v>
      </c>
      <c r="J3473" s="2">
        <v>0</v>
      </c>
    </row>
    <row r="3474" spans="1:10">
      <c r="A3474" s="2" t="s">
        <v>148</v>
      </c>
      <c r="B3474" s="2" t="s">
        <v>64</v>
      </c>
      <c r="C3474" s="2">
        <v>5.50789E-2</v>
      </c>
      <c r="D3474" s="60">
        <v>1.6523699999999999</v>
      </c>
      <c r="E3474" s="2">
        <v>7.2</v>
      </c>
      <c r="F3474" s="2">
        <v>5.2</v>
      </c>
      <c r="G3474" s="2">
        <v>10.2631</v>
      </c>
      <c r="H3474" s="2">
        <v>12.7828</v>
      </c>
      <c r="I3474" s="2">
        <v>0</v>
      </c>
      <c r="J3474" s="2">
        <v>0</v>
      </c>
    </row>
    <row r="3475" spans="1:10">
      <c r="A3475" s="2" t="s">
        <v>148</v>
      </c>
      <c r="B3475" s="2" t="s">
        <v>101</v>
      </c>
      <c r="C3475" s="2">
        <v>3.8870799999999998E-3</v>
      </c>
      <c r="D3475" s="60">
        <v>0</v>
      </c>
      <c r="E3475" s="2">
        <v>6.9</v>
      </c>
      <c r="F3475" s="2">
        <v>0.3</v>
      </c>
      <c r="G3475" s="2">
        <v>12.7828</v>
      </c>
      <c r="H3475" s="2">
        <v>12.905099999999999</v>
      </c>
      <c r="I3475" s="2">
        <v>0</v>
      </c>
      <c r="J3475" s="2">
        <v>0</v>
      </c>
    </row>
    <row r="3476" spans="1:10">
      <c r="A3476" s="2" t="s">
        <v>138</v>
      </c>
      <c r="B3476" s="2">
        <v>16</v>
      </c>
      <c r="C3476" s="2">
        <v>19.5517</v>
      </c>
      <c r="D3476" s="60" t="s">
        <v>129</v>
      </c>
      <c r="E3476" s="2" t="s">
        <v>149</v>
      </c>
    </row>
    <row r="3477" spans="1:10">
      <c r="A3477" s="2" t="s">
        <v>140</v>
      </c>
      <c r="B3477" s="2">
        <v>0</v>
      </c>
      <c r="C3477" s="2">
        <v>52.569600000000001</v>
      </c>
      <c r="D3477" s="60">
        <v>26.446300000000001</v>
      </c>
    </row>
    <row r="3478" spans="1:10">
      <c r="A3478" s="2" t="s">
        <v>141</v>
      </c>
      <c r="B3478" s="2">
        <v>0</v>
      </c>
      <c r="C3478" s="2">
        <v>6.4</v>
      </c>
      <c r="D3478" s="60" t="s">
        <v>142</v>
      </c>
    </row>
    <row r="3479" spans="1:10">
      <c r="A3479" s="2" t="s">
        <v>141</v>
      </c>
      <c r="B3479" s="2">
        <v>0</v>
      </c>
      <c r="C3479" s="2">
        <v>9.5</v>
      </c>
      <c r="D3479" s="60" t="s">
        <v>143</v>
      </c>
    </row>
    <row r="3480" spans="1:10">
      <c r="A3480" s="2" t="s">
        <v>141</v>
      </c>
      <c r="B3480" s="2">
        <v>6.4</v>
      </c>
      <c r="C3480" s="2">
        <v>7.9</v>
      </c>
      <c r="D3480" s="60" t="s">
        <v>144</v>
      </c>
    </row>
    <row r="3481" spans="1:10">
      <c r="A3481" s="2" t="s">
        <v>141</v>
      </c>
      <c r="B3481" s="2">
        <v>7.9</v>
      </c>
      <c r="C3481" s="2">
        <v>9.5</v>
      </c>
      <c r="D3481" s="60" t="s">
        <v>145</v>
      </c>
    </row>
    <row r="3482" spans="1:10">
      <c r="A3482" s="2" t="s">
        <v>141</v>
      </c>
      <c r="B3482" s="2">
        <v>9.5</v>
      </c>
      <c r="C3482" s="2">
        <v>10</v>
      </c>
      <c r="D3482" s="60" t="s">
        <v>151</v>
      </c>
    </row>
    <row r="3483" spans="1:10">
      <c r="A3483" s="2" t="s">
        <v>141</v>
      </c>
      <c r="B3483" s="2">
        <v>9.5</v>
      </c>
      <c r="C3483" s="2">
        <v>10</v>
      </c>
      <c r="D3483" s="60" t="s">
        <v>161</v>
      </c>
    </row>
    <row r="3484" spans="1:10">
      <c r="A3484" s="2" t="s">
        <v>141</v>
      </c>
      <c r="B3484" s="2">
        <v>10</v>
      </c>
      <c r="C3484" s="2">
        <v>13.5</v>
      </c>
      <c r="D3484" s="60" t="s">
        <v>155</v>
      </c>
    </row>
    <row r="3485" spans="1:10">
      <c r="A3485" s="2" t="s">
        <v>141</v>
      </c>
      <c r="B3485" s="2">
        <v>10</v>
      </c>
      <c r="C3485" s="2">
        <v>21.008199999999999</v>
      </c>
      <c r="D3485" s="60" t="s">
        <v>144</v>
      </c>
    </row>
    <row r="3486" spans="1:10">
      <c r="A3486" s="2" t="s">
        <v>141</v>
      </c>
      <c r="B3486" s="2">
        <v>10.199999999999999</v>
      </c>
      <c r="C3486" s="2">
        <v>10.5</v>
      </c>
      <c r="D3486" s="60" t="s">
        <v>154</v>
      </c>
    </row>
    <row r="3487" spans="1:10">
      <c r="A3487" s="2" t="s">
        <v>141</v>
      </c>
      <c r="B3487" s="2">
        <v>13.5</v>
      </c>
      <c r="C3487" s="2">
        <v>21.008199999999999</v>
      </c>
      <c r="D3487" s="60" t="s">
        <v>161</v>
      </c>
    </row>
    <row r="3488" spans="1:10">
      <c r="A3488" s="2" t="s">
        <v>156</v>
      </c>
      <c r="B3488" s="2">
        <v>10.199999999999999</v>
      </c>
      <c r="C3488" s="2">
        <v>24.563099999999999</v>
      </c>
    </row>
    <row r="3489" spans="1:10">
      <c r="A3489" s="2" t="s">
        <v>148</v>
      </c>
      <c r="B3489" s="2" t="s">
        <v>99</v>
      </c>
      <c r="C3489" s="2">
        <v>6.5781599999999996E-2</v>
      </c>
      <c r="D3489" s="60">
        <v>0</v>
      </c>
      <c r="E3489" s="2">
        <v>0</v>
      </c>
      <c r="F3489" s="2">
        <v>0.3</v>
      </c>
      <c r="G3489" s="2">
        <v>51.5871</v>
      </c>
      <c r="H3489" s="2">
        <v>54.1873</v>
      </c>
      <c r="I3489" s="2">
        <v>0</v>
      </c>
      <c r="J3489" s="2">
        <v>0</v>
      </c>
    </row>
    <row r="3490" spans="1:10">
      <c r="A3490" s="2" t="s">
        <v>148</v>
      </c>
      <c r="B3490" s="2" t="s">
        <v>100</v>
      </c>
      <c r="C3490" s="2">
        <v>2.54494E-2</v>
      </c>
      <c r="D3490" s="60">
        <v>0</v>
      </c>
      <c r="E3490" s="2">
        <v>17.810300000000002</v>
      </c>
      <c r="F3490" s="2">
        <v>8.6360299999999999</v>
      </c>
      <c r="G3490" s="2">
        <v>0</v>
      </c>
      <c r="H3490" s="2">
        <v>10</v>
      </c>
      <c r="I3490" s="2">
        <v>0</v>
      </c>
      <c r="J3490" s="2">
        <v>0</v>
      </c>
    </row>
    <row r="3491" spans="1:10">
      <c r="A3491" s="2" t="s">
        <v>148</v>
      </c>
      <c r="B3491" s="2" t="s">
        <v>101</v>
      </c>
      <c r="C3491" s="2">
        <v>0.178842</v>
      </c>
      <c r="D3491" s="60">
        <v>0</v>
      </c>
      <c r="E3491" s="2">
        <v>9.5</v>
      </c>
      <c r="F3491" s="2">
        <v>8.3102800000000006</v>
      </c>
      <c r="G3491" s="2">
        <v>10</v>
      </c>
      <c r="H3491" s="2">
        <v>34.689300000000003</v>
      </c>
      <c r="I3491" s="2">
        <v>0</v>
      </c>
      <c r="J3491" s="2">
        <v>0</v>
      </c>
    </row>
    <row r="3492" spans="1:10">
      <c r="A3492" s="2" t="s">
        <v>148</v>
      </c>
      <c r="B3492" s="2" t="s">
        <v>59</v>
      </c>
      <c r="C3492" s="2">
        <v>0.43873899999999999</v>
      </c>
      <c r="D3492" s="60">
        <v>43.873899999999999</v>
      </c>
      <c r="E3492" s="2">
        <v>5.5</v>
      </c>
      <c r="F3492" s="2">
        <v>4</v>
      </c>
      <c r="G3492" s="2">
        <v>34.689300000000003</v>
      </c>
      <c r="H3492" s="2">
        <v>39.797800000000002</v>
      </c>
      <c r="I3492" s="2">
        <v>0</v>
      </c>
      <c r="J3492" s="2">
        <v>0</v>
      </c>
    </row>
    <row r="3493" spans="1:10">
      <c r="A3493" s="2" t="s">
        <v>148</v>
      </c>
      <c r="B3493" s="2" t="s">
        <v>56</v>
      </c>
      <c r="C3493" s="2">
        <v>0.78297099999999997</v>
      </c>
      <c r="D3493" s="60">
        <v>109.616</v>
      </c>
      <c r="E3493" s="2">
        <v>0.3</v>
      </c>
      <c r="F3493" s="2">
        <v>5.2</v>
      </c>
      <c r="G3493" s="2">
        <v>39.797800000000002</v>
      </c>
      <c r="H3493" s="2">
        <v>51.5871</v>
      </c>
      <c r="I3493" s="2">
        <v>0</v>
      </c>
      <c r="J3493" s="2">
        <v>0</v>
      </c>
    </row>
    <row r="3494" spans="1:10">
      <c r="A3494" s="2" t="s">
        <v>138</v>
      </c>
      <c r="B3494" s="2">
        <v>17</v>
      </c>
      <c r="C3494" s="2">
        <v>19.758400000000002</v>
      </c>
      <c r="D3494" s="60" t="s">
        <v>129</v>
      </c>
      <c r="E3494" s="2" t="s">
        <v>149</v>
      </c>
    </row>
    <row r="3495" spans="1:10">
      <c r="A3495" s="2" t="s">
        <v>140</v>
      </c>
      <c r="B3495" s="2">
        <v>0</v>
      </c>
      <c r="C3495" s="2">
        <v>63.630099999999999</v>
      </c>
      <c r="D3495" s="60">
        <v>27.206800000000001</v>
      </c>
    </row>
    <row r="3496" spans="1:10">
      <c r="A3496" s="2" t="s">
        <v>141</v>
      </c>
      <c r="B3496" s="2">
        <v>0</v>
      </c>
      <c r="C3496" s="2">
        <v>6.2</v>
      </c>
      <c r="D3496" s="60" t="s">
        <v>142</v>
      </c>
    </row>
    <row r="3497" spans="1:10">
      <c r="A3497" s="2" t="s">
        <v>141</v>
      </c>
      <c r="B3497" s="2">
        <v>0</v>
      </c>
      <c r="C3497" s="2">
        <v>6.2</v>
      </c>
      <c r="D3497" s="60" t="s">
        <v>158</v>
      </c>
    </row>
    <row r="3498" spans="1:10">
      <c r="A3498" s="2" t="s">
        <v>141</v>
      </c>
      <c r="B3498" s="2">
        <v>0</v>
      </c>
      <c r="C3498" s="2">
        <v>11.5</v>
      </c>
      <c r="D3498" s="60" t="s">
        <v>146</v>
      </c>
    </row>
    <row r="3499" spans="1:10">
      <c r="A3499" s="2" t="s">
        <v>141</v>
      </c>
      <c r="B3499" s="2">
        <v>6.2</v>
      </c>
      <c r="C3499" s="2">
        <v>6.6</v>
      </c>
      <c r="D3499" s="60" t="s">
        <v>177</v>
      </c>
    </row>
    <row r="3500" spans="1:10">
      <c r="A3500" s="2" t="s">
        <v>141</v>
      </c>
      <c r="B3500" s="2">
        <v>6.2</v>
      </c>
      <c r="C3500" s="2">
        <v>7.5</v>
      </c>
      <c r="D3500" s="60" t="s">
        <v>147</v>
      </c>
    </row>
    <row r="3501" spans="1:10">
      <c r="A3501" s="2" t="s">
        <v>141</v>
      </c>
      <c r="B3501" s="2">
        <v>6.6</v>
      </c>
      <c r="C3501" s="2">
        <v>7.7</v>
      </c>
      <c r="D3501" s="60" t="s">
        <v>158</v>
      </c>
    </row>
    <row r="3502" spans="1:10">
      <c r="A3502" s="2" t="s">
        <v>141</v>
      </c>
      <c r="B3502" s="2">
        <v>7.5</v>
      </c>
      <c r="C3502" s="2">
        <v>7.7</v>
      </c>
      <c r="D3502" s="60" t="s">
        <v>151</v>
      </c>
    </row>
    <row r="3503" spans="1:10">
      <c r="A3503" s="2" t="s">
        <v>141</v>
      </c>
      <c r="B3503" s="2">
        <v>7.7</v>
      </c>
      <c r="C3503" s="2">
        <v>8</v>
      </c>
      <c r="D3503" s="60" t="s">
        <v>160</v>
      </c>
    </row>
    <row r="3504" spans="1:10">
      <c r="A3504" s="2" t="s">
        <v>141</v>
      </c>
      <c r="B3504" s="2">
        <v>7.7</v>
      </c>
      <c r="C3504" s="2">
        <v>9.6</v>
      </c>
      <c r="D3504" s="60" t="s">
        <v>147</v>
      </c>
    </row>
    <row r="3505" spans="1:10">
      <c r="A3505" s="2" t="s">
        <v>141</v>
      </c>
      <c r="B3505" s="2">
        <v>9.6</v>
      </c>
      <c r="C3505" s="2">
        <v>10.4</v>
      </c>
      <c r="D3505" s="60" t="s">
        <v>151</v>
      </c>
    </row>
    <row r="3506" spans="1:10">
      <c r="A3506" s="2" t="s">
        <v>141</v>
      </c>
      <c r="B3506" s="2">
        <v>10.4</v>
      </c>
      <c r="C3506" s="2">
        <v>11.1</v>
      </c>
      <c r="D3506" s="60" t="s">
        <v>147</v>
      </c>
    </row>
    <row r="3507" spans="1:10">
      <c r="A3507" s="2" t="s">
        <v>141</v>
      </c>
      <c r="B3507" s="2">
        <v>11.1</v>
      </c>
      <c r="C3507" s="2">
        <v>11.5</v>
      </c>
      <c r="D3507" s="60" t="s">
        <v>145</v>
      </c>
    </row>
    <row r="3508" spans="1:10">
      <c r="A3508" s="2" t="s">
        <v>141</v>
      </c>
      <c r="B3508" s="2">
        <v>11.5</v>
      </c>
      <c r="C3508" s="2">
        <v>12</v>
      </c>
      <c r="D3508" s="60" t="s">
        <v>161</v>
      </c>
    </row>
    <row r="3509" spans="1:10">
      <c r="A3509" s="2" t="s">
        <v>141</v>
      </c>
      <c r="B3509" s="2">
        <v>11.5</v>
      </c>
      <c r="C3509" s="2">
        <v>21.571000000000002</v>
      </c>
      <c r="D3509" s="60" t="s">
        <v>144</v>
      </c>
    </row>
    <row r="3510" spans="1:10">
      <c r="A3510" s="2" t="s">
        <v>141</v>
      </c>
      <c r="B3510" s="2">
        <v>12</v>
      </c>
      <c r="C3510" s="2">
        <v>21.571000000000002</v>
      </c>
      <c r="D3510" s="60" t="s">
        <v>155</v>
      </c>
    </row>
    <row r="3511" spans="1:10">
      <c r="A3511" s="2" t="s">
        <v>148</v>
      </c>
      <c r="B3511" s="2" t="s">
        <v>99</v>
      </c>
      <c r="C3511" s="2">
        <v>9.2760300000000004E-2</v>
      </c>
      <c r="D3511" s="60">
        <v>0</v>
      </c>
      <c r="E3511" s="2">
        <v>0</v>
      </c>
      <c r="F3511" s="2">
        <v>0.3</v>
      </c>
      <c r="G3511" s="2">
        <v>61.295000000000002</v>
      </c>
      <c r="H3511" s="2">
        <v>64.304599999999994</v>
      </c>
      <c r="I3511" s="2">
        <v>0</v>
      </c>
      <c r="J3511" s="2">
        <v>0</v>
      </c>
    </row>
    <row r="3512" spans="1:10">
      <c r="A3512" s="2" t="s">
        <v>148</v>
      </c>
      <c r="B3512" s="2" t="s">
        <v>100</v>
      </c>
      <c r="C3512" s="2">
        <v>1.09642E-2</v>
      </c>
      <c r="D3512" s="60">
        <v>0</v>
      </c>
      <c r="E3512" s="2">
        <v>24.130199999999999</v>
      </c>
      <c r="F3512" s="2">
        <v>3.07653</v>
      </c>
      <c r="G3512" s="2">
        <v>0</v>
      </c>
      <c r="H3512" s="2">
        <v>10.000400000000001</v>
      </c>
      <c r="I3512" s="2">
        <v>0</v>
      </c>
      <c r="J3512" s="2">
        <v>0</v>
      </c>
    </row>
    <row r="3513" spans="1:10">
      <c r="A3513" s="2" t="s">
        <v>148</v>
      </c>
      <c r="B3513" s="2" t="s">
        <v>98</v>
      </c>
      <c r="C3513" s="2">
        <v>0.15862699999999999</v>
      </c>
      <c r="D3513" s="60">
        <v>0</v>
      </c>
      <c r="E3513" s="2">
        <v>17.762599999999999</v>
      </c>
      <c r="F3513" s="2">
        <v>6.3676599999999999</v>
      </c>
      <c r="G3513" s="2">
        <v>10.000400000000001</v>
      </c>
      <c r="H3513" s="2">
        <v>24.773599999999998</v>
      </c>
      <c r="I3513" s="2">
        <v>0</v>
      </c>
      <c r="J3513" s="2">
        <v>0</v>
      </c>
    </row>
    <row r="3514" spans="1:10">
      <c r="A3514" s="2" t="s">
        <v>148</v>
      </c>
      <c r="B3514" s="2" t="s">
        <v>101</v>
      </c>
      <c r="C3514" s="2">
        <v>9.9773600000000004E-2</v>
      </c>
      <c r="D3514" s="60">
        <v>0</v>
      </c>
      <c r="E3514" s="2">
        <v>16</v>
      </c>
      <c r="F3514" s="2">
        <v>1.76258</v>
      </c>
      <c r="G3514" s="2">
        <v>24.773599999999998</v>
      </c>
      <c r="H3514" s="2">
        <v>28.841200000000001</v>
      </c>
      <c r="I3514" s="2">
        <v>0</v>
      </c>
      <c r="J3514" s="2">
        <v>0</v>
      </c>
    </row>
    <row r="3515" spans="1:10">
      <c r="A3515" s="2" t="s">
        <v>148</v>
      </c>
      <c r="B3515" s="2" t="s">
        <v>62</v>
      </c>
      <c r="C3515" s="2">
        <v>0.34693299999999999</v>
      </c>
      <c r="D3515" s="60">
        <v>27.7546</v>
      </c>
      <c r="E3515" s="2">
        <v>12</v>
      </c>
      <c r="F3515" s="2">
        <v>4</v>
      </c>
      <c r="G3515" s="2">
        <v>28.841200000000001</v>
      </c>
      <c r="H3515" s="2">
        <v>37.203600000000002</v>
      </c>
      <c r="I3515" s="2">
        <v>0</v>
      </c>
      <c r="J3515" s="2">
        <v>0</v>
      </c>
    </row>
    <row r="3516" spans="1:10">
      <c r="A3516" s="2" t="s">
        <v>148</v>
      </c>
      <c r="B3516" s="2" t="s">
        <v>101</v>
      </c>
      <c r="C3516" s="2">
        <v>0.163021</v>
      </c>
      <c r="D3516" s="60">
        <v>0</v>
      </c>
      <c r="E3516" s="2">
        <v>10.6</v>
      </c>
      <c r="F3516" s="2">
        <v>1.4</v>
      </c>
      <c r="G3516" s="2">
        <v>37.203600000000002</v>
      </c>
      <c r="H3516" s="2">
        <v>39.756599999999999</v>
      </c>
      <c r="I3516" s="2">
        <v>0</v>
      </c>
      <c r="J3516" s="2">
        <v>0</v>
      </c>
    </row>
    <row r="3517" spans="1:10">
      <c r="A3517" s="2" t="s">
        <v>148</v>
      </c>
      <c r="B3517" s="2" t="s">
        <v>62</v>
      </c>
      <c r="C3517" s="2">
        <v>0.58137499999999998</v>
      </c>
      <c r="D3517" s="60">
        <v>46.51</v>
      </c>
      <c r="E3517" s="2">
        <v>6.6</v>
      </c>
      <c r="F3517" s="2">
        <v>4</v>
      </c>
      <c r="G3517" s="2">
        <v>39.756599999999999</v>
      </c>
      <c r="H3517" s="2">
        <v>45.954700000000003</v>
      </c>
      <c r="I3517" s="2">
        <v>0</v>
      </c>
      <c r="J3517" s="2">
        <v>0</v>
      </c>
    </row>
    <row r="3518" spans="1:10">
      <c r="A3518" s="2" t="s">
        <v>148</v>
      </c>
      <c r="B3518" s="2" t="s">
        <v>101</v>
      </c>
      <c r="C3518" s="2">
        <v>6.7139599999999994E-2</v>
      </c>
      <c r="D3518" s="60">
        <v>0</v>
      </c>
      <c r="E3518" s="2">
        <v>6.2</v>
      </c>
      <c r="F3518" s="2">
        <v>0.4</v>
      </c>
      <c r="G3518" s="2">
        <v>45.954700000000003</v>
      </c>
      <c r="H3518" s="2">
        <v>46.501100000000001</v>
      </c>
      <c r="I3518" s="2">
        <v>0</v>
      </c>
      <c r="J3518" s="2">
        <v>0</v>
      </c>
    </row>
    <row r="3519" spans="1:10">
      <c r="A3519" s="2" t="s">
        <v>148</v>
      </c>
      <c r="B3519" s="2" t="s">
        <v>55</v>
      </c>
      <c r="C3519" s="2">
        <v>1.2303599999999999</v>
      </c>
      <c r="D3519" s="60">
        <v>178.40299999999999</v>
      </c>
      <c r="E3519" s="2">
        <v>0.3</v>
      </c>
      <c r="F3519" s="2">
        <v>5.9</v>
      </c>
      <c r="G3519" s="2">
        <v>46.501100000000001</v>
      </c>
      <c r="H3519" s="2">
        <v>61.295000000000002</v>
      </c>
      <c r="I3519" s="2">
        <v>0</v>
      </c>
      <c r="J3519" s="2">
        <v>0</v>
      </c>
    </row>
    <row r="3520" spans="1:10">
      <c r="A3520" s="2" t="s">
        <v>138</v>
      </c>
      <c r="B3520" s="2">
        <v>18</v>
      </c>
      <c r="C3520" s="2">
        <v>19.456499999999998</v>
      </c>
      <c r="D3520" s="60" t="s">
        <v>129</v>
      </c>
      <c r="E3520" s="2" t="s">
        <v>139</v>
      </c>
    </row>
    <row r="3521" spans="1:10">
      <c r="A3521" s="2" t="s">
        <v>140</v>
      </c>
      <c r="B3521" s="2">
        <v>0</v>
      </c>
      <c r="C3521" s="2">
        <v>50.362099999999998</v>
      </c>
      <c r="D3521" s="60">
        <v>25.354299999999999</v>
      </c>
    </row>
    <row r="3522" spans="1:10">
      <c r="A3522" s="2" t="s">
        <v>141</v>
      </c>
      <c r="B3522" s="2">
        <v>0</v>
      </c>
      <c r="C3522" s="2">
        <v>0.5</v>
      </c>
      <c r="D3522" s="60" t="s">
        <v>157</v>
      </c>
    </row>
    <row r="3523" spans="1:10">
      <c r="A3523" s="2" t="s">
        <v>141</v>
      </c>
      <c r="B3523" s="2">
        <v>0</v>
      </c>
      <c r="C3523" s="2">
        <v>5</v>
      </c>
      <c r="D3523" s="60" t="s">
        <v>142</v>
      </c>
    </row>
    <row r="3524" spans="1:10">
      <c r="A3524" s="2" t="s">
        <v>141</v>
      </c>
      <c r="B3524" s="2">
        <v>0</v>
      </c>
      <c r="C3524" s="2">
        <v>8.6</v>
      </c>
      <c r="D3524" s="60" t="s">
        <v>143</v>
      </c>
    </row>
    <row r="3525" spans="1:10">
      <c r="A3525" s="2" t="s">
        <v>141</v>
      </c>
      <c r="B3525" s="2">
        <v>5</v>
      </c>
      <c r="C3525" s="2">
        <v>7.6</v>
      </c>
      <c r="D3525" s="60" t="s">
        <v>145</v>
      </c>
    </row>
    <row r="3526" spans="1:10">
      <c r="A3526" s="2" t="s">
        <v>141</v>
      </c>
      <c r="B3526" s="2">
        <v>7.6</v>
      </c>
      <c r="C3526" s="2">
        <v>8.6</v>
      </c>
      <c r="D3526" s="60" t="s">
        <v>144</v>
      </c>
    </row>
    <row r="3527" spans="1:10">
      <c r="A3527" s="2" t="s">
        <v>141</v>
      </c>
      <c r="B3527" s="2">
        <v>8.6</v>
      </c>
      <c r="C3527" s="2">
        <v>9</v>
      </c>
      <c r="D3527" s="60" t="s">
        <v>147</v>
      </c>
    </row>
    <row r="3528" spans="1:10">
      <c r="A3528" s="2" t="s">
        <v>141</v>
      </c>
      <c r="B3528" s="2">
        <v>8.6</v>
      </c>
      <c r="C3528" s="2">
        <v>20.2</v>
      </c>
      <c r="D3528" s="60" t="s">
        <v>155</v>
      </c>
    </row>
    <row r="3529" spans="1:10">
      <c r="A3529" s="2" t="s">
        <v>141</v>
      </c>
      <c r="B3529" s="2">
        <v>9</v>
      </c>
      <c r="C3529" s="2">
        <v>10.3</v>
      </c>
      <c r="D3529" s="60" t="s">
        <v>151</v>
      </c>
    </row>
    <row r="3530" spans="1:10">
      <c r="A3530" s="2" t="s">
        <v>141</v>
      </c>
      <c r="B3530" s="2">
        <v>10.3</v>
      </c>
      <c r="C3530" s="2">
        <v>11.8</v>
      </c>
      <c r="D3530" s="60" t="s">
        <v>147</v>
      </c>
    </row>
    <row r="3531" spans="1:10">
      <c r="A3531" s="2" t="s">
        <v>141</v>
      </c>
      <c r="B3531" s="2">
        <v>11.8</v>
      </c>
      <c r="C3531" s="2">
        <v>20.2</v>
      </c>
      <c r="D3531" s="60" t="s">
        <v>144</v>
      </c>
    </row>
    <row r="3532" spans="1:10">
      <c r="A3532" s="2" t="s">
        <v>148</v>
      </c>
      <c r="B3532" s="2" t="s">
        <v>99</v>
      </c>
      <c r="C3532" s="2">
        <v>6.0761299999999997E-2</v>
      </c>
      <c r="D3532" s="60">
        <v>0</v>
      </c>
      <c r="E3532" s="2">
        <v>0</v>
      </c>
      <c r="F3532" s="2">
        <v>0.3</v>
      </c>
      <c r="G3532" s="2">
        <v>49.5351</v>
      </c>
      <c r="H3532" s="2">
        <v>52.130899999999997</v>
      </c>
      <c r="I3532" s="2">
        <v>0</v>
      </c>
      <c r="J3532" s="2">
        <v>0</v>
      </c>
    </row>
    <row r="3533" spans="1:10">
      <c r="A3533" s="2" t="s">
        <v>148</v>
      </c>
      <c r="B3533" s="2" t="s">
        <v>100</v>
      </c>
      <c r="C3533" s="2">
        <v>1.30657E-2</v>
      </c>
      <c r="D3533" s="60">
        <v>0</v>
      </c>
      <c r="E3533" s="2">
        <v>21.503599999999999</v>
      </c>
      <c r="F3533" s="2">
        <v>3.85067</v>
      </c>
      <c r="G3533" s="2">
        <v>0</v>
      </c>
      <c r="H3533" s="2">
        <v>10</v>
      </c>
      <c r="I3533" s="2">
        <v>0</v>
      </c>
      <c r="J3533" s="2">
        <v>0</v>
      </c>
    </row>
    <row r="3534" spans="1:10">
      <c r="A3534" s="2" t="s">
        <v>148</v>
      </c>
      <c r="B3534" s="2" t="s">
        <v>98</v>
      </c>
      <c r="C3534" s="2">
        <v>5.3742599999999996E-3</v>
      </c>
      <c r="D3534" s="60">
        <v>0</v>
      </c>
      <c r="E3534" s="2">
        <v>20.8948</v>
      </c>
      <c r="F3534" s="2">
        <v>0.608769</v>
      </c>
      <c r="G3534" s="2">
        <v>10</v>
      </c>
      <c r="H3534" s="2">
        <v>11.196300000000001</v>
      </c>
      <c r="I3534" s="2">
        <v>0</v>
      </c>
      <c r="J3534" s="2">
        <v>0</v>
      </c>
    </row>
    <row r="3535" spans="1:10">
      <c r="A3535" s="2" t="s">
        <v>148</v>
      </c>
      <c r="B3535" s="2" t="s">
        <v>101</v>
      </c>
      <c r="C3535" s="2">
        <v>3.9400299999999999E-2</v>
      </c>
      <c r="D3535" s="60">
        <v>0</v>
      </c>
      <c r="E3535" s="2">
        <v>18.3</v>
      </c>
      <c r="F3535" s="2">
        <v>2.59483</v>
      </c>
      <c r="G3535" s="2">
        <v>11.196300000000001</v>
      </c>
      <c r="H3535" s="2">
        <v>16.482199999999999</v>
      </c>
      <c r="I3535" s="2">
        <v>0</v>
      </c>
      <c r="J3535" s="2">
        <v>0</v>
      </c>
    </row>
    <row r="3536" spans="1:10">
      <c r="A3536" s="2" t="s">
        <v>148</v>
      </c>
      <c r="B3536" s="2" t="s">
        <v>63</v>
      </c>
      <c r="C3536" s="2">
        <v>0.24469399999999999</v>
      </c>
      <c r="D3536" s="60">
        <v>17.128599999999999</v>
      </c>
      <c r="E3536" s="2">
        <v>12.3</v>
      </c>
      <c r="F3536" s="2">
        <v>6</v>
      </c>
      <c r="G3536" s="2">
        <v>16.482199999999999</v>
      </c>
      <c r="H3536" s="2">
        <v>28.2559</v>
      </c>
      <c r="I3536" s="2">
        <v>0</v>
      </c>
      <c r="J3536" s="2">
        <v>0</v>
      </c>
    </row>
    <row r="3537" spans="1:39">
      <c r="A3537" s="2" t="s">
        <v>148</v>
      </c>
      <c r="B3537" s="2" t="s">
        <v>62</v>
      </c>
      <c r="C3537" s="2">
        <v>0.31301699999999999</v>
      </c>
      <c r="D3537" s="60">
        <v>25.041399999999999</v>
      </c>
      <c r="E3537" s="2">
        <v>8.3000000000000007</v>
      </c>
      <c r="F3537" s="2">
        <v>4</v>
      </c>
      <c r="G3537" s="2">
        <v>28.2559</v>
      </c>
      <c r="H3537" s="2">
        <v>34.508800000000001</v>
      </c>
      <c r="I3537" s="2">
        <v>0</v>
      </c>
      <c r="J3537" s="2">
        <v>0</v>
      </c>
    </row>
    <row r="3538" spans="1:39">
      <c r="A3538" s="2" t="s">
        <v>148</v>
      </c>
      <c r="B3538" s="2" t="s">
        <v>59</v>
      </c>
      <c r="C3538" s="2">
        <v>0.43152099999999999</v>
      </c>
      <c r="D3538" s="60">
        <v>43.152099999999997</v>
      </c>
      <c r="E3538" s="2">
        <v>4.3</v>
      </c>
      <c r="F3538" s="2">
        <v>4</v>
      </c>
      <c r="G3538" s="2">
        <v>34.508800000000001</v>
      </c>
      <c r="H3538" s="2">
        <v>39.409500000000001</v>
      </c>
      <c r="I3538" s="2">
        <v>0</v>
      </c>
      <c r="J3538" s="2">
        <v>0</v>
      </c>
    </row>
    <row r="3539" spans="1:39">
      <c r="A3539" s="2" t="s">
        <v>148</v>
      </c>
      <c r="B3539" s="2" t="s">
        <v>56</v>
      </c>
      <c r="C3539" s="2">
        <v>0.57702799999999999</v>
      </c>
      <c r="D3539" s="60">
        <v>80.783900000000003</v>
      </c>
      <c r="E3539" s="2">
        <v>0.3</v>
      </c>
      <c r="F3539" s="2">
        <v>4</v>
      </c>
      <c r="G3539" s="2">
        <v>39.409500000000001</v>
      </c>
      <c r="H3539" s="2">
        <v>49.5351</v>
      </c>
      <c r="I3539" s="2">
        <v>0</v>
      </c>
      <c r="J3539" s="2">
        <v>0</v>
      </c>
    </row>
    <row r="3540" spans="1:39">
      <c r="A3540" s="2" t="s">
        <v>130</v>
      </c>
      <c r="B3540" s="2" t="s">
        <v>131</v>
      </c>
      <c r="C3540" s="2" t="s">
        <v>162</v>
      </c>
      <c r="D3540" s="60" t="s">
        <v>133</v>
      </c>
      <c r="E3540" s="2">
        <v>11</v>
      </c>
      <c r="F3540" s="2">
        <v>2016</v>
      </c>
    </row>
    <row r="3541" spans="1:39">
      <c r="A3541" s="2" t="s">
        <v>234</v>
      </c>
      <c r="B3541" s="2" t="s">
        <v>220</v>
      </c>
      <c r="C3541" s="2" t="s">
        <v>235</v>
      </c>
      <c r="D3541" s="60" t="s">
        <v>236</v>
      </c>
      <c r="E3541" s="2" t="s">
        <v>237</v>
      </c>
      <c r="F3541" s="2" t="s">
        <v>238</v>
      </c>
      <c r="G3541" s="2" t="s">
        <v>239</v>
      </c>
      <c r="H3541" s="2" t="s">
        <v>240</v>
      </c>
      <c r="I3541" s="2" t="s">
        <v>241</v>
      </c>
      <c r="J3541" s="2" t="s">
        <v>242</v>
      </c>
      <c r="K3541" s="2" t="s">
        <v>197</v>
      </c>
      <c r="L3541" s="2" t="s">
        <v>243</v>
      </c>
      <c r="M3541" s="2" t="s">
        <v>244</v>
      </c>
      <c r="N3541" s="2" t="s">
        <v>245</v>
      </c>
      <c r="O3541" s="2" t="s">
        <v>237</v>
      </c>
      <c r="P3541" s="2" t="s">
        <v>246</v>
      </c>
      <c r="Q3541" s="2" t="s">
        <v>247</v>
      </c>
      <c r="R3541" s="2" t="s">
        <v>183</v>
      </c>
      <c r="S3541" s="2" t="s">
        <v>248</v>
      </c>
      <c r="T3541" s="2" t="s">
        <v>166</v>
      </c>
      <c r="U3541" s="2" t="s">
        <v>249</v>
      </c>
      <c r="V3541" s="2" t="s">
        <v>250</v>
      </c>
      <c r="W3541" s="2" t="s">
        <v>251</v>
      </c>
      <c r="X3541" s="2" t="s">
        <v>252</v>
      </c>
      <c r="Y3541" s="2" t="s">
        <v>253</v>
      </c>
      <c r="Z3541" s="2" t="s">
        <v>254</v>
      </c>
      <c r="AA3541" s="2" t="s">
        <v>255</v>
      </c>
      <c r="AB3541" s="2" t="s">
        <v>256</v>
      </c>
      <c r="AC3541" s="2" t="s">
        <v>184</v>
      </c>
      <c r="AD3541" s="2" t="s">
        <v>228</v>
      </c>
      <c r="AE3541" s="2" t="s">
        <v>192</v>
      </c>
      <c r="AF3541" s="2" t="s">
        <v>257</v>
      </c>
      <c r="AG3541" s="2" t="s">
        <v>258</v>
      </c>
      <c r="AH3541" s="2" t="s">
        <v>184</v>
      </c>
      <c r="AI3541" s="2" t="s">
        <v>192</v>
      </c>
      <c r="AJ3541" s="2" t="s">
        <v>228</v>
      </c>
      <c r="AK3541" s="2" t="s">
        <v>259</v>
      </c>
      <c r="AL3541" s="2" t="s">
        <v>260</v>
      </c>
      <c r="AM3541" s="2" t="s">
        <v>261</v>
      </c>
    </row>
    <row r="3542" spans="1:39">
      <c r="A3542" s="2" t="s">
        <v>134</v>
      </c>
      <c r="B3542" s="2" t="s">
        <v>74</v>
      </c>
      <c r="C3542" s="2">
        <v>28</v>
      </c>
      <c r="D3542" s="60" t="s">
        <v>262</v>
      </c>
      <c r="E3542" s="2" t="s">
        <v>187</v>
      </c>
      <c r="F3542" s="2" t="s">
        <v>188</v>
      </c>
      <c r="G3542" s="2" t="s">
        <v>128</v>
      </c>
    </row>
    <row r="3543" spans="1:39">
      <c r="A3543" s="2" t="s">
        <v>138</v>
      </c>
      <c r="B3543" s="2">
        <v>1</v>
      </c>
      <c r="C3543" s="2">
        <v>48.539499999999997</v>
      </c>
      <c r="D3543" s="60" t="s">
        <v>129</v>
      </c>
      <c r="E3543" s="2" t="s">
        <v>149</v>
      </c>
    </row>
    <row r="3544" spans="1:39">
      <c r="A3544" s="2" t="s">
        <v>140</v>
      </c>
      <c r="B3544" s="2">
        <v>0</v>
      </c>
      <c r="C3544" s="2">
        <v>61.695399999999999</v>
      </c>
      <c r="D3544" s="60">
        <v>26.951599999999999</v>
      </c>
    </row>
    <row r="3545" spans="1:39">
      <c r="A3545" s="2" t="s">
        <v>141</v>
      </c>
      <c r="B3545" s="2">
        <v>0</v>
      </c>
      <c r="C3545" s="2">
        <v>8.5</v>
      </c>
      <c r="D3545" s="60" t="s">
        <v>144</v>
      </c>
    </row>
    <row r="3546" spans="1:39">
      <c r="A3546" s="2" t="s">
        <v>141</v>
      </c>
      <c r="B3546" s="2">
        <v>0</v>
      </c>
      <c r="C3546" s="2">
        <v>21.418399999999998</v>
      </c>
      <c r="D3546" s="60" t="s">
        <v>146</v>
      </c>
    </row>
    <row r="3547" spans="1:39">
      <c r="A3547" s="2" t="s">
        <v>141</v>
      </c>
      <c r="B3547" s="2">
        <v>2.1</v>
      </c>
      <c r="C3547" s="2">
        <v>2.4</v>
      </c>
      <c r="D3547" s="60" t="s">
        <v>153</v>
      </c>
    </row>
    <row r="3548" spans="1:39">
      <c r="A3548" s="2" t="s">
        <v>141</v>
      </c>
      <c r="B3548" s="2">
        <v>2.1</v>
      </c>
      <c r="C3548" s="2">
        <v>2.4</v>
      </c>
      <c r="D3548" s="60" t="s">
        <v>154</v>
      </c>
    </row>
    <row r="3549" spans="1:39">
      <c r="A3549" s="2" t="s">
        <v>141</v>
      </c>
      <c r="B3549" s="2">
        <v>8.5</v>
      </c>
      <c r="C3549" s="2">
        <v>8.8000000000000007</v>
      </c>
      <c r="D3549" s="60" t="s">
        <v>145</v>
      </c>
    </row>
    <row r="3550" spans="1:39">
      <c r="A3550" s="2" t="s">
        <v>141</v>
      </c>
      <c r="B3550" s="2">
        <v>8.8000000000000007</v>
      </c>
      <c r="C3550" s="2">
        <v>21.418399999999998</v>
      </c>
      <c r="D3550" s="60" t="s">
        <v>144</v>
      </c>
    </row>
    <row r="3551" spans="1:39">
      <c r="A3551" s="2" t="s">
        <v>156</v>
      </c>
      <c r="B3551" s="2">
        <v>2.1</v>
      </c>
      <c r="C3551" s="2">
        <v>45.239400000000003</v>
      </c>
    </row>
    <row r="3552" spans="1:39">
      <c r="A3552" s="2" t="s">
        <v>148</v>
      </c>
      <c r="B3552" s="2" t="s">
        <v>99</v>
      </c>
      <c r="C3552" s="2">
        <v>8.7719599999999995E-2</v>
      </c>
      <c r="D3552" s="60">
        <v>0</v>
      </c>
      <c r="E3552" s="2">
        <v>0</v>
      </c>
      <c r="F3552" s="2">
        <v>0.3</v>
      </c>
      <c r="G3552" s="2">
        <v>59.594799999999999</v>
      </c>
      <c r="H3552" s="2">
        <v>62.546500000000002</v>
      </c>
      <c r="I3552" s="2">
        <v>0</v>
      </c>
      <c r="J3552" s="2">
        <v>0</v>
      </c>
    </row>
    <row r="3553" spans="1:10">
      <c r="A3553" s="2" t="s">
        <v>148</v>
      </c>
      <c r="B3553" s="2" t="s">
        <v>100</v>
      </c>
      <c r="C3553" s="2">
        <v>1.5362000000000001E-2</v>
      </c>
      <c r="D3553" s="60">
        <v>0</v>
      </c>
      <c r="E3553" s="2">
        <v>22.314800000000002</v>
      </c>
      <c r="F3553" s="2">
        <v>4.6368299999999998</v>
      </c>
      <c r="G3553" s="2">
        <v>0</v>
      </c>
      <c r="H3553" s="2">
        <v>10</v>
      </c>
      <c r="I3553" s="2">
        <v>0</v>
      </c>
      <c r="J3553" s="2">
        <v>0</v>
      </c>
    </row>
    <row r="3554" spans="1:10">
      <c r="A3554" s="2" t="s">
        <v>148</v>
      </c>
      <c r="B3554" s="2" t="s">
        <v>98</v>
      </c>
      <c r="C3554" s="2">
        <v>0.15007799999999999</v>
      </c>
      <c r="D3554" s="60">
        <v>0</v>
      </c>
      <c r="E3554" s="2">
        <v>15.293799999999999</v>
      </c>
      <c r="F3554" s="2">
        <v>7.0209799999999998</v>
      </c>
      <c r="G3554" s="2">
        <v>10</v>
      </c>
      <c r="H3554" s="2">
        <v>22.174700000000001</v>
      </c>
      <c r="I3554" s="2">
        <v>0</v>
      </c>
      <c r="J3554" s="2">
        <v>0</v>
      </c>
    </row>
    <row r="3555" spans="1:10">
      <c r="A3555" s="2" t="s">
        <v>148</v>
      </c>
      <c r="B3555" s="2" t="s">
        <v>101</v>
      </c>
      <c r="C3555" s="2">
        <v>3.6839900000000002E-2</v>
      </c>
      <c r="D3555" s="60">
        <v>0</v>
      </c>
      <c r="E3555" s="2">
        <v>14.4</v>
      </c>
      <c r="F3555" s="2">
        <v>0.89383999999999997</v>
      </c>
      <c r="G3555" s="2">
        <v>22.174700000000001</v>
      </c>
      <c r="H3555" s="2">
        <v>23.625299999999999</v>
      </c>
      <c r="I3555" s="2">
        <v>0</v>
      </c>
      <c r="J3555" s="2">
        <v>0</v>
      </c>
    </row>
    <row r="3556" spans="1:10">
      <c r="A3556" s="2" t="s">
        <v>148</v>
      </c>
      <c r="B3556" s="2" t="s">
        <v>60</v>
      </c>
      <c r="C3556" s="2">
        <v>0.37134</v>
      </c>
      <c r="D3556" s="60">
        <v>33.4206</v>
      </c>
      <c r="E3556" s="2">
        <v>8.4</v>
      </c>
      <c r="F3556" s="2">
        <v>6</v>
      </c>
      <c r="G3556" s="2">
        <v>23.625299999999999</v>
      </c>
      <c r="H3556" s="2">
        <v>31.85</v>
      </c>
      <c r="I3556" s="2">
        <v>0</v>
      </c>
      <c r="J3556" s="2">
        <v>0</v>
      </c>
    </row>
    <row r="3557" spans="1:10">
      <c r="A3557" s="2" t="s">
        <v>148</v>
      </c>
      <c r="B3557" s="2" t="s">
        <v>59</v>
      </c>
      <c r="C3557" s="2">
        <v>0.57888300000000004</v>
      </c>
      <c r="D3557" s="60">
        <v>57.888300000000001</v>
      </c>
      <c r="E3557" s="2">
        <v>2.4</v>
      </c>
      <c r="F3557" s="2">
        <v>6</v>
      </c>
      <c r="G3557" s="2">
        <v>31.85</v>
      </c>
      <c r="H3557" s="2">
        <v>38.314599999999999</v>
      </c>
      <c r="I3557" s="2">
        <v>0</v>
      </c>
      <c r="J3557" s="2">
        <v>0</v>
      </c>
    </row>
    <row r="3558" spans="1:10">
      <c r="A3558" s="2" t="s">
        <v>148</v>
      </c>
      <c r="B3558" s="2" t="s">
        <v>101</v>
      </c>
      <c r="C3558" s="2">
        <v>0.45576</v>
      </c>
      <c r="D3558" s="60">
        <v>0</v>
      </c>
      <c r="E3558" s="2">
        <v>0.3</v>
      </c>
      <c r="F3558" s="2">
        <v>2.1</v>
      </c>
      <c r="G3558" s="2">
        <v>38.314599999999999</v>
      </c>
      <c r="H3558" s="2">
        <v>59.594799999999999</v>
      </c>
      <c r="I3558" s="2">
        <v>0</v>
      </c>
      <c r="J3558" s="2">
        <v>0</v>
      </c>
    </row>
    <row r="3559" spans="1:10">
      <c r="A3559" s="2" t="s">
        <v>140</v>
      </c>
      <c r="B3559" s="2">
        <v>1</v>
      </c>
      <c r="C3559" s="2">
        <v>32.041400000000003</v>
      </c>
      <c r="D3559" s="60">
        <v>26.951599999999999</v>
      </c>
      <c r="E3559" s="2">
        <v>2.1</v>
      </c>
    </row>
    <row r="3560" spans="1:10">
      <c r="A3560" s="2" t="s">
        <v>141</v>
      </c>
      <c r="B3560" s="2">
        <v>2.1</v>
      </c>
      <c r="C3560" s="2">
        <v>2.4</v>
      </c>
      <c r="D3560" s="60" t="s">
        <v>153</v>
      </c>
    </row>
    <row r="3561" spans="1:10">
      <c r="A3561" s="2" t="s">
        <v>141</v>
      </c>
      <c r="B3561" s="2">
        <v>2.1</v>
      </c>
      <c r="C3561" s="2">
        <v>21.418399999999998</v>
      </c>
      <c r="D3561" s="60" t="s">
        <v>145</v>
      </c>
    </row>
    <row r="3562" spans="1:10">
      <c r="A3562" s="2" t="s">
        <v>141</v>
      </c>
      <c r="B3562" s="2">
        <v>2.1</v>
      </c>
      <c r="C3562" s="2">
        <v>21.418399999999998</v>
      </c>
      <c r="D3562" s="60" t="s">
        <v>152</v>
      </c>
    </row>
    <row r="3563" spans="1:10">
      <c r="A3563" s="2" t="s">
        <v>148</v>
      </c>
      <c r="B3563" s="2" t="s">
        <v>100</v>
      </c>
      <c r="C3563" s="2">
        <v>2.0703900000000001E-2</v>
      </c>
      <c r="D3563" s="60">
        <v>0</v>
      </c>
      <c r="E3563" s="2">
        <v>20.223700000000001</v>
      </c>
      <c r="F3563" s="2">
        <v>6.7279900000000001</v>
      </c>
      <c r="G3563" s="2">
        <v>0</v>
      </c>
      <c r="H3563" s="2">
        <v>10</v>
      </c>
      <c r="I3563" s="2">
        <v>0</v>
      </c>
      <c r="J3563" s="2">
        <v>0</v>
      </c>
    </row>
    <row r="3564" spans="1:10">
      <c r="A3564" s="2" t="s">
        <v>148</v>
      </c>
      <c r="B3564" s="2" t="s">
        <v>98</v>
      </c>
      <c r="C3564" s="2">
        <v>2.2767099999999998E-2</v>
      </c>
      <c r="D3564" s="60">
        <v>0</v>
      </c>
      <c r="E3564" s="2">
        <v>18.0168</v>
      </c>
      <c r="F3564" s="2">
        <v>2.2068500000000002</v>
      </c>
      <c r="G3564" s="2">
        <v>10</v>
      </c>
      <c r="H3564" s="2">
        <v>12.8612</v>
      </c>
      <c r="I3564" s="2">
        <v>0</v>
      </c>
      <c r="J3564" s="2">
        <v>0</v>
      </c>
    </row>
    <row r="3565" spans="1:10">
      <c r="A3565" s="2" t="s">
        <v>148</v>
      </c>
      <c r="B3565" s="2" t="s">
        <v>101</v>
      </c>
      <c r="C3565" s="2">
        <v>2.1865900000000001E-4</v>
      </c>
      <c r="D3565" s="60">
        <v>0</v>
      </c>
      <c r="E3565" s="2">
        <v>18</v>
      </c>
      <c r="F3565" s="2">
        <v>1.68027E-2</v>
      </c>
      <c r="G3565" s="2">
        <v>12.8612</v>
      </c>
      <c r="H3565" s="2">
        <v>12.882899999999999</v>
      </c>
      <c r="I3565" s="2">
        <v>0</v>
      </c>
      <c r="J3565" s="2">
        <v>0</v>
      </c>
    </row>
    <row r="3566" spans="1:10">
      <c r="A3566" s="2" t="s">
        <v>148</v>
      </c>
      <c r="B3566" s="2" t="s">
        <v>64</v>
      </c>
      <c r="C3566" s="2">
        <v>6.5379000000000007E-2</v>
      </c>
      <c r="D3566" s="60">
        <v>1.9613700000000001</v>
      </c>
      <c r="E3566" s="2">
        <v>14.4</v>
      </c>
      <c r="F3566" s="2">
        <v>3.6</v>
      </c>
      <c r="G3566" s="2">
        <v>12.882899999999999</v>
      </c>
      <c r="H3566" s="2">
        <v>17.348099999999999</v>
      </c>
      <c r="I3566" s="2">
        <v>0</v>
      </c>
      <c r="J3566" s="2">
        <v>0</v>
      </c>
    </row>
    <row r="3567" spans="1:10">
      <c r="A3567" s="2" t="s">
        <v>148</v>
      </c>
      <c r="B3567" s="2" t="s">
        <v>64</v>
      </c>
      <c r="C3567" s="2">
        <v>0.20022499999999999</v>
      </c>
      <c r="D3567" s="60">
        <v>6.0067599999999999</v>
      </c>
      <c r="E3567" s="2">
        <v>8.4</v>
      </c>
      <c r="F3567" s="2">
        <v>6</v>
      </c>
      <c r="G3567" s="2">
        <v>17.348099999999999</v>
      </c>
      <c r="H3567" s="2">
        <v>23.387499999999999</v>
      </c>
      <c r="I3567" s="2">
        <v>0</v>
      </c>
      <c r="J3567" s="2">
        <v>0</v>
      </c>
    </row>
    <row r="3568" spans="1:10">
      <c r="A3568" s="2" t="s">
        <v>148</v>
      </c>
      <c r="B3568" s="2" t="s">
        <v>64</v>
      </c>
      <c r="C3568" s="2">
        <v>0.31213200000000002</v>
      </c>
      <c r="D3568" s="60">
        <v>9.3639700000000001</v>
      </c>
      <c r="E3568" s="2">
        <v>2.4</v>
      </c>
      <c r="F3568" s="2">
        <v>6</v>
      </c>
      <c r="G3568" s="2">
        <v>23.387499999999999</v>
      </c>
      <c r="H3568" s="2">
        <v>28.134499999999999</v>
      </c>
      <c r="I3568" s="2">
        <v>0</v>
      </c>
      <c r="J3568" s="2">
        <v>0</v>
      </c>
    </row>
    <row r="3569" spans="1:10">
      <c r="A3569" s="2" t="s">
        <v>148</v>
      </c>
      <c r="B3569" s="2" t="s">
        <v>101</v>
      </c>
      <c r="C3569" s="2">
        <v>1.8885900000000001E-2</v>
      </c>
      <c r="D3569" s="60">
        <v>0</v>
      </c>
      <c r="E3569" s="2">
        <v>2.1</v>
      </c>
      <c r="F3569" s="2">
        <v>0.3</v>
      </c>
      <c r="G3569" s="2">
        <v>28.134499999999999</v>
      </c>
      <c r="H3569" s="2">
        <v>28.4971</v>
      </c>
      <c r="I3569" s="2">
        <v>0</v>
      </c>
      <c r="J3569" s="2">
        <v>0</v>
      </c>
    </row>
    <row r="3570" spans="1:10">
      <c r="A3570" s="2" t="s">
        <v>138</v>
      </c>
      <c r="B3570" s="2">
        <v>2</v>
      </c>
      <c r="C3570" s="2">
        <v>47.021500000000003</v>
      </c>
      <c r="D3570" s="60" t="s">
        <v>129</v>
      </c>
      <c r="E3570" s="2" t="s">
        <v>149</v>
      </c>
    </row>
    <row r="3571" spans="1:10">
      <c r="A3571" s="2" t="s">
        <v>140</v>
      </c>
      <c r="B3571" s="2">
        <v>0</v>
      </c>
      <c r="C3571" s="2">
        <v>49.277799999999999</v>
      </c>
      <c r="D3571" s="60">
        <v>25.941400000000002</v>
      </c>
    </row>
    <row r="3572" spans="1:10">
      <c r="A3572" s="2" t="s">
        <v>141</v>
      </c>
      <c r="B3572" s="2">
        <v>0</v>
      </c>
      <c r="C3572" s="2">
        <v>4.8</v>
      </c>
      <c r="D3572" s="60" t="s">
        <v>142</v>
      </c>
    </row>
    <row r="3573" spans="1:10">
      <c r="A3573" s="2" t="s">
        <v>141</v>
      </c>
      <c r="B3573" s="2">
        <v>0</v>
      </c>
      <c r="C3573" s="2">
        <v>20.7422</v>
      </c>
      <c r="D3573" s="60" t="s">
        <v>146</v>
      </c>
    </row>
    <row r="3574" spans="1:10">
      <c r="A3574" s="2" t="s">
        <v>141</v>
      </c>
      <c r="B3574" s="2">
        <v>4.8</v>
      </c>
      <c r="C3574" s="2">
        <v>6.3</v>
      </c>
      <c r="D3574" s="60" t="s">
        <v>144</v>
      </c>
    </row>
    <row r="3575" spans="1:10">
      <c r="A3575" s="2" t="s">
        <v>141</v>
      </c>
      <c r="B3575" s="2">
        <v>6.3</v>
      </c>
      <c r="C3575" s="2">
        <v>6.6</v>
      </c>
      <c r="D3575" s="60" t="s">
        <v>145</v>
      </c>
    </row>
    <row r="3576" spans="1:10">
      <c r="A3576" s="2" t="s">
        <v>141</v>
      </c>
      <c r="B3576" s="2">
        <v>6.6</v>
      </c>
      <c r="C3576" s="2">
        <v>20.7422</v>
      </c>
      <c r="D3576" s="60" t="s">
        <v>144</v>
      </c>
    </row>
    <row r="3577" spans="1:10">
      <c r="A3577" s="2" t="s">
        <v>148</v>
      </c>
      <c r="B3577" s="2" t="s">
        <v>99</v>
      </c>
      <c r="C3577" s="2">
        <v>5.8520000000000003E-2</v>
      </c>
      <c r="D3577" s="60">
        <v>0</v>
      </c>
      <c r="E3577" s="2">
        <v>0</v>
      </c>
      <c r="F3577" s="2">
        <v>0.3</v>
      </c>
      <c r="G3577" s="2">
        <v>48.636699999999998</v>
      </c>
      <c r="H3577" s="2">
        <v>51.132199999999997</v>
      </c>
      <c r="I3577" s="2">
        <v>0</v>
      </c>
      <c r="J3577" s="2">
        <v>0</v>
      </c>
    </row>
    <row r="3578" spans="1:10">
      <c r="A3578" s="2" t="s">
        <v>148</v>
      </c>
      <c r="B3578" s="2" t="s">
        <v>100</v>
      </c>
      <c r="C3578" s="2">
        <v>1.3650199999999999E-2</v>
      </c>
      <c r="D3578" s="60">
        <v>0</v>
      </c>
      <c r="E3578" s="2">
        <v>21.899100000000001</v>
      </c>
      <c r="F3578" s="2">
        <v>4.0422799999999999</v>
      </c>
      <c r="G3578" s="2">
        <v>0</v>
      </c>
      <c r="H3578" s="2">
        <v>10</v>
      </c>
      <c r="I3578" s="2">
        <v>0</v>
      </c>
      <c r="J3578" s="2">
        <v>0</v>
      </c>
    </row>
    <row r="3579" spans="1:10">
      <c r="A3579" s="2" t="s">
        <v>148</v>
      </c>
      <c r="B3579" s="2" t="s">
        <v>101</v>
      </c>
      <c r="C3579" s="2">
        <v>5.2442599999999999E-2</v>
      </c>
      <c r="D3579" s="60">
        <v>0</v>
      </c>
      <c r="E3579" s="2">
        <v>18.3</v>
      </c>
      <c r="F3579" s="2">
        <v>3.5991200000000001</v>
      </c>
      <c r="G3579" s="2">
        <v>10</v>
      </c>
      <c r="H3579" s="2">
        <v>17.007100000000001</v>
      </c>
      <c r="I3579" s="2">
        <v>0</v>
      </c>
      <c r="J3579" s="2">
        <v>0</v>
      </c>
    </row>
    <row r="3580" spans="1:10">
      <c r="A3580" s="2" t="s">
        <v>148</v>
      </c>
      <c r="B3580" s="2" t="s">
        <v>61</v>
      </c>
      <c r="C3580" s="2">
        <v>0.13892699999999999</v>
      </c>
      <c r="D3580" s="60">
        <v>11.8088</v>
      </c>
      <c r="E3580" s="2">
        <v>14.3</v>
      </c>
      <c r="F3580" s="2">
        <v>4</v>
      </c>
      <c r="G3580" s="2">
        <v>17.007100000000001</v>
      </c>
      <c r="H3580" s="2">
        <v>24.7042</v>
      </c>
      <c r="I3580" s="2">
        <v>0</v>
      </c>
      <c r="J3580" s="2">
        <v>0</v>
      </c>
    </row>
    <row r="3581" spans="1:10">
      <c r="A3581" s="2" t="s">
        <v>148</v>
      </c>
      <c r="B3581" s="2" t="s">
        <v>60</v>
      </c>
      <c r="C3581" s="2">
        <v>0.24979299999999999</v>
      </c>
      <c r="D3581" s="60">
        <v>22.481400000000001</v>
      </c>
      <c r="E3581" s="2">
        <v>10.3</v>
      </c>
      <c r="F3581" s="2">
        <v>4</v>
      </c>
      <c r="G3581" s="2">
        <v>24.7042</v>
      </c>
      <c r="H3581" s="2">
        <v>31.329499999999999</v>
      </c>
      <c r="I3581" s="2">
        <v>0</v>
      </c>
      <c r="J3581" s="2">
        <v>0</v>
      </c>
    </row>
    <row r="3582" spans="1:10">
      <c r="A3582" s="2" t="s">
        <v>148</v>
      </c>
      <c r="B3582" s="2" t="s">
        <v>59</v>
      </c>
      <c r="C3582" s="2">
        <v>0.58757400000000004</v>
      </c>
      <c r="D3582" s="60">
        <v>58.757399999999997</v>
      </c>
      <c r="E3582" s="2">
        <v>4.3</v>
      </c>
      <c r="F3582" s="2">
        <v>6</v>
      </c>
      <c r="G3582" s="2">
        <v>31.329499999999999</v>
      </c>
      <c r="H3582" s="2">
        <v>38.765500000000003</v>
      </c>
      <c r="I3582" s="2">
        <v>0</v>
      </c>
      <c r="J3582" s="2">
        <v>0</v>
      </c>
    </row>
    <row r="3583" spans="1:10">
      <c r="A3583" s="2" t="s">
        <v>148</v>
      </c>
      <c r="B3583" s="2" t="s">
        <v>56</v>
      </c>
      <c r="C3583" s="2">
        <v>0.557558</v>
      </c>
      <c r="D3583" s="60">
        <v>78.058099999999996</v>
      </c>
      <c r="E3583" s="2">
        <v>0.3</v>
      </c>
      <c r="F3583" s="2">
        <v>4</v>
      </c>
      <c r="G3583" s="2">
        <v>38.765500000000003</v>
      </c>
      <c r="H3583" s="2">
        <v>48.636699999999998</v>
      </c>
      <c r="I3583" s="2">
        <v>0</v>
      </c>
      <c r="J3583" s="2">
        <v>0</v>
      </c>
    </row>
    <row r="3584" spans="1:10">
      <c r="A3584" s="2" t="s">
        <v>138</v>
      </c>
      <c r="B3584" s="2">
        <v>3</v>
      </c>
      <c r="C3584" s="2">
        <v>46.1126</v>
      </c>
      <c r="D3584" s="60" t="s">
        <v>129</v>
      </c>
      <c r="E3584" s="2" t="s">
        <v>139</v>
      </c>
    </row>
    <row r="3585" spans="1:10">
      <c r="A3585" s="2" t="s">
        <v>140</v>
      </c>
      <c r="B3585" s="2">
        <v>0</v>
      </c>
      <c r="C3585" s="2">
        <v>44.828899999999997</v>
      </c>
      <c r="D3585" s="60">
        <v>25.878299999999999</v>
      </c>
    </row>
    <row r="3586" spans="1:10">
      <c r="A3586" s="2" t="s">
        <v>141</v>
      </c>
      <c r="B3586" s="2">
        <v>0</v>
      </c>
      <c r="C3586" s="2">
        <v>2.5</v>
      </c>
      <c r="D3586" s="60" t="s">
        <v>146</v>
      </c>
    </row>
    <row r="3587" spans="1:10">
      <c r="A3587" s="2" t="s">
        <v>141</v>
      </c>
      <c r="B3587" s="2">
        <v>0</v>
      </c>
      <c r="C3587" s="2">
        <v>4.9000000000000004</v>
      </c>
      <c r="D3587" s="60" t="s">
        <v>142</v>
      </c>
    </row>
    <row r="3588" spans="1:10">
      <c r="A3588" s="2" t="s">
        <v>141</v>
      </c>
      <c r="B3588" s="2">
        <v>2.5</v>
      </c>
      <c r="C3588" s="2">
        <v>3</v>
      </c>
      <c r="D3588" s="60" t="s">
        <v>159</v>
      </c>
    </row>
    <row r="3589" spans="1:10">
      <c r="A3589" s="2" t="s">
        <v>141</v>
      </c>
      <c r="B3589" s="2">
        <v>3</v>
      </c>
      <c r="C3589" s="2">
        <v>11.6</v>
      </c>
      <c r="D3589" s="60" t="s">
        <v>146</v>
      </c>
    </row>
    <row r="3590" spans="1:10">
      <c r="A3590" s="2" t="s">
        <v>141</v>
      </c>
      <c r="B3590" s="2">
        <v>4.9000000000000004</v>
      </c>
      <c r="C3590" s="2">
        <v>20.7</v>
      </c>
      <c r="D3590" s="60" t="s">
        <v>144</v>
      </c>
    </row>
    <row r="3591" spans="1:10">
      <c r="A3591" s="2" t="s">
        <v>141</v>
      </c>
      <c r="B3591" s="2">
        <v>11.6</v>
      </c>
      <c r="C3591" s="2">
        <v>15.6</v>
      </c>
      <c r="D3591" s="60" t="s">
        <v>155</v>
      </c>
    </row>
    <row r="3592" spans="1:10">
      <c r="A3592" s="2" t="s">
        <v>141</v>
      </c>
      <c r="B3592" s="2">
        <v>15.6</v>
      </c>
      <c r="C3592" s="2">
        <v>20.7</v>
      </c>
      <c r="D3592" s="60" t="s">
        <v>146</v>
      </c>
    </row>
    <row r="3593" spans="1:10">
      <c r="A3593" s="2" t="s">
        <v>148</v>
      </c>
      <c r="B3593" s="2" t="s">
        <v>99</v>
      </c>
      <c r="C3593" s="2">
        <v>4.9391699999999997E-2</v>
      </c>
      <c r="D3593" s="60">
        <v>0</v>
      </c>
      <c r="E3593" s="2">
        <v>0</v>
      </c>
      <c r="F3593" s="2">
        <v>0.3</v>
      </c>
      <c r="G3593" s="2">
        <v>44.680399999999999</v>
      </c>
      <c r="H3593" s="2">
        <v>46.978000000000002</v>
      </c>
      <c r="I3593" s="2">
        <v>0</v>
      </c>
      <c r="J3593" s="2">
        <v>0</v>
      </c>
    </row>
    <row r="3594" spans="1:10">
      <c r="A3594" s="2" t="s">
        <v>148</v>
      </c>
      <c r="B3594" s="2" t="s">
        <v>100</v>
      </c>
      <c r="C3594" s="2">
        <v>1.48784E-2</v>
      </c>
      <c r="D3594" s="60">
        <v>0</v>
      </c>
      <c r="E3594" s="2">
        <v>21.378</v>
      </c>
      <c r="F3594" s="2">
        <v>4.5003900000000003</v>
      </c>
      <c r="G3594" s="2">
        <v>0</v>
      </c>
      <c r="H3594" s="2">
        <v>10</v>
      </c>
      <c r="I3594" s="2">
        <v>0</v>
      </c>
      <c r="J3594" s="2">
        <v>0</v>
      </c>
    </row>
    <row r="3595" spans="1:10">
      <c r="A3595" s="2" t="s">
        <v>148</v>
      </c>
      <c r="B3595" s="2" t="s">
        <v>98</v>
      </c>
      <c r="C3595" s="2">
        <v>2.8331700000000001E-2</v>
      </c>
      <c r="D3595" s="60">
        <v>0</v>
      </c>
      <c r="E3595" s="2">
        <v>18.961099999999998</v>
      </c>
      <c r="F3595" s="2">
        <v>2.4168699999999999</v>
      </c>
      <c r="G3595" s="2">
        <v>10</v>
      </c>
      <c r="H3595" s="2">
        <v>14.336600000000001</v>
      </c>
      <c r="I3595" s="2">
        <v>0</v>
      </c>
      <c r="J3595" s="2">
        <v>0</v>
      </c>
    </row>
    <row r="3596" spans="1:10">
      <c r="A3596" s="2" t="s">
        <v>148</v>
      </c>
      <c r="B3596" s="2" t="s">
        <v>101</v>
      </c>
      <c r="C3596" s="2">
        <v>4.0217200000000002E-2</v>
      </c>
      <c r="D3596" s="60">
        <v>0</v>
      </c>
      <c r="E3596" s="2">
        <v>17</v>
      </c>
      <c r="F3596" s="2">
        <v>1.9610799999999999</v>
      </c>
      <c r="G3596" s="2">
        <v>14.336600000000001</v>
      </c>
      <c r="H3596" s="2">
        <v>17.909400000000002</v>
      </c>
      <c r="I3596" s="2">
        <v>0</v>
      </c>
      <c r="J3596" s="2">
        <v>0</v>
      </c>
    </row>
    <row r="3597" spans="1:10">
      <c r="A3597" s="2" t="s">
        <v>148</v>
      </c>
      <c r="B3597" s="2" t="s">
        <v>63</v>
      </c>
      <c r="C3597" s="2">
        <v>0.253994</v>
      </c>
      <c r="D3597" s="60">
        <v>17.779599999999999</v>
      </c>
      <c r="E3597" s="2">
        <v>11</v>
      </c>
      <c r="F3597" s="2">
        <v>6</v>
      </c>
      <c r="G3597" s="2">
        <v>17.909400000000002</v>
      </c>
      <c r="H3597" s="2">
        <v>27.775600000000001</v>
      </c>
      <c r="I3597" s="2">
        <v>0</v>
      </c>
      <c r="J3597" s="2">
        <v>0</v>
      </c>
    </row>
    <row r="3598" spans="1:10">
      <c r="A3598" s="2" t="s">
        <v>148</v>
      </c>
      <c r="B3598" s="2" t="s">
        <v>60</v>
      </c>
      <c r="C3598" s="2">
        <v>0.29086299999999998</v>
      </c>
      <c r="D3598" s="60">
        <v>26.177600000000002</v>
      </c>
      <c r="E3598" s="2">
        <v>7</v>
      </c>
      <c r="F3598" s="2">
        <v>4</v>
      </c>
      <c r="G3598" s="2">
        <v>27.775600000000001</v>
      </c>
      <c r="H3598" s="2">
        <v>32.793500000000002</v>
      </c>
      <c r="I3598" s="2">
        <v>0</v>
      </c>
      <c r="J3598" s="2">
        <v>0</v>
      </c>
    </row>
    <row r="3599" spans="1:10">
      <c r="A3599" s="2" t="s">
        <v>148</v>
      </c>
      <c r="B3599" s="2" t="s">
        <v>59</v>
      </c>
      <c r="C3599" s="2">
        <v>0.38296799999999998</v>
      </c>
      <c r="D3599" s="60">
        <v>38.296799999999998</v>
      </c>
      <c r="E3599" s="2">
        <v>3</v>
      </c>
      <c r="F3599" s="2">
        <v>4</v>
      </c>
      <c r="G3599" s="2">
        <v>32.793500000000002</v>
      </c>
      <c r="H3599" s="2">
        <v>37.0321</v>
      </c>
      <c r="I3599" s="2">
        <v>0</v>
      </c>
      <c r="J3599" s="2">
        <v>0</v>
      </c>
    </row>
    <row r="3600" spans="1:10">
      <c r="A3600" s="2" t="s">
        <v>148</v>
      </c>
      <c r="B3600" s="2" t="s">
        <v>101</v>
      </c>
      <c r="C3600" s="2">
        <v>0.33588400000000002</v>
      </c>
      <c r="D3600" s="60">
        <v>0</v>
      </c>
      <c r="E3600" s="2">
        <v>0.3</v>
      </c>
      <c r="F3600" s="2">
        <v>2.7</v>
      </c>
      <c r="G3600" s="2">
        <v>37.0321</v>
      </c>
      <c r="H3600" s="2">
        <v>44.680399999999999</v>
      </c>
      <c r="I3600" s="2">
        <v>0</v>
      </c>
      <c r="J3600" s="2">
        <v>0</v>
      </c>
    </row>
    <row r="3601" spans="1:10">
      <c r="A3601" s="2" t="s">
        <v>138</v>
      </c>
      <c r="B3601" s="2">
        <v>4</v>
      </c>
      <c r="C3601" s="2">
        <v>46.814</v>
      </c>
      <c r="D3601" s="60" t="s">
        <v>129</v>
      </c>
      <c r="E3601" s="2" t="s">
        <v>139</v>
      </c>
    </row>
    <row r="3602" spans="1:10">
      <c r="A3602" s="2" t="s">
        <v>140</v>
      </c>
      <c r="B3602" s="2">
        <v>0</v>
      </c>
      <c r="C3602" s="2">
        <v>50.185499999999998</v>
      </c>
      <c r="D3602" s="60">
        <v>23.9361</v>
      </c>
    </row>
    <row r="3603" spans="1:10">
      <c r="A3603" s="2" t="s">
        <v>141</v>
      </c>
      <c r="B3603" s="2">
        <v>0</v>
      </c>
      <c r="C3603" s="2">
        <v>4.5</v>
      </c>
      <c r="D3603" s="60" t="s">
        <v>142</v>
      </c>
    </row>
    <row r="3604" spans="1:10">
      <c r="A3604" s="2" t="s">
        <v>141</v>
      </c>
      <c r="B3604" s="2">
        <v>0</v>
      </c>
      <c r="C3604" s="2">
        <v>19.399999999999999</v>
      </c>
      <c r="D3604" s="60" t="s">
        <v>146</v>
      </c>
    </row>
    <row r="3605" spans="1:10">
      <c r="A3605" s="2" t="s">
        <v>141</v>
      </c>
      <c r="B3605" s="2">
        <v>4.5</v>
      </c>
      <c r="C3605" s="2">
        <v>19.399999999999999</v>
      </c>
      <c r="D3605" s="60" t="s">
        <v>145</v>
      </c>
    </row>
    <row r="3606" spans="1:10">
      <c r="A3606" s="2" t="s">
        <v>148</v>
      </c>
      <c r="B3606" s="2" t="s">
        <v>99</v>
      </c>
      <c r="C3606" s="2">
        <v>6.0173299999999999E-2</v>
      </c>
      <c r="D3606" s="60">
        <v>0</v>
      </c>
      <c r="E3606" s="2">
        <v>0</v>
      </c>
      <c r="F3606" s="2">
        <v>0.3</v>
      </c>
      <c r="G3606" s="2">
        <v>49.232399999999998</v>
      </c>
      <c r="H3606" s="2">
        <v>51.952300000000001</v>
      </c>
      <c r="I3606" s="2">
        <v>0</v>
      </c>
      <c r="J3606" s="2">
        <v>0</v>
      </c>
    </row>
    <row r="3607" spans="1:10">
      <c r="A3607" s="2" t="s">
        <v>148</v>
      </c>
      <c r="B3607" s="2" t="s">
        <v>100</v>
      </c>
      <c r="C3607" s="2">
        <v>1.23809E-2</v>
      </c>
      <c r="D3607" s="60">
        <v>0</v>
      </c>
      <c r="E3607" s="2">
        <v>20.284199999999998</v>
      </c>
      <c r="F3607" s="2">
        <v>3.6519400000000002</v>
      </c>
      <c r="G3607" s="2">
        <v>0</v>
      </c>
      <c r="H3607" s="2">
        <v>10</v>
      </c>
      <c r="I3607" s="2">
        <v>0</v>
      </c>
      <c r="J3607" s="2">
        <v>0</v>
      </c>
    </row>
    <row r="3608" spans="1:10">
      <c r="A3608" s="2" t="s">
        <v>148</v>
      </c>
      <c r="B3608" s="2" t="s">
        <v>98</v>
      </c>
      <c r="C3608" s="2">
        <v>0.22367100000000001</v>
      </c>
      <c r="D3608" s="60">
        <v>0</v>
      </c>
      <c r="E3608" s="2">
        <v>12.4192</v>
      </c>
      <c r="F3608" s="2">
        <v>7.8649399999999998</v>
      </c>
      <c r="G3608" s="2">
        <v>10</v>
      </c>
      <c r="H3608" s="2">
        <v>26.628499999999999</v>
      </c>
      <c r="I3608" s="2">
        <v>0</v>
      </c>
      <c r="J3608" s="2">
        <v>0</v>
      </c>
    </row>
    <row r="3609" spans="1:10">
      <c r="A3609" s="2" t="s">
        <v>148</v>
      </c>
      <c r="B3609" s="2" t="s">
        <v>101</v>
      </c>
      <c r="C3609" s="2">
        <v>6.6977E-3</v>
      </c>
      <c r="D3609" s="60">
        <v>0</v>
      </c>
      <c r="E3609" s="2">
        <v>12.3</v>
      </c>
      <c r="F3609" s="2">
        <v>0.119231</v>
      </c>
      <c r="G3609" s="2">
        <v>26.628499999999999</v>
      </c>
      <c r="H3609" s="2">
        <v>26.858599999999999</v>
      </c>
      <c r="I3609" s="2">
        <v>0</v>
      </c>
      <c r="J3609" s="2">
        <v>0</v>
      </c>
    </row>
    <row r="3610" spans="1:10">
      <c r="A3610" s="2" t="s">
        <v>148</v>
      </c>
      <c r="B3610" s="2" t="s">
        <v>60</v>
      </c>
      <c r="C3610" s="2">
        <v>0.29211700000000002</v>
      </c>
      <c r="D3610" s="60">
        <v>26.290500000000002</v>
      </c>
      <c r="E3610" s="2">
        <v>8.3000000000000007</v>
      </c>
      <c r="F3610" s="2">
        <v>4</v>
      </c>
      <c r="G3610" s="2">
        <v>26.858599999999999</v>
      </c>
      <c r="H3610" s="2">
        <v>33.7087</v>
      </c>
      <c r="I3610" s="2">
        <v>0</v>
      </c>
      <c r="J3610" s="2">
        <v>0</v>
      </c>
    </row>
    <row r="3611" spans="1:10">
      <c r="A3611" s="2" t="s">
        <v>148</v>
      </c>
      <c r="B3611" s="2" t="s">
        <v>59</v>
      </c>
      <c r="C3611" s="2">
        <v>0.41795700000000002</v>
      </c>
      <c r="D3611" s="60">
        <v>41.795699999999997</v>
      </c>
      <c r="E3611" s="2">
        <v>4.3</v>
      </c>
      <c r="F3611" s="2">
        <v>4</v>
      </c>
      <c r="G3611" s="2">
        <v>33.7087</v>
      </c>
      <c r="H3611" s="2">
        <v>38.981200000000001</v>
      </c>
      <c r="I3611" s="2">
        <v>0</v>
      </c>
      <c r="J3611" s="2">
        <v>0</v>
      </c>
    </row>
    <row r="3612" spans="1:10">
      <c r="A3612" s="2" t="s">
        <v>148</v>
      </c>
      <c r="B3612" s="2" t="s">
        <v>56</v>
      </c>
      <c r="C3612" s="2">
        <v>0.56674400000000003</v>
      </c>
      <c r="D3612" s="60">
        <v>79.344099999999997</v>
      </c>
      <c r="E3612" s="2">
        <v>0.3</v>
      </c>
      <c r="F3612" s="2">
        <v>4</v>
      </c>
      <c r="G3612" s="2">
        <v>38.981200000000001</v>
      </c>
      <c r="H3612" s="2">
        <v>49.232399999999998</v>
      </c>
      <c r="I3612" s="2">
        <v>0</v>
      </c>
      <c r="J3612" s="2">
        <v>0</v>
      </c>
    </row>
    <row r="3613" spans="1:10">
      <c r="A3613" s="2" t="s">
        <v>138</v>
      </c>
      <c r="B3613" s="2">
        <v>5</v>
      </c>
      <c r="C3613" s="2">
        <v>48.164000000000001</v>
      </c>
      <c r="D3613" s="60" t="s">
        <v>129</v>
      </c>
      <c r="E3613" s="2" t="s">
        <v>149</v>
      </c>
    </row>
    <row r="3614" spans="1:10">
      <c r="A3614" s="2" t="s">
        <v>140</v>
      </c>
      <c r="B3614" s="2">
        <v>0</v>
      </c>
      <c r="C3614" s="2">
        <v>57.47</v>
      </c>
      <c r="D3614" s="60">
        <v>26.6373</v>
      </c>
    </row>
    <row r="3615" spans="1:10">
      <c r="A3615" s="2" t="s">
        <v>141</v>
      </c>
      <c r="B3615" s="2">
        <v>0</v>
      </c>
      <c r="C3615" s="2">
        <v>2.6</v>
      </c>
      <c r="D3615" s="60" t="s">
        <v>158</v>
      </c>
    </row>
    <row r="3616" spans="1:10">
      <c r="A3616" s="2" t="s">
        <v>141</v>
      </c>
      <c r="B3616" s="2">
        <v>0</v>
      </c>
      <c r="C3616" s="2">
        <v>4</v>
      </c>
      <c r="D3616" s="60" t="s">
        <v>147</v>
      </c>
    </row>
    <row r="3617" spans="1:10">
      <c r="A3617" s="2" t="s">
        <v>141</v>
      </c>
      <c r="B3617" s="2">
        <v>0</v>
      </c>
      <c r="C3617" s="2">
        <v>11.3</v>
      </c>
      <c r="D3617" s="60" t="s">
        <v>146</v>
      </c>
    </row>
    <row r="3618" spans="1:10">
      <c r="A3618" s="2" t="s">
        <v>141</v>
      </c>
      <c r="B3618" s="2">
        <v>2.6</v>
      </c>
      <c r="C3618" s="2">
        <v>2.9</v>
      </c>
      <c r="D3618" s="60" t="s">
        <v>160</v>
      </c>
    </row>
    <row r="3619" spans="1:10">
      <c r="A3619" s="2" t="s">
        <v>141</v>
      </c>
      <c r="B3619" s="2">
        <v>2.9</v>
      </c>
      <c r="C3619" s="2">
        <v>4</v>
      </c>
      <c r="D3619" s="60" t="s">
        <v>158</v>
      </c>
    </row>
    <row r="3620" spans="1:10">
      <c r="A3620" s="2" t="s">
        <v>141</v>
      </c>
      <c r="B3620" s="2">
        <v>4</v>
      </c>
      <c r="C3620" s="2">
        <v>4.5</v>
      </c>
      <c r="D3620" s="60" t="s">
        <v>177</v>
      </c>
    </row>
    <row r="3621" spans="1:10">
      <c r="A3621" s="2" t="s">
        <v>141</v>
      </c>
      <c r="B3621" s="2">
        <v>4</v>
      </c>
      <c r="C3621" s="2">
        <v>8</v>
      </c>
      <c r="D3621" s="60" t="s">
        <v>144</v>
      </c>
    </row>
    <row r="3622" spans="1:10">
      <c r="A3622" s="2" t="s">
        <v>141</v>
      </c>
      <c r="B3622" s="2">
        <v>4.5</v>
      </c>
      <c r="C3622" s="2">
        <v>11.3</v>
      </c>
      <c r="D3622" s="60" t="s">
        <v>158</v>
      </c>
    </row>
    <row r="3623" spans="1:10">
      <c r="A3623" s="2" t="s">
        <v>141</v>
      </c>
      <c r="B3623" s="2">
        <v>8</v>
      </c>
      <c r="C3623" s="2">
        <v>8.3000000000000007</v>
      </c>
      <c r="D3623" s="60" t="s">
        <v>145</v>
      </c>
    </row>
    <row r="3624" spans="1:10">
      <c r="A3624" s="2" t="s">
        <v>141</v>
      </c>
      <c r="B3624" s="2">
        <v>8.3000000000000007</v>
      </c>
      <c r="C3624" s="2">
        <v>21.207999999999998</v>
      </c>
      <c r="D3624" s="60" t="s">
        <v>144</v>
      </c>
    </row>
    <row r="3625" spans="1:10">
      <c r="A3625" s="2" t="s">
        <v>141</v>
      </c>
      <c r="B3625" s="2">
        <v>11.3</v>
      </c>
      <c r="C3625" s="2">
        <v>11.8</v>
      </c>
      <c r="D3625" s="60" t="s">
        <v>177</v>
      </c>
    </row>
    <row r="3626" spans="1:10">
      <c r="A3626" s="2" t="s">
        <v>141</v>
      </c>
      <c r="B3626" s="2">
        <v>11.3</v>
      </c>
      <c r="C3626" s="2">
        <v>21.207999999999998</v>
      </c>
      <c r="D3626" s="60" t="s">
        <v>152</v>
      </c>
    </row>
    <row r="3627" spans="1:10">
      <c r="A3627" s="2" t="s">
        <v>148</v>
      </c>
      <c r="B3627" s="2" t="s">
        <v>99</v>
      </c>
      <c r="C3627" s="2">
        <v>7.71984E-2</v>
      </c>
      <c r="D3627" s="60">
        <v>0</v>
      </c>
      <c r="E3627" s="2">
        <v>0</v>
      </c>
      <c r="F3627" s="2">
        <v>0.3</v>
      </c>
      <c r="G3627" s="2">
        <v>55.893099999999997</v>
      </c>
      <c r="H3627" s="2">
        <v>58.691699999999997</v>
      </c>
      <c r="I3627" s="2">
        <v>0</v>
      </c>
      <c r="J3627" s="2">
        <v>0</v>
      </c>
    </row>
    <row r="3628" spans="1:10">
      <c r="A3628" s="2" t="s">
        <v>148</v>
      </c>
      <c r="B3628" s="2" t="s">
        <v>100</v>
      </c>
      <c r="C3628" s="2">
        <v>1.2003E-2</v>
      </c>
      <c r="D3628" s="60">
        <v>0</v>
      </c>
      <c r="E3628" s="2">
        <v>23.199400000000001</v>
      </c>
      <c r="F3628" s="2">
        <v>3.43791</v>
      </c>
      <c r="G3628" s="2">
        <v>0</v>
      </c>
      <c r="H3628" s="2">
        <v>10</v>
      </c>
      <c r="I3628" s="2">
        <v>0</v>
      </c>
      <c r="J3628" s="2">
        <v>0</v>
      </c>
    </row>
    <row r="3629" spans="1:10">
      <c r="A3629" s="2" t="s">
        <v>148</v>
      </c>
      <c r="B3629" s="2" t="s">
        <v>98</v>
      </c>
      <c r="C3629" s="2">
        <v>0.196244</v>
      </c>
      <c r="D3629" s="60">
        <v>0</v>
      </c>
      <c r="E3629" s="2">
        <v>15.879099999999999</v>
      </c>
      <c r="F3629" s="2">
        <v>7.3202600000000002</v>
      </c>
      <c r="G3629" s="2">
        <v>10</v>
      </c>
      <c r="H3629" s="2">
        <v>25.8719</v>
      </c>
      <c r="I3629" s="2">
        <v>0</v>
      </c>
      <c r="J3629" s="2">
        <v>0</v>
      </c>
    </row>
    <row r="3630" spans="1:10">
      <c r="A3630" s="2" t="s">
        <v>148</v>
      </c>
      <c r="B3630" s="2" t="s">
        <v>101</v>
      </c>
      <c r="C3630" s="2">
        <v>3.4523000000000002E-3</v>
      </c>
      <c r="D3630" s="60">
        <v>0</v>
      </c>
      <c r="E3630" s="2">
        <v>15.813800000000001</v>
      </c>
      <c r="F3630" s="2">
        <v>6.5319600000000005E-2</v>
      </c>
      <c r="G3630" s="2">
        <v>25.8719</v>
      </c>
      <c r="H3630" s="2">
        <v>26.010100000000001</v>
      </c>
      <c r="I3630" s="2">
        <v>0</v>
      </c>
      <c r="J3630" s="2">
        <v>0</v>
      </c>
    </row>
    <row r="3631" spans="1:10">
      <c r="A3631" s="2" t="s">
        <v>148</v>
      </c>
      <c r="B3631" s="2" t="s">
        <v>64</v>
      </c>
      <c r="C3631" s="2">
        <v>0.40997499999999998</v>
      </c>
      <c r="D3631" s="60">
        <v>12.299200000000001</v>
      </c>
      <c r="E3631" s="2">
        <v>10.5138</v>
      </c>
      <c r="F3631" s="2">
        <v>5.3</v>
      </c>
      <c r="G3631" s="2">
        <v>26.010100000000001</v>
      </c>
      <c r="H3631" s="2">
        <v>36.0642</v>
      </c>
      <c r="I3631" s="2">
        <v>0</v>
      </c>
      <c r="J3631" s="2">
        <v>0</v>
      </c>
    </row>
    <row r="3632" spans="1:10">
      <c r="A3632" s="2" t="s">
        <v>148</v>
      </c>
      <c r="B3632" s="2" t="s">
        <v>59</v>
      </c>
      <c r="C3632" s="2">
        <v>0.77328399999999997</v>
      </c>
      <c r="D3632" s="60">
        <v>77.328400000000002</v>
      </c>
      <c r="E3632" s="2">
        <v>4.5138199999999999</v>
      </c>
      <c r="F3632" s="2">
        <v>6</v>
      </c>
      <c r="G3632" s="2">
        <v>36.0642</v>
      </c>
      <c r="H3632" s="2">
        <v>44.374000000000002</v>
      </c>
      <c r="I3632" s="2">
        <v>0</v>
      </c>
      <c r="J3632" s="2">
        <v>0</v>
      </c>
    </row>
    <row r="3633" spans="1:10">
      <c r="A3633" s="2" t="s">
        <v>148</v>
      </c>
      <c r="B3633" s="2" t="s">
        <v>64</v>
      </c>
      <c r="C3633" s="2">
        <v>0.74407599999999996</v>
      </c>
      <c r="D3633" s="60">
        <v>22.322299999999998</v>
      </c>
      <c r="E3633" s="2">
        <v>0.413823</v>
      </c>
      <c r="F3633" s="2">
        <v>4.0999999999999996</v>
      </c>
      <c r="G3633" s="2">
        <v>44.374000000000002</v>
      </c>
      <c r="H3633" s="2">
        <v>55.001399999999997</v>
      </c>
      <c r="I3633" s="2">
        <v>0</v>
      </c>
      <c r="J3633" s="2">
        <v>0</v>
      </c>
    </row>
    <row r="3634" spans="1:10">
      <c r="A3634" s="2" t="s">
        <v>148</v>
      </c>
      <c r="B3634" s="2" t="s">
        <v>101</v>
      </c>
      <c r="C3634" s="2">
        <v>2.7477600000000001E-2</v>
      </c>
      <c r="D3634" s="60">
        <v>0</v>
      </c>
      <c r="E3634" s="2">
        <v>0.3</v>
      </c>
      <c r="F3634" s="2">
        <v>0.11382299999999999</v>
      </c>
      <c r="G3634" s="2">
        <v>55.001399999999997</v>
      </c>
      <c r="H3634" s="2">
        <v>55.893099999999997</v>
      </c>
      <c r="I3634" s="2">
        <v>0</v>
      </c>
      <c r="J3634" s="2">
        <v>0</v>
      </c>
    </row>
    <row r="3635" spans="1:10">
      <c r="A3635" s="2" t="s">
        <v>138</v>
      </c>
      <c r="B3635" s="2">
        <v>6</v>
      </c>
      <c r="C3635" s="2">
        <v>19.581</v>
      </c>
      <c r="D3635" s="60" t="s">
        <v>129</v>
      </c>
      <c r="E3635" s="2" t="s">
        <v>149</v>
      </c>
    </row>
    <row r="3636" spans="1:10">
      <c r="A3636" s="2" t="s">
        <v>140</v>
      </c>
      <c r="B3636" s="2">
        <v>0</v>
      </c>
      <c r="C3636" s="2">
        <v>22.6</v>
      </c>
      <c r="D3636" s="60">
        <v>21.168199999999999</v>
      </c>
    </row>
    <row r="3637" spans="1:10">
      <c r="A3637" s="2" t="s">
        <v>141</v>
      </c>
      <c r="B3637" s="2">
        <v>0</v>
      </c>
      <c r="C3637" s="2">
        <v>1.6</v>
      </c>
      <c r="D3637" s="60" t="s">
        <v>145</v>
      </c>
    </row>
    <row r="3638" spans="1:10">
      <c r="A3638" s="2" t="s">
        <v>141</v>
      </c>
      <c r="B3638" s="2">
        <v>0</v>
      </c>
      <c r="C3638" s="2">
        <v>1.6</v>
      </c>
      <c r="D3638" s="60" t="s">
        <v>155</v>
      </c>
    </row>
    <row r="3639" spans="1:10">
      <c r="A3639" s="2" t="s">
        <v>141</v>
      </c>
      <c r="B3639" s="2">
        <v>1.6</v>
      </c>
      <c r="C3639" s="2">
        <v>17.5473</v>
      </c>
      <c r="D3639" s="60" t="s">
        <v>144</v>
      </c>
    </row>
    <row r="3640" spans="1:10">
      <c r="A3640" s="2" t="s">
        <v>141</v>
      </c>
      <c r="B3640" s="2">
        <v>1.6</v>
      </c>
      <c r="C3640" s="2">
        <v>17.5473</v>
      </c>
      <c r="D3640" s="60" t="s">
        <v>152</v>
      </c>
    </row>
    <row r="3641" spans="1:10">
      <c r="A3641" s="2" t="s">
        <v>148</v>
      </c>
      <c r="B3641" s="2" t="s">
        <v>99</v>
      </c>
      <c r="C3641" s="2">
        <v>1.4320100000000001E-2</v>
      </c>
      <c r="D3641" s="60">
        <v>0</v>
      </c>
      <c r="E3641" s="2">
        <v>0</v>
      </c>
      <c r="F3641" s="2">
        <v>0.3</v>
      </c>
      <c r="G3641" s="2">
        <v>23.9481</v>
      </c>
      <c r="H3641" s="2">
        <v>25.427600000000002</v>
      </c>
      <c r="I3641" s="2">
        <v>0</v>
      </c>
      <c r="J3641" s="2">
        <v>0</v>
      </c>
    </row>
    <row r="3642" spans="1:10">
      <c r="A3642" s="2" t="s">
        <v>148</v>
      </c>
      <c r="B3642" s="2" t="s">
        <v>100</v>
      </c>
      <c r="C3642" s="2">
        <v>2.19484E-2</v>
      </c>
      <c r="D3642" s="60">
        <v>0</v>
      </c>
      <c r="E3642" s="2">
        <v>13.648999999999999</v>
      </c>
      <c r="F3642" s="2">
        <v>7.5191299999999996</v>
      </c>
      <c r="G3642" s="2">
        <v>0</v>
      </c>
      <c r="H3642" s="2">
        <v>10</v>
      </c>
      <c r="I3642" s="2">
        <v>0</v>
      </c>
      <c r="J3642" s="2">
        <v>0</v>
      </c>
    </row>
    <row r="3643" spans="1:10">
      <c r="A3643" s="2" t="s">
        <v>148</v>
      </c>
      <c r="B3643" s="2" t="s">
        <v>101</v>
      </c>
      <c r="C3643" s="2">
        <v>3.8725499999999998E-4</v>
      </c>
      <c r="D3643" s="60">
        <v>0</v>
      </c>
      <c r="E3643" s="2">
        <v>13.6</v>
      </c>
      <c r="F3643" s="2">
        <v>4.9020599999999998E-2</v>
      </c>
      <c r="G3643" s="2">
        <v>10</v>
      </c>
      <c r="H3643" s="2">
        <v>10.058299999999999</v>
      </c>
      <c r="I3643" s="2">
        <v>0</v>
      </c>
      <c r="J3643" s="2">
        <v>0</v>
      </c>
    </row>
    <row r="3644" spans="1:10">
      <c r="A3644" s="2" t="s">
        <v>148</v>
      </c>
      <c r="B3644" s="2" t="s">
        <v>64</v>
      </c>
      <c r="C3644" s="2">
        <v>4.1854700000000002E-2</v>
      </c>
      <c r="D3644" s="60">
        <v>1.2556400000000001</v>
      </c>
      <c r="E3644" s="2">
        <v>10</v>
      </c>
      <c r="F3644" s="2">
        <v>3.6</v>
      </c>
      <c r="G3644" s="2">
        <v>10.058299999999999</v>
      </c>
      <c r="H3644" s="2">
        <v>14.0563</v>
      </c>
      <c r="I3644" s="2">
        <v>0</v>
      </c>
      <c r="J3644" s="2">
        <v>0</v>
      </c>
    </row>
    <row r="3645" spans="1:10">
      <c r="A3645" s="2" t="s">
        <v>148</v>
      </c>
      <c r="B3645" s="2" t="s">
        <v>64</v>
      </c>
      <c r="C3645" s="2">
        <v>7.2505399999999998E-2</v>
      </c>
      <c r="D3645" s="60">
        <v>2.17516</v>
      </c>
      <c r="E3645" s="2">
        <v>6.3</v>
      </c>
      <c r="F3645" s="2">
        <v>3.7</v>
      </c>
      <c r="G3645" s="2">
        <v>14.0563</v>
      </c>
      <c r="H3645" s="2">
        <v>17.322900000000001</v>
      </c>
      <c r="I3645" s="2">
        <v>0</v>
      </c>
      <c r="J3645" s="2">
        <v>0</v>
      </c>
    </row>
    <row r="3646" spans="1:10">
      <c r="A3646" s="2" t="s">
        <v>148</v>
      </c>
      <c r="B3646" s="2" t="s">
        <v>64</v>
      </c>
      <c r="C3646" s="2">
        <v>0.18365500000000001</v>
      </c>
      <c r="D3646" s="60">
        <v>5.5096400000000001</v>
      </c>
      <c r="E3646" s="2">
        <v>0.3</v>
      </c>
      <c r="F3646" s="2">
        <v>6</v>
      </c>
      <c r="G3646" s="2">
        <v>17.322900000000001</v>
      </c>
      <c r="H3646" s="2">
        <v>23.9481</v>
      </c>
      <c r="I3646" s="2">
        <v>0</v>
      </c>
      <c r="J3646" s="2">
        <v>0</v>
      </c>
    </row>
    <row r="3647" spans="1:10">
      <c r="A3647" s="2" t="s">
        <v>138</v>
      </c>
      <c r="B3647" s="2">
        <v>7</v>
      </c>
      <c r="C3647" s="2">
        <v>46.498699999999999</v>
      </c>
      <c r="D3647" s="60" t="s">
        <v>129</v>
      </c>
      <c r="E3647" s="2" t="s">
        <v>139</v>
      </c>
    </row>
    <row r="3648" spans="1:10">
      <c r="A3648" s="2" t="s">
        <v>140</v>
      </c>
      <c r="B3648" s="2">
        <v>0</v>
      </c>
      <c r="C3648" s="2">
        <v>50.185499999999998</v>
      </c>
      <c r="D3648" s="60">
        <v>22.4421</v>
      </c>
    </row>
    <row r="3649" spans="1:10">
      <c r="A3649" s="2" t="s">
        <v>141</v>
      </c>
      <c r="B3649" s="2">
        <v>0</v>
      </c>
      <c r="C3649" s="2">
        <v>2</v>
      </c>
      <c r="D3649" s="60" t="s">
        <v>158</v>
      </c>
    </row>
    <row r="3650" spans="1:10">
      <c r="A3650" s="2" t="s">
        <v>141</v>
      </c>
      <c r="B3650" s="2">
        <v>0</v>
      </c>
      <c r="C3650" s="2">
        <v>18.399999999999999</v>
      </c>
      <c r="D3650" s="60" t="s">
        <v>145</v>
      </c>
    </row>
    <row r="3651" spans="1:10">
      <c r="A3651" s="2" t="s">
        <v>141</v>
      </c>
      <c r="B3651" s="2">
        <v>0</v>
      </c>
      <c r="C3651" s="2">
        <v>18.399999999999999</v>
      </c>
      <c r="D3651" s="60" t="s">
        <v>146</v>
      </c>
    </row>
    <row r="3652" spans="1:10">
      <c r="A3652" s="2" t="s">
        <v>141</v>
      </c>
      <c r="B3652" s="2">
        <v>2</v>
      </c>
      <c r="C3652" s="2">
        <v>4.5</v>
      </c>
      <c r="D3652" s="60" t="s">
        <v>160</v>
      </c>
    </row>
    <row r="3653" spans="1:10">
      <c r="A3653" s="2" t="s">
        <v>148</v>
      </c>
      <c r="B3653" s="2" t="s">
        <v>99</v>
      </c>
      <c r="C3653" s="2">
        <v>5.9949099999999998E-2</v>
      </c>
      <c r="D3653" s="60">
        <v>0</v>
      </c>
      <c r="E3653" s="2">
        <v>0</v>
      </c>
      <c r="F3653" s="2">
        <v>0.3</v>
      </c>
      <c r="G3653" s="2">
        <v>49.067900000000002</v>
      </c>
      <c r="H3653" s="2">
        <v>51.942799999999998</v>
      </c>
      <c r="I3653" s="2">
        <v>0</v>
      </c>
      <c r="J3653" s="2">
        <v>0</v>
      </c>
    </row>
    <row r="3654" spans="1:10">
      <c r="A3654" s="2" t="s">
        <v>148</v>
      </c>
      <c r="B3654" s="2" t="s">
        <v>100</v>
      </c>
      <c r="C3654" s="2">
        <v>1.16104E-2</v>
      </c>
      <c r="D3654" s="60">
        <v>0</v>
      </c>
      <c r="E3654" s="2">
        <v>19.017299999999999</v>
      </c>
      <c r="F3654" s="2">
        <v>3.42483</v>
      </c>
      <c r="G3654" s="2">
        <v>0</v>
      </c>
      <c r="H3654" s="2">
        <v>10</v>
      </c>
      <c r="I3654" s="2">
        <v>0</v>
      </c>
      <c r="J3654" s="2">
        <v>0</v>
      </c>
    </row>
    <row r="3655" spans="1:10">
      <c r="A3655" s="2" t="s">
        <v>148</v>
      </c>
      <c r="B3655" s="2" t="s">
        <v>98</v>
      </c>
      <c r="C3655" s="2">
        <v>4.2728000000000002E-2</v>
      </c>
      <c r="D3655" s="60">
        <v>0</v>
      </c>
      <c r="E3655" s="2">
        <v>16.036100000000001</v>
      </c>
      <c r="F3655" s="2">
        <v>2.98116</v>
      </c>
      <c r="G3655" s="2">
        <v>10</v>
      </c>
      <c r="H3655" s="2">
        <v>16.8</v>
      </c>
      <c r="I3655" s="2">
        <v>0</v>
      </c>
      <c r="J3655" s="2">
        <v>0</v>
      </c>
    </row>
    <row r="3656" spans="1:10">
      <c r="A3656" s="2" t="s">
        <v>148</v>
      </c>
      <c r="B3656" s="2" t="s">
        <v>101</v>
      </c>
      <c r="C3656" s="2">
        <v>4.1797399999999998E-2</v>
      </c>
      <c r="D3656" s="60">
        <v>0</v>
      </c>
      <c r="E3656" s="2">
        <v>14.5</v>
      </c>
      <c r="F3656" s="2">
        <v>1.5361100000000001</v>
      </c>
      <c r="G3656" s="2">
        <v>16.8</v>
      </c>
      <c r="H3656" s="2">
        <v>20.36</v>
      </c>
      <c r="I3656" s="2">
        <v>0</v>
      </c>
      <c r="J3656" s="2">
        <v>0</v>
      </c>
    </row>
    <row r="3657" spans="1:10">
      <c r="A3657" s="2" t="s">
        <v>148</v>
      </c>
      <c r="B3657" s="2" t="s">
        <v>61</v>
      </c>
      <c r="C3657" s="2">
        <v>0.34329399999999999</v>
      </c>
      <c r="D3657" s="60">
        <v>29.18</v>
      </c>
      <c r="E3657" s="2">
        <v>8.5</v>
      </c>
      <c r="F3657" s="2">
        <v>6</v>
      </c>
      <c r="G3657" s="2">
        <v>20.36</v>
      </c>
      <c r="H3657" s="2">
        <v>32.5274</v>
      </c>
      <c r="I3657" s="2">
        <v>0</v>
      </c>
      <c r="J3657" s="2">
        <v>0</v>
      </c>
    </row>
    <row r="3658" spans="1:10">
      <c r="A3658" s="2" t="s">
        <v>148</v>
      </c>
      <c r="B3658" s="2" t="s">
        <v>59</v>
      </c>
      <c r="C3658" s="2">
        <v>0.39858399999999999</v>
      </c>
      <c r="D3658" s="60">
        <v>39.858400000000003</v>
      </c>
      <c r="E3658" s="2">
        <v>4.5</v>
      </c>
      <c r="F3658" s="2">
        <v>4</v>
      </c>
      <c r="G3658" s="2">
        <v>32.5274</v>
      </c>
      <c r="H3658" s="2">
        <v>38.366999999999997</v>
      </c>
      <c r="I3658" s="2">
        <v>0</v>
      </c>
      <c r="J3658" s="2">
        <v>0</v>
      </c>
    </row>
    <row r="3659" spans="1:10">
      <c r="A3659" s="2" t="s">
        <v>148</v>
      </c>
      <c r="B3659" s="2" t="s">
        <v>101</v>
      </c>
      <c r="C3659" s="2">
        <v>2.3279299999999999E-2</v>
      </c>
      <c r="D3659" s="60">
        <v>0</v>
      </c>
      <c r="E3659" s="2">
        <v>4.3</v>
      </c>
      <c r="F3659" s="2">
        <v>0.2</v>
      </c>
      <c r="G3659" s="2">
        <v>38.366999999999997</v>
      </c>
      <c r="H3659" s="2">
        <v>38.626399999999997</v>
      </c>
      <c r="I3659" s="2">
        <v>0</v>
      </c>
      <c r="J3659" s="2">
        <v>0</v>
      </c>
    </row>
    <row r="3660" spans="1:10">
      <c r="A3660" s="2" t="s">
        <v>148</v>
      </c>
      <c r="B3660" s="2" t="s">
        <v>62</v>
      </c>
      <c r="C3660" s="2">
        <v>0.55935900000000005</v>
      </c>
      <c r="D3660" s="60">
        <v>44.748699999999999</v>
      </c>
      <c r="E3660" s="2">
        <v>0.3</v>
      </c>
      <c r="F3660" s="2">
        <v>4</v>
      </c>
      <c r="G3660" s="2">
        <v>38.626399999999997</v>
      </c>
      <c r="H3660" s="2">
        <v>49.067900000000002</v>
      </c>
      <c r="I3660" s="2">
        <v>0</v>
      </c>
      <c r="J3660" s="2">
        <v>0</v>
      </c>
    </row>
    <row r="3661" spans="1:10">
      <c r="A3661" s="2" t="s">
        <v>138</v>
      </c>
      <c r="B3661" s="2">
        <v>8</v>
      </c>
      <c r="C3661" s="2">
        <v>40.149299999999997</v>
      </c>
      <c r="D3661" s="60" t="s">
        <v>129</v>
      </c>
      <c r="E3661" s="2" t="s">
        <v>175</v>
      </c>
    </row>
    <row r="3662" spans="1:10">
      <c r="A3662" s="2" t="s">
        <v>140</v>
      </c>
      <c r="B3662" s="2">
        <v>0</v>
      </c>
      <c r="C3662" s="2">
        <v>32.703800000000001</v>
      </c>
      <c r="D3662" s="60">
        <v>24.055599999999998</v>
      </c>
      <c r="E3662" s="2">
        <v>0</v>
      </c>
      <c r="F3662" s="2">
        <v>9</v>
      </c>
    </row>
    <row r="3663" spans="1:10">
      <c r="A3663" s="2" t="s">
        <v>141</v>
      </c>
      <c r="B3663" s="2">
        <v>0</v>
      </c>
      <c r="C3663" s="2">
        <v>2.8</v>
      </c>
      <c r="D3663" s="60" t="s">
        <v>144</v>
      </c>
    </row>
    <row r="3664" spans="1:10">
      <c r="A3664" s="2" t="s">
        <v>141</v>
      </c>
      <c r="B3664" s="2">
        <v>0</v>
      </c>
      <c r="C3664" s="2">
        <v>3.8</v>
      </c>
      <c r="D3664" s="60" t="s">
        <v>146</v>
      </c>
    </row>
    <row r="3665" spans="1:10">
      <c r="A3665" s="2" t="s">
        <v>141</v>
      </c>
      <c r="B3665" s="2">
        <v>2.8</v>
      </c>
      <c r="C3665" s="2">
        <v>4.2</v>
      </c>
      <c r="D3665" s="60" t="s">
        <v>147</v>
      </c>
    </row>
    <row r="3666" spans="1:10">
      <c r="A3666" s="2" t="s">
        <v>141</v>
      </c>
      <c r="B3666" s="2">
        <v>3.8</v>
      </c>
      <c r="C3666" s="2">
        <v>19.48</v>
      </c>
      <c r="D3666" s="60" t="s">
        <v>152</v>
      </c>
    </row>
    <row r="3667" spans="1:10">
      <c r="A3667" s="2" t="s">
        <v>141</v>
      </c>
      <c r="B3667" s="2">
        <v>4.2</v>
      </c>
      <c r="C3667" s="2">
        <v>19.48</v>
      </c>
      <c r="D3667" s="60" t="s">
        <v>144</v>
      </c>
    </row>
    <row r="3668" spans="1:10">
      <c r="A3668" s="2" t="s">
        <v>148</v>
      </c>
      <c r="B3668" s="2" t="s">
        <v>99</v>
      </c>
      <c r="C3668" s="2">
        <v>2.7957699999999999E-2</v>
      </c>
      <c r="D3668" s="60">
        <v>0</v>
      </c>
      <c r="E3668" s="2">
        <v>0</v>
      </c>
      <c r="F3668" s="2">
        <v>0.3</v>
      </c>
      <c r="G3668" s="2">
        <v>33.561999999999998</v>
      </c>
      <c r="H3668" s="2">
        <v>35.407800000000002</v>
      </c>
      <c r="I3668" s="2">
        <v>0</v>
      </c>
      <c r="J3668" s="2">
        <v>0</v>
      </c>
    </row>
    <row r="3669" spans="1:10">
      <c r="A3669" s="2" t="s">
        <v>148</v>
      </c>
      <c r="B3669" s="2" t="s">
        <v>64</v>
      </c>
      <c r="C3669" s="2">
        <v>0.16380700000000001</v>
      </c>
      <c r="D3669" s="60">
        <v>4.9142200000000003</v>
      </c>
      <c r="E3669" s="2">
        <v>5.4</v>
      </c>
      <c r="F3669" s="2">
        <v>3.6</v>
      </c>
      <c r="G3669" s="2">
        <v>22.2912</v>
      </c>
      <c r="H3669" s="2">
        <v>25.6737</v>
      </c>
      <c r="I3669" s="2">
        <v>0</v>
      </c>
      <c r="J3669" s="2">
        <v>0</v>
      </c>
    </row>
    <row r="3670" spans="1:10">
      <c r="A3670" s="2" t="s">
        <v>148</v>
      </c>
      <c r="B3670" s="2" t="s">
        <v>64</v>
      </c>
      <c r="C3670" s="2">
        <v>0.32250699999999999</v>
      </c>
      <c r="D3670" s="60">
        <v>9.6752199999999995</v>
      </c>
      <c r="E3670" s="2">
        <v>0.3</v>
      </c>
      <c r="F3670" s="2">
        <v>5.0999999999999996</v>
      </c>
      <c r="G3670" s="2">
        <v>25.6737</v>
      </c>
      <c r="H3670" s="2">
        <v>33.561999999999998</v>
      </c>
      <c r="I3670" s="2">
        <v>0</v>
      </c>
      <c r="J3670" s="2">
        <v>0</v>
      </c>
    </row>
    <row r="3671" spans="1:10">
      <c r="A3671" s="2" t="s">
        <v>138</v>
      </c>
      <c r="B3671" s="2">
        <v>9</v>
      </c>
      <c r="C3671" s="2">
        <v>31.438600000000001</v>
      </c>
      <c r="D3671" s="60" t="s">
        <v>129</v>
      </c>
      <c r="E3671" s="2" t="s">
        <v>149</v>
      </c>
    </row>
    <row r="3672" spans="1:10">
      <c r="A3672" s="2" t="s">
        <v>140</v>
      </c>
      <c r="B3672" s="2">
        <v>0</v>
      </c>
      <c r="C3672" s="2">
        <v>26.9</v>
      </c>
      <c r="D3672" s="60">
        <v>22.648099999999999</v>
      </c>
    </row>
    <row r="3673" spans="1:10">
      <c r="A3673" s="2" t="s">
        <v>141</v>
      </c>
      <c r="B3673" s="2">
        <v>0</v>
      </c>
      <c r="C3673" s="2">
        <v>3.6</v>
      </c>
      <c r="D3673" s="60" t="s">
        <v>158</v>
      </c>
    </row>
    <row r="3674" spans="1:10">
      <c r="A3674" s="2" t="s">
        <v>141</v>
      </c>
      <c r="B3674" s="2">
        <v>0</v>
      </c>
      <c r="C3674" s="2">
        <v>6.3</v>
      </c>
      <c r="D3674" s="60" t="s">
        <v>146</v>
      </c>
    </row>
    <row r="3675" spans="1:10">
      <c r="A3675" s="2" t="s">
        <v>141</v>
      </c>
      <c r="B3675" s="2">
        <v>0</v>
      </c>
      <c r="C3675" s="2">
        <v>18.5379</v>
      </c>
      <c r="D3675" s="60" t="s">
        <v>144</v>
      </c>
    </row>
    <row r="3676" spans="1:10">
      <c r="A3676" s="2" t="s">
        <v>141</v>
      </c>
      <c r="B3676" s="2">
        <v>3.6</v>
      </c>
      <c r="C3676" s="2">
        <v>3.9</v>
      </c>
      <c r="D3676" s="60" t="s">
        <v>160</v>
      </c>
    </row>
    <row r="3677" spans="1:10">
      <c r="A3677" s="2" t="s">
        <v>141</v>
      </c>
      <c r="B3677" s="2">
        <v>3.9</v>
      </c>
      <c r="C3677" s="2">
        <v>8.3000000000000007</v>
      </c>
      <c r="D3677" s="60" t="s">
        <v>158</v>
      </c>
    </row>
    <row r="3678" spans="1:10">
      <c r="A3678" s="2" t="s">
        <v>141</v>
      </c>
      <c r="B3678" s="2">
        <v>6.3</v>
      </c>
      <c r="C3678" s="2">
        <v>6.6</v>
      </c>
      <c r="D3678" s="60" t="s">
        <v>153</v>
      </c>
    </row>
    <row r="3679" spans="1:10">
      <c r="A3679" s="2" t="s">
        <v>141</v>
      </c>
      <c r="B3679" s="2">
        <v>6.3</v>
      </c>
      <c r="C3679" s="2">
        <v>6.6</v>
      </c>
      <c r="D3679" s="60" t="s">
        <v>154</v>
      </c>
    </row>
    <row r="3680" spans="1:10">
      <c r="A3680" s="2" t="s">
        <v>141</v>
      </c>
      <c r="B3680" s="2">
        <v>6.3</v>
      </c>
      <c r="C3680" s="2">
        <v>8.3000000000000007</v>
      </c>
      <c r="D3680" s="60" t="s">
        <v>155</v>
      </c>
    </row>
    <row r="3681" spans="1:10">
      <c r="A3681" s="2" t="s">
        <v>141</v>
      </c>
      <c r="B3681" s="2">
        <v>8.3000000000000007</v>
      </c>
      <c r="C3681" s="2">
        <v>9.8000000000000007</v>
      </c>
      <c r="D3681" s="60" t="s">
        <v>177</v>
      </c>
    </row>
    <row r="3682" spans="1:10">
      <c r="A3682" s="2" t="s">
        <v>141</v>
      </c>
      <c r="B3682" s="2">
        <v>8.3000000000000007</v>
      </c>
      <c r="C3682" s="2">
        <v>18.5379</v>
      </c>
      <c r="D3682" s="60" t="s">
        <v>152</v>
      </c>
    </row>
    <row r="3683" spans="1:10">
      <c r="A3683" s="2" t="s">
        <v>156</v>
      </c>
      <c r="B3683" s="2">
        <v>6.3</v>
      </c>
      <c r="C3683" s="2">
        <v>19.0212</v>
      </c>
    </row>
    <row r="3684" spans="1:10">
      <c r="A3684" s="2" t="s">
        <v>148</v>
      </c>
      <c r="B3684" s="2" t="s">
        <v>99</v>
      </c>
      <c r="C3684" s="2">
        <v>1.9635699999999999E-2</v>
      </c>
      <c r="D3684" s="60">
        <v>0</v>
      </c>
      <c r="E3684" s="2">
        <v>0</v>
      </c>
      <c r="F3684" s="2">
        <v>0.3</v>
      </c>
      <c r="G3684" s="2">
        <v>28.088100000000001</v>
      </c>
      <c r="H3684" s="2">
        <v>29.720199999999998</v>
      </c>
      <c r="I3684" s="2">
        <v>0</v>
      </c>
      <c r="J3684" s="2">
        <v>0</v>
      </c>
    </row>
    <row r="3685" spans="1:10">
      <c r="A3685" s="2" t="s">
        <v>148</v>
      </c>
      <c r="B3685" s="2" t="s">
        <v>100</v>
      </c>
      <c r="C3685" s="2">
        <v>2.76502E-2</v>
      </c>
      <c r="D3685" s="60">
        <v>0</v>
      </c>
      <c r="E3685" s="2">
        <v>13.0717</v>
      </c>
      <c r="F3685" s="2">
        <v>9.5763800000000003</v>
      </c>
      <c r="G3685" s="2">
        <v>0</v>
      </c>
      <c r="H3685" s="2">
        <v>10.0001</v>
      </c>
      <c r="I3685" s="2">
        <v>0</v>
      </c>
      <c r="J3685" s="2">
        <v>0</v>
      </c>
    </row>
    <row r="3686" spans="1:10">
      <c r="A3686" s="2" t="s">
        <v>148</v>
      </c>
      <c r="B3686" s="2" t="s">
        <v>101</v>
      </c>
      <c r="C3686" s="2">
        <v>3.86557E-3</v>
      </c>
      <c r="D3686" s="60">
        <v>0</v>
      </c>
      <c r="E3686" s="2">
        <v>12.6</v>
      </c>
      <c r="F3686" s="2">
        <v>0.471746</v>
      </c>
      <c r="G3686" s="2">
        <v>10.0001</v>
      </c>
      <c r="H3686" s="2">
        <v>10.425599999999999</v>
      </c>
      <c r="I3686" s="2">
        <v>0</v>
      </c>
      <c r="J3686" s="2">
        <v>0</v>
      </c>
    </row>
    <row r="3687" spans="1:10">
      <c r="A3687" s="2" t="s">
        <v>148</v>
      </c>
      <c r="B3687" s="2" t="s">
        <v>64</v>
      </c>
      <c r="C3687" s="2">
        <v>7.8346799999999994E-2</v>
      </c>
      <c r="D3687" s="60">
        <v>2.3504</v>
      </c>
      <c r="E3687" s="2">
        <v>6.6</v>
      </c>
      <c r="F3687" s="2">
        <v>6</v>
      </c>
      <c r="G3687" s="2">
        <v>10.425599999999999</v>
      </c>
      <c r="H3687" s="2">
        <v>14.930999999999999</v>
      </c>
      <c r="I3687" s="2">
        <v>0</v>
      </c>
      <c r="J3687" s="2">
        <v>0</v>
      </c>
    </row>
    <row r="3688" spans="1:10">
      <c r="A3688" s="2" t="s">
        <v>148</v>
      </c>
      <c r="B3688" s="2" t="s">
        <v>101</v>
      </c>
      <c r="C3688" s="2">
        <v>5.3161900000000002E-3</v>
      </c>
      <c r="D3688" s="60">
        <v>0</v>
      </c>
      <c r="E3688" s="2">
        <v>6.3</v>
      </c>
      <c r="F3688" s="2">
        <v>0.3</v>
      </c>
      <c r="G3688" s="2">
        <v>14.930999999999999</v>
      </c>
      <c r="H3688" s="2">
        <v>20.607399999999998</v>
      </c>
      <c r="I3688" s="2">
        <v>0</v>
      </c>
      <c r="J3688" s="2">
        <v>0</v>
      </c>
    </row>
    <row r="3689" spans="1:10">
      <c r="A3689" s="2" t="s">
        <v>148</v>
      </c>
      <c r="B3689" s="2" t="s">
        <v>63</v>
      </c>
      <c r="C3689" s="2">
        <v>0.25529600000000002</v>
      </c>
      <c r="D3689" s="60">
        <v>17.870699999999999</v>
      </c>
      <c r="E3689" s="2">
        <v>0.3</v>
      </c>
      <c r="F3689" s="2">
        <v>6</v>
      </c>
      <c r="G3689" s="2">
        <v>20.607399999999998</v>
      </c>
      <c r="H3689" s="2">
        <v>28.088100000000001</v>
      </c>
      <c r="I3689" s="2">
        <v>0</v>
      </c>
      <c r="J3689" s="2">
        <v>0</v>
      </c>
    </row>
    <row r="3690" spans="1:10">
      <c r="A3690" s="2" t="s">
        <v>140</v>
      </c>
      <c r="B3690" s="2">
        <v>1</v>
      </c>
      <c r="C3690" s="2">
        <v>19.0212</v>
      </c>
      <c r="D3690" s="60">
        <v>22.648099999999999</v>
      </c>
      <c r="E3690" s="2">
        <v>6.3</v>
      </c>
    </row>
    <row r="3691" spans="1:10">
      <c r="A3691" s="2" t="s">
        <v>141</v>
      </c>
      <c r="B3691" s="2">
        <v>6.3</v>
      </c>
      <c r="C3691" s="2">
        <v>6.6</v>
      </c>
      <c r="D3691" s="60" t="s">
        <v>153</v>
      </c>
    </row>
    <row r="3692" spans="1:10">
      <c r="A3692" s="2" t="s">
        <v>141</v>
      </c>
      <c r="B3692" s="2">
        <v>6.3</v>
      </c>
      <c r="C3692" s="2">
        <v>18.5379</v>
      </c>
      <c r="D3692" s="60" t="s">
        <v>144</v>
      </c>
    </row>
    <row r="3693" spans="1:10">
      <c r="A3693" s="2" t="s">
        <v>141</v>
      </c>
      <c r="B3693" s="2">
        <v>6.3</v>
      </c>
      <c r="C3693" s="2">
        <v>18.5379</v>
      </c>
      <c r="D3693" s="60" t="s">
        <v>152</v>
      </c>
    </row>
    <row r="3694" spans="1:10">
      <c r="A3694" s="2" t="s">
        <v>148</v>
      </c>
      <c r="B3694" s="2" t="s">
        <v>100</v>
      </c>
      <c r="C3694" s="2">
        <v>2.76502E-2</v>
      </c>
      <c r="D3694" s="60">
        <v>0</v>
      </c>
      <c r="E3694" s="2">
        <v>13.0717</v>
      </c>
      <c r="F3694" s="2">
        <v>9.5763800000000003</v>
      </c>
      <c r="G3694" s="2">
        <v>0</v>
      </c>
      <c r="H3694" s="2">
        <v>10.0001</v>
      </c>
      <c r="I3694" s="2">
        <v>0</v>
      </c>
      <c r="J3694" s="2">
        <v>0</v>
      </c>
    </row>
    <row r="3695" spans="1:10">
      <c r="A3695" s="2" t="s">
        <v>148</v>
      </c>
      <c r="B3695" s="2" t="s">
        <v>101</v>
      </c>
      <c r="C3695" s="2">
        <v>3.86557E-3</v>
      </c>
      <c r="D3695" s="60">
        <v>0</v>
      </c>
      <c r="E3695" s="2">
        <v>12.6</v>
      </c>
      <c r="F3695" s="2">
        <v>0.471746</v>
      </c>
      <c r="G3695" s="2">
        <v>10.0001</v>
      </c>
      <c r="H3695" s="2">
        <v>10.425599999999999</v>
      </c>
      <c r="I3695" s="2">
        <v>0</v>
      </c>
      <c r="J3695" s="2">
        <v>0</v>
      </c>
    </row>
    <row r="3696" spans="1:10">
      <c r="A3696" s="2" t="s">
        <v>148</v>
      </c>
      <c r="B3696" s="2" t="s">
        <v>64</v>
      </c>
      <c r="C3696" s="2">
        <v>7.8346799999999994E-2</v>
      </c>
      <c r="D3696" s="60">
        <v>2.3504</v>
      </c>
      <c r="E3696" s="2">
        <v>6.6</v>
      </c>
      <c r="F3696" s="2">
        <v>6</v>
      </c>
      <c r="G3696" s="2">
        <v>10.425599999999999</v>
      </c>
      <c r="H3696" s="2">
        <v>14.930999999999999</v>
      </c>
      <c r="I3696" s="2">
        <v>0</v>
      </c>
      <c r="J3696" s="2">
        <v>0</v>
      </c>
    </row>
    <row r="3697" spans="1:10">
      <c r="A3697" s="2" t="s">
        <v>148</v>
      </c>
      <c r="B3697" s="2" t="s">
        <v>101</v>
      </c>
      <c r="C3697" s="2">
        <v>5.3161900000000002E-3</v>
      </c>
      <c r="D3697" s="60">
        <v>0</v>
      </c>
      <c r="E3697" s="2">
        <v>6.3</v>
      </c>
      <c r="F3697" s="2">
        <v>0.3</v>
      </c>
      <c r="G3697" s="2">
        <v>14.930999999999999</v>
      </c>
      <c r="H3697" s="2">
        <v>15.1099</v>
      </c>
      <c r="I3697" s="2">
        <v>0</v>
      </c>
      <c r="J3697" s="2">
        <v>0</v>
      </c>
    </row>
    <row r="3698" spans="1:10">
      <c r="A3698" s="2" t="s">
        <v>138</v>
      </c>
      <c r="B3698" s="2">
        <v>10</v>
      </c>
      <c r="C3698" s="2">
        <v>43.814599999999999</v>
      </c>
      <c r="D3698" s="60" t="s">
        <v>129</v>
      </c>
      <c r="E3698" s="2" t="s">
        <v>149</v>
      </c>
    </row>
    <row r="3699" spans="1:10">
      <c r="A3699" s="2" t="s">
        <v>140</v>
      </c>
      <c r="B3699" s="2">
        <v>0</v>
      </c>
      <c r="C3699" s="2">
        <v>38.473500000000001</v>
      </c>
      <c r="D3699" s="60">
        <v>24.8185</v>
      </c>
    </row>
    <row r="3700" spans="1:10">
      <c r="A3700" s="2" t="s">
        <v>141</v>
      </c>
      <c r="B3700" s="2">
        <v>0</v>
      </c>
      <c r="C3700" s="2">
        <v>0.9</v>
      </c>
      <c r="D3700" s="60" t="s">
        <v>151</v>
      </c>
    </row>
    <row r="3701" spans="1:10">
      <c r="A3701" s="2" t="s">
        <v>141</v>
      </c>
      <c r="B3701" s="2">
        <v>0</v>
      </c>
      <c r="C3701" s="2">
        <v>5.5</v>
      </c>
      <c r="D3701" s="60" t="s">
        <v>146</v>
      </c>
    </row>
    <row r="3702" spans="1:10">
      <c r="A3702" s="2" t="s">
        <v>141</v>
      </c>
      <c r="B3702" s="2">
        <v>0.9</v>
      </c>
      <c r="C3702" s="2">
        <v>1.4</v>
      </c>
      <c r="D3702" s="60" t="s">
        <v>147</v>
      </c>
    </row>
    <row r="3703" spans="1:10">
      <c r="A3703" s="2" t="s">
        <v>141</v>
      </c>
      <c r="B3703" s="2">
        <v>1.4</v>
      </c>
      <c r="C3703" s="2">
        <v>4.2</v>
      </c>
      <c r="D3703" s="60" t="s">
        <v>145</v>
      </c>
    </row>
    <row r="3704" spans="1:10">
      <c r="A3704" s="2" t="s">
        <v>141</v>
      </c>
      <c r="B3704" s="2">
        <v>4.2</v>
      </c>
      <c r="C3704" s="2">
        <v>19.990600000000001</v>
      </c>
      <c r="D3704" s="60" t="s">
        <v>144</v>
      </c>
    </row>
    <row r="3705" spans="1:10">
      <c r="A3705" s="2" t="s">
        <v>141</v>
      </c>
      <c r="B3705" s="2">
        <v>5.5</v>
      </c>
      <c r="C3705" s="2">
        <v>9.5</v>
      </c>
      <c r="D3705" s="60" t="s">
        <v>155</v>
      </c>
    </row>
    <row r="3706" spans="1:10">
      <c r="A3706" s="2" t="s">
        <v>141</v>
      </c>
      <c r="B3706" s="2">
        <v>9.5</v>
      </c>
      <c r="C3706" s="2">
        <v>19.990600000000001</v>
      </c>
      <c r="D3706" s="60" t="s">
        <v>152</v>
      </c>
    </row>
    <row r="3707" spans="1:10">
      <c r="A3707" s="2" t="s">
        <v>148</v>
      </c>
      <c r="B3707" s="2" t="s">
        <v>99</v>
      </c>
      <c r="C3707" s="2">
        <v>3.7468099999999997E-2</v>
      </c>
      <c r="D3707" s="60">
        <v>0</v>
      </c>
      <c r="E3707" s="2">
        <v>0</v>
      </c>
      <c r="F3707" s="2">
        <v>0.3</v>
      </c>
      <c r="G3707" s="2">
        <v>38.880200000000002</v>
      </c>
      <c r="H3707" s="2">
        <v>40.958100000000002</v>
      </c>
      <c r="I3707" s="2">
        <v>0</v>
      </c>
      <c r="J3707" s="2">
        <v>0</v>
      </c>
    </row>
    <row r="3708" spans="1:10">
      <c r="A3708" s="2" t="s">
        <v>148</v>
      </c>
      <c r="B3708" s="2" t="s">
        <v>100</v>
      </c>
      <c r="C3708" s="2">
        <v>1.6340799999999999E-2</v>
      </c>
      <c r="D3708" s="60">
        <v>0</v>
      </c>
      <c r="E3708" s="2">
        <v>19.704599999999999</v>
      </c>
      <c r="F3708" s="2">
        <v>5.1138500000000002</v>
      </c>
      <c r="G3708" s="2">
        <v>0</v>
      </c>
      <c r="H3708" s="2">
        <v>10</v>
      </c>
      <c r="I3708" s="2">
        <v>0</v>
      </c>
      <c r="J3708" s="2">
        <v>0</v>
      </c>
    </row>
    <row r="3709" spans="1:10">
      <c r="A3709" s="2" t="s">
        <v>148</v>
      </c>
      <c r="B3709" s="2" t="s">
        <v>98</v>
      </c>
      <c r="C3709" s="2">
        <v>0.11738800000000001</v>
      </c>
      <c r="D3709" s="60">
        <v>0</v>
      </c>
      <c r="E3709" s="2">
        <v>13.4298</v>
      </c>
      <c r="F3709" s="2">
        <v>6.2748100000000004</v>
      </c>
      <c r="G3709" s="2">
        <v>10</v>
      </c>
      <c r="H3709" s="2">
        <v>20.169499999999999</v>
      </c>
      <c r="I3709" s="2">
        <v>0</v>
      </c>
      <c r="J3709" s="2">
        <v>0</v>
      </c>
    </row>
    <row r="3710" spans="1:10">
      <c r="A3710" s="2" t="s">
        <v>148</v>
      </c>
      <c r="B3710" s="2" t="s">
        <v>101</v>
      </c>
      <c r="C3710" s="2">
        <v>9.5505199999999996E-4</v>
      </c>
      <c r="D3710" s="60">
        <v>0</v>
      </c>
      <c r="E3710" s="2">
        <v>13.4</v>
      </c>
      <c r="F3710" s="2">
        <v>2.9824799999999999E-2</v>
      </c>
      <c r="G3710" s="2">
        <v>20.169499999999999</v>
      </c>
      <c r="H3710" s="2">
        <v>20.214500000000001</v>
      </c>
      <c r="I3710" s="2">
        <v>0</v>
      </c>
      <c r="J3710" s="2">
        <v>0</v>
      </c>
    </row>
    <row r="3711" spans="1:10">
      <c r="A3711" s="2" t="s">
        <v>148</v>
      </c>
      <c r="B3711" s="2" t="s">
        <v>64</v>
      </c>
      <c r="C3711" s="2">
        <v>0.193909</v>
      </c>
      <c r="D3711" s="60">
        <v>5.8172800000000002</v>
      </c>
      <c r="E3711" s="2">
        <v>8.9</v>
      </c>
      <c r="F3711" s="2">
        <v>4.5</v>
      </c>
      <c r="G3711" s="2">
        <v>20.214500000000001</v>
      </c>
      <c r="H3711" s="2">
        <v>26.238</v>
      </c>
      <c r="I3711" s="2">
        <v>0</v>
      </c>
      <c r="J3711" s="2">
        <v>0</v>
      </c>
    </row>
    <row r="3712" spans="1:10">
      <c r="A3712" s="2" t="s">
        <v>148</v>
      </c>
      <c r="B3712" s="2" t="s">
        <v>62</v>
      </c>
      <c r="C3712" s="2">
        <v>0.25314300000000001</v>
      </c>
      <c r="D3712" s="60">
        <v>20.2514</v>
      </c>
      <c r="E3712" s="2">
        <v>4.9000000000000004</v>
      </c>
      <c r="F3712" s="2">
        <v>4</v>
      </c>
      <c r="G3712" s="2">
        <v>26.238</v>
      </c>
      <c r="H3712" s="2">
        <v>30.324000000000002</v>
      </c>
      <c r="I3712" s="2">
        <v>0</v>
      </c>
      <c r="J3712" s="2">
        <v>0</v>
      </c>
    </row>
    <row r="3713" spans="1:10">
      <c r="A3713" s="2" t="s">
        <v>148</v>
      </c>
      <c r="B3713" s="2" t="s">
        <v>59</v>
      </c>
      <c r="C3713" s="2">
        <v>0.333088</v>
      </c>
      <c r="D3713" s="60">
        <v>33.308799999999998</v>
      </c>
      <c r="E3713" s="2">
        <v>0.9</v>
      </c>
      <c r="F3713" s="2">
        <v>4</v>
      </c>
      <c r="G3713" s="2">
        <v>30.324000000000002</v>
      </c>
      <c r="H3713" s="2">
        <v>36.0717</v>
      </c>
      <c r="I3713" s="2">
        <v>0</v>
      </c>
      <c r="J3713" s="2">
        <v>0</v>
      </c>
    </row>
    <row r="3714" spans="1:10">
      <c r="A3714" s="2" t="s">
        <v>148</v>
      </c>
      <c r="B3714" s="2" t="s">
        <v>101</v>
      </c>
      <c r="C3714" s="2">
        <v>6.5778799999999998E-2</v>
      </c>
      <c r="D3714" s="60">
        <v>0</v>
      </c>
      <c r="E3714" s="2">
        <v>0.3</v>
      </c>
      <c r="F3714" s="2">
        <v>0.6</v>
      </c>
      <c r="G3714" s="2">
        <v>36.0717</v>
      </c>
      <c r="H3714" s="2">
        <v>38.880200000000002</v>
      </c>
      <c r="I3714" s="2">
        <v>0</v>
      </c>
      <c r="J3714" s="2">
        <v>0</v>
      </c>
    </row>
    <row r="3715" spans="1:10">
      <c r="A3715" s="2" t="s">
        <v>138</v>
      </c>
      <c r="B3715" s="2">
        <v>11</v>
      </c>
      <c r="C3715" s="2">
        <v>45.938499999999998</v>
      </c>
      <c r="D3715" s="60" t="s">
        <v>129</v>
      </c>
      <c r="E3715" s="2" t="s">
        <v>139</v>
      </c>
    </row>
    <row r="3716" spans="1:10">
      <c r="A3716" s="2" t="s">
        <v>140</v>
      </c>
      <c r="B3716" s="2">
        <v>0</v>
      </c>
      <c r="C3716" s="2">
        <v>44.673400000000001</v>
      </c>
      <c r="D3716" s="60">
        <v>25.2807</v>
      </c>
    </row>
    <row r="3717" spans="1:10">
      <c r="A3717" s="2" t="s">
        <v>141</v>
      </c>
      <c r="B3717" s="2">
        <v>0</v>
      </c>
      <c r="C3717" s="2">
        <v>5.9</v>
      </c>
      <c r="D3717" s="60" t="s">
        <v>142</v>
      </c>
    </row>
    <row r="3718" spans="1:10">
      <c r="A3718" s="2" t="s">
        <v>141</v>
      </c>
      <c r="B3718" s="2">
        <v>0</v>
      </c>
      <c r="C3718" s="2">
        <v>6.4</v>
      </c>
      <c r="D3718" s="60" t="s">
        <v>158</v>
      </c>
    </row>
    <row r="3719" spans="1:10">
      <c r="A3719" s="2" t="s">
        <v>141</v>
      </c>
      <c r="B3719" s="2">
        <v>0</v>
      </c>
      <c r="C3719" s="2">
        <v>20.3</v>
      </c>
      <c r="D3719" s="60" t="s">
        <v>146</v>
      </c>
    </row>
    <row r="3720" spans="1:10">
      <c r="A3720" s="2" t="s">
        <v>141</v>
      </c>
      <c r="B3720" s="2">
        <v>5.9</v>
      </c>
      <c r="C3720" s="2">
        <v>9.6999999999999993</v>
      </c>
      <c r="D3720" s="60" t="s">
        <v>144</v>
      </c>
    </row>
    <row r="3721" spans="1:10">
      <c r="A3721" s="2" t="s">
        <v>141</v>
      </c>
      <c r="B3721" s="2">
        <v>6.4</v>
      </c>
      <c r="C3721" s="2">
        <v>6.7</v>
      </c>
      <c r="D3721" s="60" t="s">
        <v>176</v>
      </c>
    </row>
    <row r="3722" spans="1:10">
      <c r="A3722" s="2" t="s">
        <v>141</v>
      </c>
      <c r="B3722" s="2">
        <v>9.6999999999999993</v>
      </c>
      <c r="C3722" s="2">
        <v>10</v>
      </c>
      <c r="D3722" s="60" t="s">
        <v>145</v>
      </c>
    </row>
    <row r="3723" spans="1:10">
      <c r="A3723" s="2" t="s">
        <v>141</v>
      </c>
      <c r="B3723" s="2">
        <v>10</v>
      </c>
      <c r="C3723" s="2">
        <v>20.3</v>
      </c>
      <c r="D3723" s="60" t="s">
        <v>144</v>
      </c>
    </row>
    <row r="3724" spans="1:10">
      <c r="A3724" s="2" t="s">
        <v>148</v>
      </c>
      <c r="B3724" s="2" t="s">
        <v>99</v>
      </c>
      <c r="C3724" s="2">
        <v>4.9015900000000001E-2</v>
      </c>
      <c r="D3724" s="60">
        <v>0</v>
      </c>
      <c r="E3724" s="2">
        <v>0</v>
      </c>
      <c r="F3724" s="2">
        <v>0.3</v>
      </c>
      <c r="G3724" s="2">
        <v>44.4878</v>
      </c>
      <c r="H3724" s="2">
        <v>46.825299999999999</v>
      </c>
      <c r="I3724" s="2">
        <v>0</v>
      </c>
      <c r="J3724" s="2">
        <v>0</v>
      </c>
    </row>
    <row r="3725" spans="1:10">
      <c r="A3725" s="2" t="s">
        <v>148</v>
      </c>
      <c r="B3725" s="2" t="s">
        <v>100</v>
      </c>
      <c r="C3725" s="2">
        <v>1.45831E-2</v>
      </c>
      <c r="D3725" s="60">
        <v>0</v>
      </c>
      <c r="E3725" s="2">
        <v>20.866</v>
      </c>
      <c r="F3725" s="2">
        <v>4.4146900000000002</v>
      </c>
      <c r="G3725" s="2">
        <v>0</v>
      </c>
      <c r="H3725" s="2">
        <v>10</v>
      </c>
      <c r="I3725" s="2">
        <v>0</v>
      </c>
      <c r="J3725" s="2">
        <v>0</v>
      </c>
    </row>
    <row r="3726" spans="1:10">
      <c r="A3726" s="2" t="s">
        <v>148</v>
      </c>
      <c r="B3726" s="2" t="s">
        <v>98</v>
      </c>
      <c r="C3726" s="2">
        <v>0.16065699999999999</v>
      </c>
      <c r="D3726" s="60">
        <v>0</v>
      </c>
      <c r="E3726" s="2">
        <v>13.747400000000001</v>
      </c>
      <c r="F3726" s="2">
        <v>7.1186699999999998</v>
      </c>
      <c r="G3726" s="2">
        <v>10</v>
      </c>
      <c r="H3726" s="2">
        <v>22.944500000000001</v>
      </c>
      <c r="I3726" s="2">
        <v>0</v>
      </c>
      <c r="J3726" s="2">
        <v>0</v>
      </c>
    </row>
    <row r="3727" spans="1:10">
      <c r="A3727" s="2" t="s">
        <v>148</v>
      </c>
      <c r="B3727" s="2" t="s">
        <v>101</v>
      </c>
      <c r="C3727" s="2">
        <v>6.6338800000000003E-2</v>
      </c>
      <c r="D3727" s="60">
        <v>0</v>
      </c>
      <c r="E3727" s="2">
        <v>12.3</v>
      </c>
      <c r="F3727" s="2">
        <v>1.4473800000000001</v>
      </c>
      <c r="G3727" s="2">
        <v>22.944500000000001</v>
      </c>
      <c r="H3727" s="2">
        <v>25.323599999999999</v>
      </c>
      <c r="I3727" s="2">
        <v>0</v>
      </c>
      <c r="J3727" s="2">
        <v>0</v>
      </c>
    </row>
    <row r="3728" spans="1:10">
      <c r="A3728" s="2" t="s">
        <v>148</v>
      </c>
      <c r="B3728" s="2" t="s">
        <v>60</v>
      </c>
      <c r="C3728" s="2">
        <v>0.251799</v>
      </c>
      <c r="D3728" s="60">
        <v>22.661899999999999</v>
      </c>
      <c r="E3728" s="2">
        <v>8.3000000000000007</v>
      </c>
      <c r="F3728" s="2">
        <v>4</v>
      </c>
      <c r="G3728" s="2">
        <v>25.323599999999999</v>
      </c>
      <c r="H3728" s="2">
        <v>30.966999999999999</v>
      </c>
      <c r="I3728" s="2">
        <v>0</v>
      </c>
      <c r="J3728" s="2">
        <v>0</v>
      </c>
    </row>
    <row r="3729" spans="1:10">
      <c r="A3729" s="2" t="s">
        <v>148</v>
      </c>
      <c r="B3729" s="2" t="s">
        <v>59</v>
      </c>
      <c r="C3729" s="2">
        <v>0.34773399999999999</v>
      </c>
      <c r="D3729" s="60">
        <v>34.773400000000002</v>
      </c>
      <c r="E3729" s="2">
        <v>4.3</v>
      </c>
      <c r="F3729" s="2">
        <v>4</v>
      </c>
      <c r="G3729" s="2">
        <v>30.966999999999999</v>
      </c>
      <c r="H3729" s="2">
        <v>35.385599999999997</v>
      </c>
      <c r="I3729" s="2">
        <v>0</v>
      </c>
      <c r="J3729" s="2">
        <v>0</v>
      </c>
    </row>
    <row r="3730" spans="1:10">
      <c r="A3730" s="2" t="s">
        <v>148</v>
      </c>
      <c r="B3730" s="2" t="s">
        <v>56</v>
      </c>
      <c r="C3730" s="2">
        <v>0.46529300000000001</v>
      </c>
      <c r="D3730" s="60">
        <v>65.141099999999994</v>
      </c>
      <c r="E3730" s="2">
        <v>0.3</v>
      </c>
      <c r="F3730" s="2">
        <v>4</v>
      </c>
      <c r="G3730" s="2">
        <v>35.385599999999997</v>
      </c>
      <c r="H3730" s="2">
        <v>44.4878</v>
      </c>
      <c r="I3730" s="2">
        <v>0</v>
      </c>
      <c r="J3730" s="2">
        <v>0</v>
      </c>
    </row>
    <row r="3731" spans="1:10">
      <c r="A3731" s="2" t="s">
        <v>138</v>
      </c>
      <c r="B3731" s="2">
        <v>12</v>
      </c>
      <c r="C3731" s="2">
        <v>41.880600000000001</v>
      </c>
      <c r="D3731" s="60" t="s">
        <v>129</v>
      </c>
      <c r="E3731" s="2" t="s">
        <v>149</v>
      </c>
    </row>
    <row r="3732" spans="1:10">
      <c r="A3732" s="2" t="s">
        <v>140</v>
      </c>
      <c r="B3732" s="2">
        <v>0</v>
      </c>
      <c r="C3732" s="2">
        <v>34.859299999999998</v>
      </c>
      <c r="D3732" s="60">
        <v>24.3813</v>
      </c>
    </row>
    <row r="3733" spans="1:10">
      <c r="A3733" s="2" t="s">
        <v>141</v>
      </c>
      <c r="B3733" s="2">
        <v>0</v>
      </c>
      <c r="C3733" s="2">
        <v>6.6</v>
      </c>
      <c r="D3733" s="60" t="s">
        <v>144</v>
      </c>
    </row>
    <row r="3734" spans="1:10">
      <c r="A3734" s="2" t="s">
        <v>141</v>
      </c>
      <c r="B3734" s="2">
        <v>0</v>
      </c>
      <c r="C3734" s="2">
        <v>19.698</v>
      </c>
      <c r="D3734" s="60" t="s">
        <v>146</v>
      </c>
    </row>
    <row r="3735" spans="1:10">
      <c r="A3735" s="2" t="s">
        <v>141</v>
      </c>
      <c r="B3735" s="2">
        <v>4.3</v>
      </c>
      <c r="C3735" s="2">
        <v>4.5999999999999996</v>
      </c>
      <c r="D3735" s="60" t="s">
        <v>153</v>
      </c>
    </row>
    <row r="3736" spans="1:10">
      <c r="A3736" s="2" t="s">
        <v>141</v>
      </c>
      <c r="B3736" s="2">
        <v>4.3</v>
      </c>
      <c r="C3736" s="2">
        <v>4.5999999999999996</v>
      </c>
      <c r="D3736" s="60" t="s">
        <v>154</v>
      </c>
    </row>
    <row r="3737" spans="1:10">
      <c r="A3737" s="2" t="s">
        <v>141</v>
      </c>
      <c r="B3737" s="2">
        <v>6.6</v>
      </c>
      <c r="C3737" s="2">
        <v>6.9</v>
      </c>
      <c r="D3737" s="60" t="s">
        <v>145</v>
      </c>
    </row>
    <row r="3738" spans="1:10">
      <c r="A3738" s="2" t="s">
        <v>141</v>
      </c>
      <c r="B3738" s="2">
        <v>6.9</v>
      </c>
      <c r="C3738" s="2">
        <v>19.698</v>
      </c>
      <c r="D3738" s="60" t="s">
        <v>144</v>
      </c>
    </row>
    <row r="3739" spans="1:10">
      <c r="A3739" s="2" t="s">
        <v>156</v>
      </c>
      <c r="B3739" s="2">
        <v>4.3</v>
      </c>
      <c r="C3739" s="2">
        <v>23.279699999999998</v>
      </c>
    </row>
    <row r="3740" spans="1:10">
      <c r="A3740" s="2" t="s">
        <v>148</v>
      </c>
      <c r="B3740" s="2" t="s">
        <v>99</v>
      </c>
      <c r="C3740" s="2">
        <v>3.1367899999999997E-2</v>
      </c>
      <c r="D3740" s="60">
        <v>0</v>
      </c>
      <c r="E3740" s="2">
        <v>0</v>
      </c>
      <c r="F3740" s="2">
        <v>0.3</v>
      </c>
      <c r="G3740" s="2">
        <v>35.560699999999997</v>
      </c>
      <c r="H3740" s="2">
        <v>37.492400000000004</v>
      </c>
      <c r="I3740" s="2">
        <v>0</v>
      </c>
      <c r="J3740" s="2">
        <v>0</v>
      </c>
    </row>
    <row r="3741" spans="1:10">
      <c r="A3741" s="2" t="s">
        <v>148</v>
      </c>
      <c r="B3741" s="2" t="s">
        <v>100</v>
      </c>
      <c r="C3741" s="2">
        <v>2.4610099999999999E-2</v>
      </c>
      <c r="D3741" s="60">
        <v>0</v>
      </c>
      <c r="E3741" s="2">
        <v>15.9765</v>
      </c>
      <c r="F3741" s="2">
        <v>8.4048499999999997</v>
      </c>
      <c r="G3741" s="2">
        <v>0</v>
      </c>
      <c r="H3741" s="2">
        <v>10</v>
      </c>
      <c r="I3741" s="2">
        <v>0</v>
      </c>
      <c r="J3741" s="2">
        <v>0</v>
      </c>
    </row>
    <row r="3742" spans="1:10">
      <c r="A3742" s="2" t="s">
        <v>148</v>
      </c>
      <c r="B3742" s="2" t="s">
        <v>101</v>
      </c>
      <c r="C3742" s="2">
        <v>6.0566000000000005E-4</v>
      </c>
      <c r="D3742" s="60">
        <v>0</v>
      </c>
      <c r="E3742" s="2">
        <v>15.9</v>
      </c>
      <c r="F3742" s="2">
        <v>7.6490100000000005E-2</v>
      </c>
      <c r="G3742" s="2">
        <v>10</v>
      </c>
      <c r="H3742" s="2">
        <v>10.0815</v>
      </c>
      <c r="I3742" s="2">
        <v>0</v>
      </c>
      <c r="J3742" s="2">
        <v>0</v>
      </c>
    </row>
    <row r="3743" spans="1:10">
      <c r="A3743" s="2" t="s">
        <v>148</v>
      </c>
      <c r="B3743" s="2" t="s">
        <v>64</v>
      </c>
      <c r="C3743" s="2">
        <v>6.8682199999999999E-2</v>
      </c>
      <c r="D3743" s="60">
        <v>2.06047</v>
      </c>
      <c r="E3743" s="2">
        <v>10.6</v>
      </c>
      <c r="F3743" s="2">
        <v>5.3</v>
      </c>
      <c r="G3743" s="2">
        <v>10.0815</v>
      </c>
      <c r="H3743" s="2">
        <v>15.242800000000001</v>
      </c>
      <c r="I3743" s="2">
        <v>0</v>
      </c>
      <c r="J3743" s="2">
        <v>0</v>
      </c>
    </row>
    <row r="3744" spans="1:10">
      <c r="A3744" s="2" t="s">
        <v>148</v>
      </c>
      <c r="B3744" s="2" t="s">
        <v>63</v>
      </c>
      <c r="C3744" s="2">
        <v>0.144819</v>
      </c>
      <c r="D3744" s="60">
        <v>10.1373</v>
      </c>
      <c r="E3744" s="2">
        <v>4.5999999999999996</v>
      </c>
      <c r="F3744" s="2">
        <v>6</v>
      </c>
      <c r="G3744" s="2">
        <v>15.242800000000001</v>
      </c>
      <c r="H3744" s="2">
        <v>19.465699999999998</v>
      </c>
      <c r="I3744" s="2">
        <v>0</v>
      </c>
      <c r="J3744" s="2">
        <v>0</v>
      </c>
    </row>
    <row r="3745" spans="1:10">
      <c r="A3745" s="2" t="s">
        <v>148</v>
      </c>
      <c r="B3745" s="2" t="s">
        <v>101</v>
      </c>
      <c r="C3745" s="2">
        <v>9.0106800000000001E-3</v>
      </c>
      <c r="D3745" s="60">
        <v>0</v>
      </c>
      <c r="E3745" s="2">
        <v>4.3</v>
      </c>
      <c r="F3745" s="2">
        <v>0.3</v>
      </c>
      <c r="G3745" s="2">
        <v>19.465699999999998</v>
      </c>
      <c r="H3745" s="2">
        <v>28.200500000000002</v>
      </c>
      <c r="I3745" s="2">
        <v>0</v>
      </c>
      <c r="J3745" s="2">
        <v>0</v>
      </c>
    </row>
    <row r="3746" spans="1:10">
      <c r="A3746" s="2" t="s">
        <v>148</v>
      </c>
      <c r="B3746" s="2" t="s">
        <v>60</v>
      </c>
      <c r="C3746" s="2">
        <v>0.29622500000000002</v>
      </c>
      <c r="D3746" s="60">
        <v>26.6602</v>
      </c>
      <c r="E3746" s="2">
        <v>0.3</v>
      </c>
      <c r="F3746" s="2">
        <v>4</v>
      </c>
      <c r="G3746" s="2">
        <v>28.200500000000002</v>
      </c>
      <c r="H3746" s="2">
        <v>35.560699999999997</v>
      </c>
      <c r="I3746" s="2">
        <v>0</v>
      </c>
      <c r="J3746" s="2">
        <v>0</v>
      </c>
    </row>
    <row r="3747" spans="1:10">
      <c r="A3747" s="2" t="s">
        <v>140</v>
      </c>
      <c r="B3747" s="2">
        <v>1</v>
      </c>
      <c r="C3747" s="2">
        <v>24.504999999999999</v>
      </c>
      <c r="D3747" s="60">
        <v>24.3813</v>
      </c>
      <c r="E3747" s="2">
        <v>4.3</v>
      </c>
    </row>
    <row r="3748" spans="1:10">
      <c r="A3748" s="2" t="s">
        <v>141</v>
      </c>
      <c r="B3748" s="2">
        <v>4.3</v>
      </c>
      <c r="C3748" s="2">
        <v>4.5999999999999996</v>
      </c>
      <c r="D3748" s="60" t="s">
        <v>153</v>
      </c>
    </row>
    <row r="3749" spans="1:10">
      <c r="A3749" s="2" t="s">
        <v>141</v>
      </c>
      <c r="B3749" s="2">
        <v>4.3</v>
      </c>
      <c r="C3749" s="2">
        <v>19.698</v>
      </c>
      <c r="D3749" s="60" t="s">
        <v>145</v>
      </c>
    </row>
    <row r="3750" spans="1:10">
      <c r="A3750" s="2" t="s">
        <v>141</v>
      </c>
      <c r="B3750" s="2">
        <v>4.3</v>
      </c>
      <c r="C3750" s="2">
        <v>19.698</v>
      </c>
      <c r="D3750" s="60" t="s">
        <v>152</v>
      </c>
    </row>
    <row r="3751" spans="1:10">
      <c r="A3751" s="2" t="s">
        <v>148</v>
      </c>
      <c r="B3751" s="2" t="s">
        <v>100</v>
      </c>
      <c r="C3751" s="2">
        <v>2.3522000000000001E-2</v>
      </c>
      <c r="D3751" s="60">
        <v>0</v>
      </c>
      <c r="E3751" s="2">
        <v>16.3964</v>
      </c>
      <c r="F3751" s="2">
        <v>7.9849199999999998</v>
      </c>
      <c r="G3751" s="2">
        <v>0</v>
      </c>
      <c r="H3751" s="2">
        <v>10</v>
      </c>
      <c r="I3751" s="2">
        <v>0</v>
      </c>
      <c r="J3751" s="2">
        <v>0</v>
      </c>
    </row>
    <row r="3752" spans="1:10">
      <c r="A3752" s="2" t="s">
        <v>148</v>
      </c>
      <c r="B3752" s="2" t="s">
        <v>101</v>
      </c>
      <c r="C3752" s="2">
        <v>7.6552300000000005E-4</v>
      </c>
      <c r="D3752" s="60">
        <v>0</v>
      </c>
      <c r="E3752" s="2">
        <v>16.3</v>
      </c>
      <c r="F3752" s="2">
        <v>9.6422599999999997E-2</v>
      </c>
      <c r="G3752" s="2">
        <v>10</v>
      </c>
      <c r="H3752" s="2">
        <v>10.1082</v>
      </c>
      <c r="I3752" s="2">
        <v>0</v>
      </c>
      <c r="J3752" s="2">
        <v>0</v>
      </c>
    </row>
    <row r="3753" spans="1:10">
      <c r="A3753" s="2" t="s">
        <v>148</v>
      </c>
      <c r="B3753" s="2" t="s">
        <v>64</v>
      </c>
      <c r="C3753" s="2">
        <v>7.86438E-2</v>
      </c>
      <c r="D3753" s="60">
        <v>2.3593199999999999</v>
      </c>
      <c r="E3753" s="2">
        <v>10.6</v>
      </c>
      <c r="F3753" s="2">
        <v>5.7</v>
      </c>
      <c r="G3753" s="2">
        <v>10.1082</v>
      </c>
      <c r="H3753" s="2">
        <v>15.959099999999999</v>
      </c>
      <c r="I3753" s="2">
        <v>0</v>
      </c>
      <c r="J3753" s="2">
        <v>0</v>
      </c>
    </row>
    <row r="3754" spans="1:10">
      <c r="A3754" s="2" t="s">
        <v>148</v>
      </c>
      <c r="B3754" s="2" t="s">
        <v>64</v>
      </c>
      <c r="C3754" s="2">
        <v>0.158751</v>
      </c>
      <c r="D3754" s="60">
        <v>4.7625299999999999</v>
      </c>
      <c r="E3754" s="2">
        <v>4.5999999999999996</v>
      </c>
      <c r="F3754" s="2">
        <v>6</v>
      </c>
      <c r="G3754" s="2">
        <v>15.959099999999999</v>
      </c>
      <c r="H3754" s="2">
        <v>20.380500000000001</v>
      </c>
      <c r="I3754" s="2">
        <v>0</v>
      </c>
      <c r="J3754" s="2">
        <v>0</v>
      </c>
    </row>
    <row r="3755" spans="1:10">
      <c r="A3755" s="2" t="s">
        <v>148</v>
      </c>
      <c r="B3755" s="2" t="s">
        <v>101</v>
      </c>
      <c r="C3755" s="2">
        <v>9.8775500000000006E-3</v>
      </c>
      <c r="D3755" s="60">
        <v>0</v>
      </c>
      <c r="E3755" s="2">
        <v>4.3</v>
      </c>
      <c r="F3755" s="2">
        <v>0.3</v>
      </c>
      <c r="G3755" s="2">
        <v>20.380500000000001</v>
      </c>
      <c r="H3755" s="2">
        <v>20.568999999999999</v>
      </c>
      <c r="I3755" s="2">
        <v>0</v>
      </c>
      <c r="J3755" s="2">
        <v>0</v>
      </c>
    </row>
    <row r="3756" spans="1:10">
      <c r="A3756" s="2" t="s">
        <v>138</v>
      </c>
      <c r="B3756" s="2">
        <v>13</v>
      </c>
      <c r="C3756" s="2">
        <v>48.2791</v>
      </c>
      <c r="D3756" s="60" t="s">
        <v>129</v>
      </c>
      <c r="E3756" s="2" t="s">
        <v>149</v>
      </c>
    </row>
    <row r="3757" spans="1:10">
      <c r="A3757" s="2" t="s">
        <v>140</v>
      </c>
      <c r="B3757" s="2">
        <v>0</v>
      </c>
      <c r="C3757" s="2">
        <v>58.641100000000002</v>
      </c>
      <c r="D3757" s="60">
        <v>26.7272</v>
      </c>
    </row>
    <row r="3758" spans="1:10">
      <c r="A3758" s="2" t="s">
        <v>141</v>
      </c>
      <c r="B3758" s="2">
        <v>0</v>
      </c>
      <c r="C3758" s="2">
        <v>0.3</v>
      </c>
      <c r="D3758" s="60" t="s">
        <v>158</v>
      </c>
    </row>
    <row r="3759" spans="1:10">
      <c r="A3759" s="2" t="s">
        <v>141</v>
      </c>
      <c r="B3759" s="2">
        <v>0</v>
      </c>
      <c r="C3759" s="2">
        <v>3.4</v>
      </c>
      <c r="D3759" s="60" t="s">
        <v>144</v>
      </c>
    </row>
    <row r="3760" spans="1:10">
      <c r="A3760" s="2" t="s">
        <v>141</v>
      </c>
      <c r="B3760" s="2">
        <v>0</v>
      </c>
      <c r="C3760" s="2">
        <v>12.1</v>
      </c>
      <c r="D3760" s="60" t="s">
        <v>146</v>
      </c>
    </row>
    <row r="3761" spans="1:10">
      <c r="A3761" s="2" t="s">
        <v>141</v>
      </c>
      <c r="B3761" s="2">
        <v>0.3</v>
      </c>
      <c r="C3761" s="2">
        <v>0.8</v>
      </c>
      <c r="D3761" s="60" t="s">
        <v>178</v>
      </c>
    </row>
    <row r="3762" spans="1:10">
      <c r="A3762" s="2" t="s">
        <v>141</v>
      </c>
      <c r="B3762" s="2">
        <v>3.4</v>
      </c>
      <c r="C3762" s="2">
        <v>6</v>
      </c>
      <c r="D3762" s="60" t="s">
        <v>145</v>
      </c>
    </row>
    <row r="3763" spans="1:10">
      <c r="A3763" s="2" t="s">
        <v>141</v>
      </c>
      <c r="B3763" s="2">
        <v>6</v>
      </c>
      <c r="C3763" s="2">
        <v>6.5</v>
      </c>
      <c r="D3763" s="60" t="s">
        <v>151</v>
      </c>
    </row>
    <row r="3764" spans="1:10">
      <c r="A3764" s="2" t="s">
        <v>141</v>
      </c>
      <c r="B3764" s="2">
        <v>6.5</v>
      </c>
      <c r="C3764" s="2">
        <v>7.8</v>
      </c>
      <c r="D3764" s="60" t="s">
        <v>145</v>
      </c>
    </row>
    <row r="3765" spans="1:10">
      <c r="A3765" s="2" t="s">
        <v>141</v>
      </c>
      <c r="B3765" s="2">
        <v>7.8</v>
      </c>
      <c r="C3765" s="2">
        <v>21.2682</v>
      </c>
      <c r="D3765" s="60" t="s">
        <v>144</v>
      </c>
    </row>
    <row r="3766" spans="1:10">
      <c r="A3766" s="2" t="s">
        <v>141</v>
      </c>
      <c r="B3766" s="2">
        <v>12.1</v>
      </c>
      <c r="C3766" s="2">
        <v>21.2682</v>
      </c>
      <c r="D3766" s="60" t="s">
        <v>152</v>
      </c>
    </row>
    <row r="3767" spans="1:10">
      <c r="A3767" s="2" t="s">
        <v>148</v>
      </c>
      <c r="B3767" s="2" t="s">
        <v>99</v>
      </c>
      <c r="C3767" s="2">
        <v>8.0054600000000004E-2</v>
      </c>
      <c r="D3767" s="60">
        <v>0</v>
      </c>
      <c r="E3767" s="2">
        <v>0</v>
      </c>
      <c r="F3767" s="2">
        <v>0.3</v>
      </c>
      <c r="G3767" s="2">
        <v>56.921700000000001</v>
      </c>
      <c r="H3767" s="2">
        <v>59.762900000000002</v>
      </c>
      <c r="I3767" s="2">
        <v>0</v>
      </c>
      <c r="J3767" s="2">
        <v>0</v>
      </c>
    </row>
    <row r="3768" spans="1:10">
      <c r="A3768" s="2" t="s">
        <v>148</v>
      </c>
      <c r="B3768" s="2" t="s">
        <v>100</v>
      </c>
      <c r="C3768" s="2">
        <v>1.17871E-2</v>
      </c>
      <c r="D3768" s="60">
        <v>0</v>
      </c>
      <c r="E3768" s="2">
        <v>23.365300000000001</v>
      </c>
      <c r="F3768" s="2">
        <v>3.36199</v>
      </c>
      <c r="G3768" s="2">
        <v>0</v>
      </c>
      <c r="H3768" s="2">
        <v>10</v>
      </c>
      <c r="I3768" s="2">
        <v>0</v>
      </c>
      <c r="J3768" s="2">
        <v>0</v>
      </c>
    </row>
    <row r="3769" spans="1:10">
      <c r="A3769" s="2" t="s">
        <v>148</v>
      </c>
      <c r="B3769" s="2" t="s">
        <v>98</v>
      </c>
      <c r="C3769" s="2">
        <v>0.30731199999999997</v>
      </c>
      <c r="D3769" s="60">
        <v>0</v>
      </c>
      <c r="E3769" s="2">
        <v>14.2814</v>
      </c>
      <c r="F3769" s="2">
        <v>9.0838400000000004</v>
      </c>
      <c r="G3769" s="2">
        <v>10</v>
      </c>
      <c r="H3769" s="2">
        <v>29.799099999999999</v>
      </c>
      <c r="I3769" s="2">
        <v>0</v>
      </c>
      <c r="J3769" s="2">
        <v>0</v>
      </c>
    </row>
    <row r="3770" spans="1:10">
      <c r="A3770" s="2" t="s">
        <v>148</v>
      </c>
      <c r="B3770" s="2" t="s">
        <v>101</v>
      </c>
      <c r="C3770" s="2">
        <v>5.7093700000000001E-3</v>
      </c>
      <c r="D3770" s="60">
        <v>0</v>
      </c>
      <c r="E3770" s="2">
        <v>14.2</v>
      </c>
      <c r="F3770" s="2">
        <v>8.1412300000000007E-2</v>
      </c>
      <c r="G3770" s="2">
        <v>29.799099999999999</v>
      </c>
      <c r="H3770" s="2">
        <v>29.963999999999999</v>
      </c>
      <c r="I3770" s="2">
        <v>0</v>
      </c>
      <c r="J3770" s="2">
        <v>0</v>
      </c>
    </row>
    <row r="3771" spans="1:10">
      <c r="A3771" s="2" t="s">
        <v>148</v>
      </c>
      <c r="B3771" s="2" t="s">
        <v>64</v>
      </c>
      <c r="C3771" s="2">
        <v>0.32717800000000002</v>
      </c>
      <c r="D3771" s="60">
        <v>9.8153299999999994</v>
      </c>
      <c r="E3771" s="2">
        <v>10.5</v>
      </c>
      <c r="F3771" s="2">
        <v>3.7</v>
      </c>
      <c r="G3771" s="2">
        <v>29.963999999999999</v>
      </c>
      <c r="H3771" s="2">
        <v>36.804600000000001</v>
      </c>
      <c r="I3771" s="2">
        <v>0</v>
      </c>
      <c r="J3771" s="2">
        <v>0</v>
      </c>
    </row>
    <row r="3772" spans="1:10">
      <c r="A3772" s="2" t="s">
        <v>148</v>
      </c>
      <c r="B3772" s="2" t="s">
        <v>59</v>
      </c>
      <c r="C3772" s="2">
        <v>0.50023899999999999</v>
      </c>
      <c r="D3772" s="60">
        <v>50.023899999999998</v>
      </c>
      <c r="E3772" s="2">
        <v>6.5</v>
      </c>
      <c r="F3772" s="2">
        <v>4</v>
      </c>
      <c r="G3772" s="2">
        <v>36.804600000000001</v>
      </c>
      <c r="H3772" s="2">
        <v>42.687800000000003</v>
      </c>
      <c r="I3772" s="2">
        <v>0</v>
      </c>
      <c r="J3772" s="2">
        <v>0</v>
      </c>
    </row>
    <row r="3773" spans="1:10">
      <c r="A3773" s="2" t="s">
        <v>148</v>
      </c>
      <c r="B3773" s="2" t="s">
        <v>101</v>
      </c>
      <c r="C3773" s="2">
        <v>2.8798600000000001E-2</v>
      </c>
      <c r="D3773" s="60">
        <v>0</v>
      </c>
      <c r="E3773" s="2">
        <v>6.3</v>
      </c>
      <c r="F3773" s="2">
        <v>0.2</v>
      </c>
      <c r="G3773" s="2">
        <v>42.687800000000003</v>
      </c>
      <c r="H3773" s="2">
        <v>42.947499999999998</v>
      </c>
      <c r="I3773" s="2">
        <v>0</v>
      </c>
      <c r="J3773" s="2">
        <v>0</v>
      </c>
    </row>
    <row r="3774" spans="1:10">
      <c r="A3774" s="2" t="s">
        <v>148</v>
      </c>
      <c r="B3774" s="2" t="s">
        <v>62</v>
      </c>
      <c r="C3774" s="2">
        <v>1.07314</v>
      </c>
      <c r="D3774" s="60">
        <v>85.850999999999999</v>
      </c>
      <c r="E3774" s="2">
        <v>0.3</v>
      </c>
      <c r="F3774" s="2">
        <v>6</v>
      </c>
      <c r="G3774" s="2">
        <v>42.947499999999998</v>
      </c>
      <c r="H3774" s="2">
        <v>56.921700000000001</v>
      </c>
      <c r="I3774" s="2">
        <v>0</v>
      </c>
      <c r="J3774" s="2">
        <v>0</v>
      </c>
    </row>
    <row r="3775" spans="1:10">
      <c r="A3775" s="2" t="s">
        <v>138</v>
      </c>
      <c r="B3775" s="2">
        <v>14</v>
      </c>
      <c r="C3775" s="2">
        <v>43.740600000000001</v>
      </c>
      <c r="D3775" s="60" t="s">
        <v>129</v>
      </c>
      <c r="E3775" s="2" t="s">
        <v>149</v>
      </c>
    </row>
    <row r="3776" spans="1:10">
      <c r="A3776" s="2" t="s">
        <v>140</v>
      </c>
      <c r="B3776" s="2">
        <v>0</v>
      </c>
      <c r="C3776" s="2">
        <v>38.310400000000001</v>
      </c>
      <c r="D3776" s="60">
        <v>24.799499999999998</v>
      </c>
    </row>
    <row r="3777" spans="1:10">
      <c r="A3777" s="2" t="s">
        <v>141</v>
      </c>
      <c r="B3777" s="2">
        <v>0</v>
      </c>
      <c r="C3777" s="2">
        <v>1.5</v>
      </c>
      <c r="D3777" s="60" t="s">
        <v>145</v>
      </c>
    </row>
    <row r="3778" spans="1:10">
      <c r="A3778" s="2" t="s">
        <v>141</v>
      </c>
      <c r="B3778" s="2">
        <v>0</v>
      </c>
      <c r="C3778" s="2">
        <v>7.5</v>
      </c>
      <c r="D3778" s="60" t="s">
        <v>155</v>
      </c>
    </row>
    <row r="3779" spans="1:10">
      <c r="A3779" s="2" t="s">
        <v>141</v>
      </c>
      <c r="B3779" s="2">
        <v>1.5</v>
      </c>
      <c r="C3779" s="2">
        <v>6.8</v>
      </c>
      <c r="D3779" s="60" t="s">
        <v>144</v>
      </c>
    </row>
    <row r="3780" spans="1:10">
      <c r="A3780" s="2" t="s">
        <v>141</v>
      </c>
      <c r="B3780" s="2">
        <v>6.8</v>
      </c>
      <c r="C3780" s="2">
        <v>19.977900000000002</v>
      </c>
      <c r="D3780" s="60" t="s">
        <v>145</v>
      </c>
    </row>
    <row r="3781" spans="1:10">
      <c r="A3781" s="2" t="s">
        <v>141</v>
      </c>
      <c r="B3781" s="2">
        <v>7.5</v>
      </c>
      <c r="C3781" s="2">
        <v>19.977900000000002</v>
      </c>
      <c r="D3781" s="60" t="s">
        <v>161</v>
      </c>
    </row>
    <row r="3782" spans="1:10">
      <c r="A3782" s="2" t="s">
        <v>148</v>
      </c>
      <c r="B3782" s="2" t="s">
        <v>99</v>
      </c>
      <c r="C3782" s="2">
        <v>3.71825E-2</v>
      </c>
      <c r="D3782" s="60">
        <v>0</v>
      </c>
      <c r="E3782" s="2">
        <v>0</v>
      </c>
      <c r="F3782" s="2">
        <v>0.3</v>
      </c>
      <c r="G3782" s="2">
        <v>38.731099999999998</v>
      </c>
      <c r="H3782" s="2">
        <v>40.802399999999999</v>
      </c>
      <c r="I3782" s="2">
        <v>0</v>
      </c>
      <c r="J3782" s="2">
        <v>0</v>
      </c>
    </row>
    <row r="3783" spans="1:10">
      <c r="A3783" s="2" t="s">
        <v>148</v>
      </c>
      <c r="B3783" s="2" t="s">
        <v>100</v>
      </c>
      <c r="C3783" s="2">
        <v>1.6388199999999999E-2</v>
      </c>
      <c r="D3783" s="60">
        <v>0</v>
      </c>
      <c r="E3783" s="2">
        <v>19.6661</v>
      </c>
      <c r="F3783" s="2">
        <v>5.1334200000000001</v>
      </c>
      <c r="G3783" s="2">
        <v>0</v>
      </c>
      <c r="H3783" s="2">
        <v>10</v>
      </c>
      <c r="I3783" s="2">
        <v>0</v>
      </c>
      <c r="J3783" s="2">
        <v>0</v>
      </c>
    </row>
    <row r="3784" spans="1:10">
      <c r="A3784" s="2" t="s">
        <v>148</v>
      </c>
      <c r="B3784" s="2" t="s">
        <v>98</v>
      </c>
      <c r="C3784" s="2">
        <v>2.2793999999999998E-2</v>
      </c>
      <c r="D3784" s="60">
        <v>0</v>
      </c>
      <c r="E3784" s="2">
        <v>17.567799999999998</v>
      </c>
      <c r="F3784" s="2">
        <v>2.0982799999999999</v>
      </c>
      <c r="G3784" s="2">
        <v>10</v>
      </c>
      <c r="H3784" s="2">
        <v>13.4499</v>
      </c>
      <c r="I3784" s="2">
        <v>0</v>
      </c>
      <c r="J3784" s="2">
        <v>0</v>
      </c>
    </row>
    <row r="3785" spans="1:10">
      <c r="A3785" s="2" t="s">
        <v>148</v>
      </c>
      <c r="B3785" s="2" t="s">
        <v>101</v>
      </c>
      <c r="C3785" s="2">
        <v>0.44139400000000001</v>
      </c>
      <c r="D3785" s="60">
        <v>0</v>
      </c>
      <c r="E3785" s="2">
        <v>6.3</v>
      </c>
      <c r="F3785" s="2">
        <v>11.267799999999999</v>
      </c>
      <c r="G3785" s="2">
        <v>13.4499</v>
      </c>
      <c r="H3785" s="2">
        <v>28.884699999999999</v>
      </c>
      <c r="I3785" s="2">
        <v>0</v>
      </c>
      <c r="J3785" s="2">
        <v>0</v>
      </c>
    </row>
    <row r="3786" spans="1:10">
      <c r="A3786" s="2" t="s">
        <v>148</v>
      </c>
      <c r="B3786" s="2" t="s">
        <v>62</v>
      </c>
      <c r="C3786" s="2">
        <v>0.491817</v>
      </c>
      <c r="D3786" s="60">
        <v>39.345300000000002</v>
      </c>
      <c r="E3786" s="2">
        <v>0.3</v>
      </c>
      <c r="F3786" s="2">
        <v>6</v>
      </c>
      <c r="G3786" s="2">
        <v>28.884699999999999</v>
      </c>
      <c r="H3786" s="2">
        <v>38.731099999999998</v>
      </c>
      <c r="I3786" s="2">
        <v>0</v>
      </c>
      <c r="J3786" s="2">
        <v>0</v>
      </c>
    </row>
    <row r="3787" spans="1:10">
      <c r="A3787" s="2" t="s">
        <v>138</v>
      </c>
      <c r="B3787" s="2">
        <v>15</v>
      </c>
      <c r="C3787" s="2">
        <v>46.726199999999999</v>
      </c>
      <c r="D3787" s="60" t="s">
        <v>129</v>
      </c>
      <c r="E3787" s="2" t="s">
        <v>139</v>
      </c>
    </row>
    <row r="3788" spans="1:10">
      <c r="A3788" s="2" t="s">
        <v>140</v>
      </c>
      <c r="B3788" s="2">
        <v>0</v>
      </c>
      <c r="C3788" s="2">
        <v>51.389800000000001</v>
      </c>
      <c r="D3788" s="60">
        <v>22.4421</v>
      </c>
    </row>
    <row r="3789" spans="1:10">
      <c r="A3789" s="2" t="s">
        <v>141</v>
      </c>
      <c r="B3789" s="2">
        <v>0</v>
      </c>
      <c r="C3789" s="2">
        <v>3.3</v>
      </c>
      <c r="D3789" s="60" t="s">
        <v>144</v>
      </c>
    </row>
    <row r="3790" spans="1:10">
      <c r="A3790" s="2" t="s">
        <v>141</v>
      </c>
      <c r="B3790" s="2">
        <v>0</v>
      </c>
      <c r="C3790" s="2">
        <v>3.3</v>
      </c>
      <c r="D3790" s="60" t="s">
        <v>158</v>
      </c>
    </row>
    <row r="3791" spans="1:10">
      <c r="A3791" s="2" t="s">
        <v>141</v>
      </c>
      <c r="B3791" s="2">
        <v>0</v>
      </c>
      <c r="C3791" s="2">
        <v>11.2</v>
      </c>
      <c r="D3791" s="60" t="s">
        <v>155</v>
      </c>
    </row>
    <row r="3792" spans="1:10">
      <c r="A3792" s="2" t="s">
        <v>141</v>
      </c>
      <c r="B3792" s="2">
        <v>3.3</v>
      </c>
      <c r="C3792" s="2">
        <v>3.8</v>
      </c>
      <c r="D3792" s="60" t="s">
        <v>178</v>
      </c>
    </row>
    <row r="3793" spans="1:10">
      <c r="A3793" s="2" t="s">
        <v>141</v>
      </c>
      <c r="B3793" s="2">
        <v>3.3</v>
      </c>
      <c r="C3793" s="2">
        <v>7.8</v>
      </c>
      <c r="D3793" s="60" t="s">
        <v>147</v>
      </c>
    </row>
    <row r="3794" spans="1:10">
      <c r="A3794" s="2" t="s">
        <v>141</v>
      </c>
      <c r="B3794" s="2">
        <v>3.8</v>
      </c>
      <c r="C3794" s="2">
        <v>4.7</v>
      </c>
      <c r="D3794" s="60" t="s">
        <v>158</v>
      </c>
    </row>
    <row r="3795" spans="1:10">
      <c r="A3795" s="2" t="s">
        <v>141</v>
      </c>
      <c r="B3795" s="2">
        <v>4.7</v>
      </c>
      <c r="C3795" s="2">
        <v>5</v>
      </c>
      <c r="D3795" s="60" t="s">
        <v>160</v>
      </c>
    </row>
    <row r="3796" spans="1:10">
      <c r="A3796" s="2" t="s">
        <v>141</v>
      </c>
      <c r="B3796" s="2">
        <v>5</v>
      </c>
      <c r="C3796" s="2">
        <v>7.8</v>
      </c>
      <c r="D3796" s="60" t="s">
        <v>158</v>
      </c>
    </row>
    <row r="3797" spans="1:10">
      <c r="A3797" s="2" t="s">
        <v>141</v>
      </c>
      <c r="B3797" s="2">
        <v>7.8</v>
      </c>
      <c r="C3797" s="2">
        <v>8.1</v>
      </c>
      <c r="D3797" s="60" t="s">
        <v>151</v>
      </c>
    </row>
    <row r="3798" spans="1:10">
      <c r="A3798" s="2" t="s">
        <v>141</v>
      </c>
      <c r="B3798" s="2">
        <v>7.8</v>
      </c>
      <c r="C3798" s="2">
        <v>8.1</v>
      </c>
      <c r="D3798" s="60" t="s">
        <v>160</v>
      </c>
    </row>
    <row r="3799" spans="1:10">
      <c r="A3799" s="2" t="s">
        <v>141</v>
      </c>
      <c r="B3799" s="2">
        <v>8.1</v>
      </c>
      <c r="C3799" s="2">
        <v>18.399999999999999</v>
      </c>
      <c r="D3799" s="60" t="s">
        <v>144</v>
      </c>
    </row>
    <row r="3800" spans="1:10">
      <c r="A3800" s="2" t="s">
        <v>141</v>
      </c>
      <c r="B3800" s="2">
        <v>11.2</v>
      </c>
      <c r="C3800" s="2">
        <v>18.399999999999999</v>
      </c>
      <c r="D3800" s="60" t="s">
        <v>146</v>
      </c>
    </row>
    <row r="3801" spans="1:10">
      <c r="A3801" s="2" t="s">
        <v>148</v>
      </c>
      <c r="B3801" s="2" t="s">
        <v>99</v>
      </c>
      <c r="C3801" s="2">
        <v>6.2549400000000005E-2</v>
      </c>
      <c r="D3801" s="60">
        <v>0</v>
      </c>
      <c r="E3801" s="2">
        <v>0</v>
      </c>
      <c r="F3801" s="2">
        <v>0.3</v>
      </c>
      <c r="G3801" s="2">
        <v>50.120800000000003</v>
      </c>
      <c r="H3801" s="2">
        <v>53.057400000000001</v>
      </c>
      <c r="I3801" s="2">
        <v>0</v>
      </c>
      <c r="J3801" s="2">
        <v>0</v>
      </c>
    </row>
    <row r="3802" spans="1:10">
      <c r="A3802" s="2" t="s">
        <v>148</v>
      </c>
      <c r="B3802" s="2" t="s">
        <v>100</v>
      </c>
      <c r="C3802" s="2">
        <v>1.13445E-2</v>
      </c>
      <c r="D3802" s="60">
        <v>0</v>
      </c>
      <c r="E3802" s="2">
        <v>19.113199999999999</v>
      </c>
      <c r="F3802" s="2">
        <v>3.3289200000000001</v>
      </c>
      <c r="G3802" s="2">
        <v>0</v>
      </c>
      <c r="H3802" s="2">
        <v>10</v>
      </c>
      <c r="I3802" s="2">
        <v>0</v>
      </c>
      <c r="J3802" s="2">
        <v>0</v>
      </c>
    </row>
    <row r="3803" spans="1:10">
      <c r="A3803" s="2" t="s">
        <v>148</v>
      </c>
      <c r="B3803" s="2" t="s">
        <v>98</v>
      </c>
      <c r="C3803" s="2">
        <v>0.12757399999999999</v>
      </c>
      <c r="D3803" s="60">
        <v>0</v>
      </c>
      <c r="E3803" s="2">
        <v>13.4832</v>
      </c>
      <c r="F3803" s="2">
        <v>5.6299599999999996</v>
      </c>
      <c r="G3803" s="2">
        <v>10</v>
      </c>
      <c r="H3803" s="2">
        <v>23.1494</v>
      </c>
      <c r="I3803" s="2">
        <v>0</v>
      </c>
      <c r="J3803" s="2">
        <v>0</v>
      </c>
    </row>
    <row r="3804" spans="1:10">
      <c r="A3804" s="2" t="s">
        <v>148</v>
      </c>
      <c r="B3804" s="2" t="s">
        <v>101</v>
      </c>
      <c r="C3804" s="2">
        <v>5.5741800000000001E-2</v>
      </c>
      <c r="D3804" s="60">
        <v>0</v>
      </c>
      <c r="E3804" s="2">
        <v>12.3</v>
      </c>
      <c r="F3804" s="2">
        <v>1.1832199999999999</v>
      </c>
      <c r="G3804" s="2">
        <v>23.1494</v>
      </c>
      <c r="H3804" s="2">
        <v>25.789200000000001</v>
      </c>
      <c r="I3804" s="2">
        <v>0</v>
      </c>
      <c r="J3804" s="2">
        <v>0</v>
      </c>
    </row>
    <row r="3805" spans="1:10">
      <c r="A3805" s="2" t="s">
        <v>148</v>
      </c>
      <c r="B3805" s="2" t="s">
        <v>63</v>
      </c>
      <c r="C3805" s="2">
        <v>0.28134999999999999</v>
      </c>
      <c r="D3805" s="60">
        <v>19.694500000000001</v>
      </c>
      <c r="E3805" s="2">
        <v>8.3000000000000007</v>
      </c>
      <c r="F3805" s="2">
        <v>4</v>
      </c>
      <c r="G3805" s="2">
        <v>25.789200000000001</v>
      </c>
      <c r="H3805" s="2">
        <v>33.566299999999998</v>
      </c>
      <c r="I3805" s="2">
        <v>0</v>
      </c>
      <c r="J3805" s="2">
        <v>0</v>
      </c>
    </row>
    <row r="3806" spans="1:10">
      <c r="A3806" s="2" t="s">
        <v>148</v>
      </c>
      <c r="B3806" s="2" t="s">
        <v>62</v>
      </c>
      <c r="C3806" s="2">
        <v>0.42264299999999999</v>
      </c>
      <c r="D3806" s="60">
        <v>33.811500000000002</v>
      </c>
      <c r="E3806" s="2">
        <v>4.3</v>
      </c>
      <c r="F3806" s="2">
        <v>4</v>
      </c>
      <c r="G3806" s="2">
        <v>33.566299999999998</v>
      </c>
      <c r="H3806" s="2">
        <v>39.455199999999998</v>
      </c>
      <c r="I3806" s="2">
        <v>0</v>
      </c>
      <c r="J3806" s="2">
        <v>0</v>
      </c>
    </row>
    <row r="3807" spans="1:10">
      <c r="A3807" s="2" t="s">
        <v>148</v>
      </c>
      <c r="B3807" s="2" t="s">
        <v>62</v>
      </c>
      <c r="C3807" s="2">
        <v>0.58362199999999997</v>
      </c>
      <c r="D3807" s="60">
        <v>46.689799999999998</v>
      </c>
      <c r="E3807" s="2">
        <v>0.3</v>
      </c>
      <c r="F3807" s="2">
        <v>4</v>
      </c>
      <c r="G3807" s="2">
        <v>39.455199999999998</v>
      </c>
      <c r="H3807" s="2">
        <v>50.120800000000003</v>
      </c>
      <c r="I3807" s="2">
        <v>0</v>
      </c>
      <c r="J3807" s="2">
        <v>0</v>
      </c>
    </row>
    <row r="3808" spans="1:10">
      <c r="A3808" s="2" t="s">
        <v>138</v>
      </c>
      <c r="B3808" s="2">
        <v>16</v>
      </c>
      <c r="C3808" s="2">
        <v>45.1355</v>
      </c>
      <c r="D3808" s="60" t="s">
        <v>129</v>
      </c>
      <c r="E3808" s="2" t="s">
        <v>149</v>
      </c>
    </row>
    <row r="3809" spans="1:10">
      <c r="A3809" s="2" t="s">
        <v>140</v>
      </c>
      <c r="B3809" s="2">
        <v>0</v>
      </c>
      <c r="C3809" s="2">
        <v>41.8474</v>
      </c>
      <c r="D3809" s="60">
        <v>25.196300000000001</v>
      </c>
    </row>
    <row r="3810" spans="1:10">
      <c r="A3810" s="2" t="s">
        <v>141</v>
      </c>
      <c r="B3810" s="2">
        <v>0</v>
      </c>
      <c r="C3810" s="2">
        <v>1.3</v>
      </c>
      <c r="D3810" s="60" t="s">
        <v>147</v>
      </c>
    </row>
    <row r="3811" spans="1:10">
      <c r="A3811" s="2" t="s">
        <v>141</v>
      </c>
      <c r="B3811" s="2">
        <v>0</v>
      </c>
      <c r="C3811" s="2">
        <v>4.9000000000000004</v>
      </c>
      <c r="D3811" s="60" t="s">
        <v>155</v>
      </c>
    </row>
    <row r="3812" spans="1:10">
      <c r="A3812" s="2" t="s">
        <v>141</v>
      </c>
      <c r="B3812" s="2">
        <v>1.3</v>
      </c>
      <c r="C3812" s="2">
        <v>4.9000000000000004</v>
      </c>
      <c r="D3812" s="60" t="s">
        <v>144</v>
      </c>
    </row>
    <row r="3813" spans="1:10">
      <c r="A3813" s="2" t="s">
        <v>141</v>
      </c>
      <c r="B3813" s="2">
        <v>4.9000000000000004</v>
      </c>
      <c r="C3813" s="2">
        <v>5.2</v>
      </c>
      <c r="D3813" s="60" t="s">
        <v>153</v>
      </c>
    </row>
    <row r="3814" spans="1:10">
      <c r="A3814" s="2" t="s">
        <v>141</v>
      </c>
      <c r="B3814" s="2">
        <v>4.9000000000000004</v>
      </c>
      <c r="C3814" s="2">
        <v>5.2</v>
      </c>
      <c r="D3814" s="60" t="s">
        <v>154</v>
      </c>
    </row>
    <row r="3815" spans="1:10">
      <c r="A3815" s="2" t="s">
        <v>141</v>
      </c>
      <c r="B3815" s="2">
        <v>4.9000000000000004</v>
      </c>
      <c r="C3815" s="2">
        <v>20.243500000000001</v>
      </c>
      <c r="D3815" s="60" t="s">
        <v>145</v>
      </c>
    </row>
    <row r="3816" spans="1:10">
      <c r="A3816" s="2" t="s">
        <v>141</v>
      </c>
      <c r="B3816" s="2">
        <v>4.9000000000000004</v>
      </c>
      <c r="C3816" s="2">
        <v>20.243500000000001</v>
      </c>
      <c r="D3816" s="60" t="s">
        <v>152</v>
      </c>
    </row>
    <row r="3817" spans="1:10">
      <c r="A3817" s="2" t="s">
        <v>156</v>
      </c>
      <c r="B3817" s="2">
        <v>4.9000000000000004</v>
      </c>
      <c r="C3817" s="2">
        <v>33.203200000000002</v>
      </c>
    </row>
    <row r="3818" spans="1:10">
      <c r="A3818" s="2" t="s">
        <v>148</v>
      </c>
      <c r="B3818" s="2" t="s">
        <v>99</v>
      </c>
      <c r="C3818" s="2">
        <v>4.35942E-2</v>
      </c>
      <c r="D3818" s="60">
        <v>0</v>
      </c>
      <c r="E3818" s="2">
        <v>0</v>
      </c>
      <c r="F3818" s="2">
        <v>0.3</v>
      </c>
      <c r="G3818" s="2">
        <v>41.952300000000001</v>
      </c>
      <c r="H3818" s="2">
        <v>44.1633</v>
      </c>
      <c r="I3818" s="2">
        <v>0</v>
      </c>
      <c r="J3818" s="2">
        <v>0</v>
      </c>
    </row>
    <row r="3819" spans="1:10">
      <c r="A3819" s="2" t="s">
        <v>148</v>
      </c>
      <c r="B3819" s="2" t="s">
        <v>100</v>
      </c>
      <c r="C3819" s="2">
        <v>1.87948E-2</v>
      </c>
      <c r="D3819" s="60">
        <v>0</v>
      </c>
      <c r="E3819" s="2">
        <v>19.130600000000001</v>
      </c>
      <c r="F3819" s="2">
        <v>6.0657699999999997</v>
      </c>
      <c r="G3819" s="2">
        <v>0</v>
      </c>
      <c r="H3819" s="2">
        <v>10</v>
      </c>
      <c r="I3819" s="2">
        <v>0</v>
      </c>
      <c r="J3819" s="2">
        <v>0</v>
      </c>
    </row>
    <row r="3820" spans="1:10">
      <c r="A3820" s="2" t="s">
        <v>148</v>
      </c>
      <c r="B3820" s="2" t="s">
        <v>98</v>
      </c>
      <c r="C3820" s="2">
        <v>0.110457</v>
      </c>
      <c r="D3820" s="60">
        <v>0</v>
      </c>
      <c r="E3820" s="2">
        <v>12.684799999999999</v>
      </c>
      <c r="F3820" s="2">
        <v>6.4457500000000003</v>
      </c>
      <c r="G3820" s="2">
        <v>10</v>
      </c>
      <c r="H3820" s="2">
        <v>18.889500000000002</v>
      </c>
      <c r="I3820" s="2">
        <v>0</v>
      </c>
      <c r="J3820" s="2">
        <v>0</v>
      </c>
    </row>
    <row r="3821" spans="1:10">
      <c r="A3821" s="2" t="s">
        <v>148</v>
      </c>
      <c r="B3821" s="2" t="s">
        <v>101</v>
      </c>
      <c r="C3821" s="2">
        <v>2.3897300000000001E-3</v>
      </c>
      <c r="D3821" s="60">
        <v>0</v>
      </c>
      <c r="E3821" s="2">
        <v>12.6</v>
      </c>
      <c r="F3821" s="2">
        <v>8.4799299999999994E-2</v>
      </c>
      <c r="G3821" s="2">
        <v>18.889500000000002</v>
      </c>
      <c r="H3821" s="2">
        <v>18.995000000000001</v>
      </c>
      <c r="I3821" s="2">
        <v>0</v>
      </c>
      <c r="J3821" s="2">
        <v>0</v>
      </c>
    </row>
    <row r="3822" spans="1:10">
      <c r="A3822" s="2" t="s">
        <v>148</v>
      </c>
      <c r="B3822" s="2" t="s">
        <v>64</v>
      </c>
      <c r="C3822" s="2">
        <v>0.12611900000000001</v>
      </c>
      <c r="D3822" s="60">
        <v>3.7835800000000002</v>
      </c>
      <c r="E3822" s="2">
        <v>9</v>
      </c>
      <c r="F3822" s="2">
        <v>3.6</v>
      </c>
      <c r="G3822" s="2">
        <v>18.995000000000001</v>
      </c>
      <c r="H3822" s="2">
        <v>23.033000000000001</v>
      </c>
      <c r="I3822" s="2">
        <v>0</v>
      </c>
      <c r="J3822" s="2">
        <v>0</v>
      </c>
    </row>
    <row r="3823" spans="1:10">
      <c r="A3823" s="2" t="s">
        <v>148</v>
      </c>
      <c r="B3823" s="2" t="s">
        <v>64</v>
      </c>
      <c r="C3823" s="2">
        <v>0.18353900000000001</v>
      </c>
      <c r="D3823" s="60">
        <v>5.5061799999999996</v>
      </c>
      <c r="E3823" s="2">
        <v>5.2</v>
      </c>
      <c r="F3823" s="2">
        <v>3.8</v>
      </c>
      <c r="G3823" s="2">
        <v>23.033000000000001</v>
      </c>
      <c r="H3823" s="2">
        <v>26.398599999999998</v>
      </c>
      <c r="I3823" s="2">
        <v>0</v>
      </c>
      <c r="J3823" s="2">
        <v>0</v>
      </c>
    </row>
    <row r="3824" spans="1:10">
      <c r="A3824" s="2" t="s">
        <v>148</v>
      </c>
      <c r="B3824" s="2" t="s">
        <v>101</v>
      </c>
      <c r="C3824" s="2">
        <v>6.8090899999999996E-2</v>
      </c>
      <c r="D3824" s="60">
        <v>0</v>
      </c>
      <c r="E3824" s="2">
        <v>4.3</v>
      </c>
      <c r="F3824" s="2">
        <v>0.9</v>
      </c>
      <c r="G3824" s="2">
        <v>26.398599999999998</v>
      </c>
      <c r="H3824" s="2">
        <v>33.3598</v>
      </c>
      <c r="I3824" s="2">
        <v>0</v>
      </c>
      <c r="J3824" s="2">
        <v>0</v>
      </c>
    </row>
    <row r="3825" spans="1:10">
      <c r="A3825" s="2" t="s">
        <v>148</v>
      </c>
      <c r="B3825" s="2" t="s">
        <v>62</v>
      </c>
      <c r="C3825" s="2">
        <v>0.41362900000000002</v>
      </c>
      <c r="D3825" s="60">
        <v>33.090299999999999</v>
      </c>
      <c r="E3825" s="2">
        <v>0.3</v>
      </c>
      <c r="F3825" s="2">
        <v>4</v>
      </c>
      <c r="G3825" s="2">
        <v>33.3598</v>
      </c>
      <c r="H3825" s="2">
        <v>41.952300000000001</v>
      </c>
      <c r="I3825" s="2">
        <v>0</v>
      </c>
      <c r="J3825" s="2">
        <v>0</v>
      </c>
    </row>
    <row r="3826" spans="1:10">
      <c r="A3826" s="2" t="s">
        <v>140</v>
      </c>
      <c r="B3826" s="2">
        <v>1</v>
      </c>
      <c r="C3826" s="2">
        <v>19.599699999999999</v>
      </c>
      <c r="D3826" s="60">
        <v>25.196300000000001</v>
      </c>
      <c r="E3826" s="2">
        <v>4.9000000000000004</v>
      </c>
    </row>
    <row r="3827" spans="1:10">
      <c r="A3827" s="2" t="s">
        <v>141</v>
      </c>
      <c r="B3827" s="2">
        <v>4.9000000000000004</v>
      </c>
      <c r="C3827" s="2">
        <v>5.2</v>
      </c>
      <c r="D3827" s="60" t="s">
        <v>153</v>
      </c>
    </row>
    <row r="3828" spans="1:10">
      <c r="A3828" s="2" t="s">
        <v>141</v>
      </c>
      <c r="B3828" s="2">
        <v>4.9000000000000004</v>
      </c>
      <c r="C3828" s="2">
        <v>20.243500000000001</v>
      </c>
      <c r="D3828" s="60" t="s">
        <v>144</v>
      </c>
    </row>
    <row r="3829" spans="1:10">
      <c r="A3829" s="2" t="s">
        <v>141</v>
      </c>
      <c r="B3829" s="2">
        <v>4.9000000000000004</v>
      </c>
      <c r="C3829" s="2">
        <v>20.243500000000001</v>
      </c>
      <c r="D3829" s="60" t="s">
        <v>152</v>
      </c>
    </row>
    <row r="3830" spans="1:10">
      <c r="A3830" s="2" t="s">
        <v>148</v>
      </c>
      <c r="B3830" s="2" t="s">
        <v>100</v>
      </c>
      <c r="C3830" s="2">
        <v>2.9848099999999999E-2</v>
      </c>
      <c r="D3830" s="60">
        <v>0</v>
      </c>
      <c r="E3830" s="2">
        <v>14.8689</v>
      </c>
      <c r="F3830" s="2">
        <v>10.327400000000001</v>
      </c>
      <c r="G3830" s="2">
        <v>0</v>
      </c>
      <c r="H3830" s="2">
        <v>10.0001</v>
      </c>
      <c r="I3830" s="2">
        <v>0</v>
      </c>
      <c r="J3830" s="2">
        <v>0</v>
      </c>
    </row>
    <row r="3831" spans="1:10">
      <c r="A3831" s="2" t="s">
        <v>148</v>
      </c>
      <c r="B3831" s="2" t="s">
        <v>101</v>
      </c>
      <c r="C3831" s="2">
        <v>5.4438800000000003E-4</v>
      </c>
      <c r="D3831" s="60">
        <v>0</v>
      </c>
      <c r="E3831" s="2">
        <v>14.8</v>
      </c>
      <c r="F3831" s="2">
        <v>6.8907700000000002E-2</v>
      </c>
      <c r="G3831" s="2">
        <v>10.0001</v>
      </c>
      <c r="H3831" s="2">
        <v>10.0586</v>
      </c>
      <c r="I3831" s="2">
        <v>0</v>
      </c>
      <c r="J3831" s="2">
        <v>0</v>
      </c>
    </row>
    <row r="3832" spans="1:10">
      <c r="A3832" s="2" t="s">
        <v>148</v>
      </c>
      <c r="B3832" s="2" t="s">
        <v>64</v>
      </c>
      <c r="C3832" s="2">
        <v>3.7685499999999997E-2</v>
      </c>
      <c r="D3832" s="60">
        <v>1.1305700000000001</v>
      </c>
      <c r="E3832" s="2">
        <v>11.2</v>
      </c>
      <c r="F3832" s="2">
        <v>3.6</v>
      </c>
      <c r="G3832" s="2">
        <v>10.0586</v>
      </c>
      <c r="H3832" s="2">
        <v>12.893700000000001</v>
      </c>
      <c r="I3832" s="2">
        <v>0</v>
      </c>
      <c r="J3832" s="2">
        <v>0</v>
      </c>
    </row>
    <row r="3833" spans="1:10">
      <c r="A3833" s="2" t="s">
        <v>148</v>
      </c>
      <c r="B3833" s="2" t="s">
        <v>64</v>
      </c>
      <c r="C3833" s="2">
        <v>0.103631</v>
      </c>
      <c r="D3833" s="60">
        <v>3.10893</v>
      </c>
      <c r="E3833" s="2">
        <v>5.2</v>
      </c>
      <c r="F3833" s="2">
        <v>6</v>
      </c>
      <c r="G3833" s="2">
        <v>12.893700000000001</v>
      </c>
      <c r="H3833" s="2">
        <v>16.466799999999999</v>
      </c>
      <c r="I3833" s="2">
        <v>0</v>
      </c>
      <c r="J3833" s="2">
        <v>0</v>
      </c>
    </row>
    <row r="3834" spans="1:10">
      <c r="A3834" s="2" t="s">
        <v>148</v>
      </c>
      <c r="B3834" s="2" t="s">
        <v>101</v>
      </c>
      <c r="C3834" s="2">
        <v>6.4472799999999997E-3</v>
      </c>
      <c r="D3834" s="60">
        <v>0</v>
      </c>
      <c r="E3834" s="2">
        <v>4.9000000000000004</v>
      </c>
      <c r="F3834" s="2">
        <v>0.3</v>
      </c>
      <c r="G3834" s="2">
        <v>16.466799999999999</v>
      </c>
      <c r="H3834" s="2">
        <v>16.616499999999998</v>
      </c>
      <c r="I3834" s="2">
        <v>0</v>
      </c>
      <c r="J3834" s="2">
        <v>0</v>
      </c>
    </row>
    <row r="3835" spans="1:10">
      <c r="A3835" s="2" t="s">
        <v>138</v>
      </c>
      <c r="B3835" s="2">
        <v>17</v>
      </c>
      <c r="C3835" s="2">
        <v>40.518700000000003</v>
      </c>
      <c r="D3835" s="60" t="s">
        <v>129</v>
      </c>
      <c r="E3835" s="2" t="s">
        <v>149</v>
      </c>
    </row>
    <row r="3836" spans="1:10">
      <c r="A3836" s="2" t="s">
        <v>140</v>
      </c>
      <c r="B3836" s="2">
        <v>0</v>
      </c>
      <c r="C3836" s="2">
        <v>33.102200000000003</v>
      </c>
      <c r="D3836" s="60">
        <v>24.122699999999998</v>
      </c>
    </row>
    <row r="3837" spans="1:10">
      <c r="A3837" s="2" t="s">
        <v>141</v>
      </c>
      <c r="B3837" s="2">
        <v>0</v>
      </c>
      <c r="C3837" s="2">
        <v>2.5</v>
      </c>
      <c r="D3837" s="60" t="s">
        <v>144</v>
      </c>
    </row>
    <row r="3838" spans="1:10">
      <c r="A3838" s="2" t="s">
        <v>141</v>
      </c>
      <c r="B3838" s="2">
        <v>0</v>
      </c>
      <c r="C3838" s="2">
        <v>6.3</v>
      </c>
      <c r="D3838" s="60" t="s">
        <v>146</v>
      </c>
    </row>
    <row r="3839" spans="1:10">
      <c r="A3839" s="2" t="s">
        <v>141</v>
      </c>
      <c r="B3839" s="2">
        <v>2.5</v>
      </c>
      <c r="C3839" s="2">
        <v>6.3</v>
      </c>
      <c r="D3839" s="60" t="s">
        <v>142</v>
      </c>
    </row>
    <row r="3840" spans="1:10">
      <c r="A3840" s="2" t="s">
        <v>141</v>
      </c>
      <c r="B3840" s="2">
        <v>6.3</v>
      </c>
      <c r="C3840" s="2">
        <v>6.8</v>
      </c>
      <c r="D3840" s="60" t="s">
        <v>159</v>
      </c>
    </row>
    <row r="3841" spans="1:18">
      <c r="A3841" s="2" t="s">
        <v>141</v>
      </c>
      <c r="B3841" s="2">
        <v>6.3</v>
      </c>
      <c r="C3841" s="2">
        <v>8</v>
      </c>
      <c r="D3841" s="60" t="s">
        <v>144</v>
      </c>
    </row>
    <row r="3842" spans="1:18">
      <c r="A3842" s="2" t="s">
        <v>141</v>
      </c>
      <c r="B3842" s="2">
        <v>6.8</v>
      </c>
      <c r="C3842" s="2">
        <v>19.524899999999999</v>
      </c>
      <c r="D3842" s="60" t="s">
        <v>152</v>
      </c>
    </row>
    <row r="3843" spans="1:18">
      <c r="A3843" s="2" t="s">
        <v>141</v>
      </c>
      <c r="B3843" s="2">
        <v>8</v>
      </c>
      <c r="C3843" s="2">
        <v>8.3000000000000007</v>
      </c>
      <c r="D3843" s="60" t="s">
        <v>145</v>
      </c>
    </row>
    <row r="3844" spans="1:18">
      <c r="A3844" s="2" t="s">
        <v>141</v>
      </c>
      <c r="B3844" s="2">
        <v>8.3000000000000007</v>
      </c>
      <c r="C3844" s="2">
        <v>19.524899999999999</v>
      </c>
      <c r="D3844" s="60" t="s">
        <v>144</v>
      </c>
    </row>
    <row r="3845" spans="1:18">
      <c r="A3845" s="2" t="s">
        <v>148</v>
      </c>
      <c r="B3845" s="2" t="s">
        <v>99</v>
      </c>
      <c r="C3845" s="2">
        <v>2.8575099999999999E-2</v>
      </c>
      <c r="D3845" s="60">
        <v>0</v>
      </c>
      <c r="E3845" s="2">
        <v>0</v>
      </c>
      <c r="F3845" s="2">
        <v>0.3</v>
      </c>
      <c r="G3845" s="2">
        <v>33.932699999999997</v>
      </c>
      <c r="H3845" s="2">
        <v>35.793999999999997</v>
      </c>
      <c r="I3845" s="2">
        <v>0</v>
      </c>
      <c r="J3845" s="2">
        <v>0</v>
      </c>
    </row>
    <row r="3846" spans="1:18">
      <c r="A3846" s="2" t="s">
        <v>148</v>
      </c>
      <c r="B3846" s="2" t="s">
        <v>100</v>
      </c>
      <c r="C3846" s="2">
        <v>1.8043699999999999E-2</v>
      </c>
      <c r="D3846" s="60">
        <v>0</v>
      </c>
      <c r="E3846" s="2">
        <v>18.2956</v>
      </c>
      <c r="F3846" s="2">
        <v>5.8271699999999997</v>
      </c>
      <c r="G3846" s="2">
        <v>0</v>
      </c>
      <c r="H3846" s="2">
        <v>10</v>
      </c>
      <c r="I3846" s="2">
        <v>0</v>
      </c>
      <c r="J3846" s="2">
        <v>0</v>
      </c>
    </row>
    <row r="3847" spans="1:18">
      <c r="A3847" s="2" t="s">
        <v>148</v>
      </c>
      <c r="B3847" s="2" t="s">
        <v>98</v>
      </c>
      <c r="C3847" s="2">
        <v>3.6986200000000002E-6</v>
      </c>
      <c r="D3847" s="60">
        <v>0</v>
      </c>
      <c r="E3847" s="2">
        <v>18.295100000000001</v>
      </c>
      <c r="F3847" s="2">
        <v>4.70889E-4</v>
      </c>
      <c r="G3847" s="2">
        <v>10</v>
      </c>
      <c r="H3847" s="2">
        <v>10.0007</v>
      </c>
      <c r="I3847" s="2">
        <v>0</v>
      </c>
      <c r="J3847" s="2">
        <v>0</v>
      </c>
    </row>
    <row r="3848" spans="1:18">
      <c r="A3848" s="2" t="s">
        <v>148</v>
      </c>
      <c r="B3848" s="2" t="s">
        <v>101</v>
      </c>
      <c r="C3848" s="2">
        <v>7.5748199999999997E-4</v>
      </c>
      <c r="D3848" s="60">
        <v>0</v>
      </c>
      <c r="E3848" s="2">
        <v>18.2</v>
      </c>
      <c r="F3848" s="2">
        <v>9.5084799999999997E-2</v>
      </c>
      <c r="G3848" s="2">
        <v>10.0007</v>
      </c>
      <c r="H3848" s="2">
        <v>10.1418</v>
      </c>
      <c r="I3848" s="2">
        <v>0</v>
      </c>
      <c r="J3848" s="2">
        <v>0</v>
      </c>
    </row>
    <row r="3849" spans="1:18">
      <c r="A3849" s="2" t="s">
        <v>148</v>
      </c>
      <c r="B3849" s="2" t="s">
        <v>64</v>
      </c>
      <c r="C3849" s="2">
        <v>8.6767899999999995E-2</v>
      </c>
      <c r="D3849" s="60">
        <v>2.60304</v>
      </c>
      <c r="E3849" s="2">
        <v>12.8</v>
      </c>
      <c r="F3849" s="2">
        <v>5.4</v>
      </c>
      <c r="G3849" s="2">
        <v>10.1418</v>
      </c>
      <c r="H3849" s="2">
        <v>17.9682</v>
      </c>
      <c r="I3849" s="2">
        <v>0</v>
      </c>
      <c r="J3849" s="2">
        <v>0</v>
      </c>
    </row>
    <row r="3850" spans="1:18">
      <c r="A3850" s="2" t="s">
        <v>148</v>
      </c>
      <c r="B3850" s="2" t="s">
        <v>64</v>
      </c>
      <c r="C3850" s="2">
        <v>0.221081</v>
      </c>
      <c r="D3850" s="60">
        <v>6.6324399999999999</v>
      </c>
      <c r="E3850" s="2">
        <v>6.8</v>
      </c>
      <c r="F3850" s="2">
        <v>6</v>
      </c>
      <c r="G3850" s="2">
        <v>17.9682</v>
      </c>
      <c r="H3850" s="2">
        <v>24.736899999999999</v>
      </c>
      <c r="I3850" s="2">
        <v>0</v>
      </c>
      <c r="J3850" s="2">
        <v>0</v>
      </c>
    </row>
    <row r="3851" spans="1:18">
      <c r="A3851" s="2" t="s">
        <v>148</v>
      </c>
      <c r="B3851" s="2" t="s">
        <v>101</v>
      </c>
      <c r="C3851" s="2">
        <v>2.4472500000000001E-2</v>
      </c>
      <c r="D3851" s="60">
        <v>0</v>
      </c>
      <c r="E3851" s="2">
        <v>6.3</v>
      </c>
      <c r="F3851" s="2">
        <v>0.5</v>
      </c>
      <c r="G3851" s="2">
        <v>24.736899999999999</v>
      </c>
      <c r="H3851" s="2">
        <v>25.1874</v>
      </c>
      <c r="I3851" s="2">
        <v>0</v>
      </c>
      <c r="J3851" s="2">
        <v>0</v>
      </c>
    </row>
    <row r="3852" spans="1:18">
      <c r="A3852" s="2" t="s">
        <v>148</v>
      </c>
      <c r="B3852" s="2" t="s">
        <v>60</v>
      </c>
      <c r="C3852" s="2">
        <v>0.37603599999999998</v>
      </c>
      <c r="D3852" s="60">
        <v>33.843299999999999</v>
      </c>
      <c r="E3852" s="2">
        <v>0.3</v>
      </c>
      <c r="F3852" s="2">
        <v>6</v>
      </c>
      <c r="G3852" s="2">
        <v>25.1874</v>
      </c>
      <c r="H3852" s="2">
        <v>33.932699999999997</v>
      </c>
      <c r="I3852" s="2">
        <v>0</v>
      </c>
      <c r="J3852" s="2">
        <v>0</v>
      </c>
    </row>
    <row r="3853" spans="1:18">
      <c r="A3853" s="2" t="s">
        <v>130</v>
      </c>
      <c r="B3853" s="2" t="s">
        <v>131</v>
      </c>
      <c r="C3853" s="2" t="s">
        <v>162</v>
      </c>
      <c r="D3853" s="60" t="s">
        <v>133</v>
      </c>
      <c r="E3853" s="2">
        <v>11</v>
      </c>
      <c r="F3853" s="2">
        <v>2016</v>
      </c>
    </row>
    <row r="3854" spans="1:18">
      <c r="A3854" s="2" t="s">
        <v>191</v>
      </c>
      <c r="B3854" s="2" t="s">
        <v>263</v>
      </c>
      <c r="C3854" s="2" t="s">
        <v>264</v>
      </c>
      <c r="D3854" s="60" t="s">
        <v>265</v>
      </c>
      <c r="E3854" s="2" t="s">
        <v>165</v>
      </c>
      <c r="F3854" s="2" t="s">
        <v>166</v>
      </c>
      <c r="G3854" s="2" t="s">
        <v>266</v>
      </c>
      <c r="H3854" s="2" t="s">
        <v>267</v>
      </c>
      <c r="I3854" s="2" t="s">
        <v>268</v>
      </c>
      <c r="J3854" s="2" t="s">
        <v>194</v>
      </c>
      <c r="K3854" s="2" t="s">
        <v>195</v>
      </c>
      <c r="L3854" s="2" t="s">
        <v>269</v>
      </c>
      <c r="M3854" s="2" t="s">
        <v>216</v>
      </c>
      <c r="N3854" s="2" t="s">
        <v>270</v>
      </c>
      <c r="O3854" s="2" t="s">
        <v>197</v>
      </c>
      <c r="P3854" s="2" t="s">
        <v>200</v>
      </c>
      <c r="Q3854" s="2" t="s">
        <v>201</v>
      </c>
      <c r="R3854" s="2" t="s">
        <v>202</v>
      </c>
    </row>
    <row r="3855" spans="1:18">
      <c r="A3855" s="2" t="s">
        <v>134</v>
      </c>
      <c r="B3855" s="2" t="s">
        <v>75</v>
      </c>
      <c r="C3855" s="2">
        <v>28</v>
      </c>
      <c r="D3855" s="60" t="s">
        <v>271</v>
      </c>
      <c r="E3855" s="2" t="s">
        <v>170</v>
      </c>
      <c r="F3855" s="2" t="s">
        <v>171</v>
      </c>
      <c r="G3855" s="2" t="s">
        <v>128</v>
      </c>
      <c r="H3855" s="2" t="s">
        <v>172</v>
      </c>
      <c r="I3855" s="2" t="s">
        <v>230</v>
      </c>
    </row>
    <row r="3856" spans="1:18">
      <c r="A3856" s="2" t="s">
        <v>138</v>
      </c>
      <c r="B3856" s="2">
        <v>1</v>
      </c>
      <c r="C3856" s="2">
        <v>19.820399999999999</v>
      </c>
      <c r="D3856" s="60" t="s">
        <v>129</v>
      </c>
      <c r="E3856" s="2" t="s">
        <v>139</v>
      </c>
    </row>
    <row r="3857" spans="1:10">
      <c r="A3857" s="2" t="s">
        <v>140</v>
      </c>
      <c r="B3857" s="2">
        <v>0</v>
      </c>
      <c r="C3857" s="2">
        <v>70.360200000000006</v>
      </c>
      <c r="D3857" s="60">
        <v>26.14</v>
      </c>
    </row>
    <row r="3858" spans="1:10">
      <c r="A3858" s="2" t="s">
        <v>141</v>
      </c>
      <c r="B3858" s="2">
        <v>0</v>
      </c>
      <c r="C3858" s="2">
        <v>6.5</v>
      </c>
      <c r="D3858" s="60" t="s">
        <v>142</v>
      </c>
    </row>
    <row r="3859" spans="1:10">
      <c r="A3859" s="2" t="s">
        <v>141</v>
      </c>
      <c r="B3859" s="2">
        <v>0</v>
      </c>
      <c r="C3859" s="2">
        <v>8.1</v>
      </c>
      <c r="D3859" s="60" t="s">
        <v>146</v>
      </c>
    </row>
    <row r="3860" spans="1:10">
      <c r="A3860" s="2" t="s">
        <v>141</v>
      </c>
      <c r="B3860" s="2">
        <v>6.5</v>
      </c>
      <c r="C3860" s="2">
        <v>8.1</v>
      </c>
      <c r="D3860" s="60" t="s">
        <v>144</v>
      </c>
    </row>
    <row r="3861" spans="1:10">
      <c r="A3861" s="2" t="s">
        <v>141</v>
      </c>
      <c r="B3861" s="2">
        <v>8.1</v>
      </c>
      <c r="C3861" s="2">
        <v>8.1999999999999993</v>
      </c>
      <c r="D3861" s="60" t="s">
        <v>159</v>
      </c>
    </row>
    <row r="3862" spans="1:10">
      <c r="A3862" s="2" t="s">
        <v>141</v>
      </c>
      <c r="B3862" s="2">
        <v>8.1</v>
      </c>
      <c r="C3862" s="2">
        <v>20.8</v>
      </c>
      <c r="D3862" s="60" t="s">
        <v>147</v>
      </c>
    </row>
    <row r="3863" spans="1:10">
      <c r="A3863" s="2" t="s">
        <v>141</v>
      </c>
      <c r="B3863" s="2">
        <v>8.1999999999999993</v>
      </c>
      <c r="C3863" s="2">
        <v>20.8</v>
      </c>
      <c r="D3863" s="60" t="s">
        <v>146</v>
      </c>
    </row>
    <row r="3864" spans="1:10">
      <c r="A3864" s="2" t="s">
        <v>148</v>
      </c>
      <c r="B3864" s="2" t="s">
        <v>99</v>
      </c>
      <c r="C3864" s="2">
        <v>0.11078499999999999</v>
      </c>
      <c r="D3864" s="60">
        <v>0</v>
      </c>
      <c r="E3864" s="2">
        <v>0</v>
      </c>
      <c r="F3864" s="2">
        <v>0.3</v>
      </c>
      <c r="G3864" s="2">
        <v>66.930300000000003</v>
      </c>
      <c r="H3864" s="2">
        <v>70.340400000000002</v>
      </c>
      <c r="I3864" s="2">
        <v>0</v>
      </c>
      <c r="J3864" s="2">
        <v>0</v>
      </c>
    </row>
    <row r="3865" spans="1:10">
      <c r="A3865" s="2" t="s">
        <v>148</v>
      </c>
      <c r="B3865" s="2" t="s">
        <v>100</v>
      </c>
      <c r="C3865" s="2">
        <v>9.3623700000000001E-3</v>
      </c>
      <c r="D3865" s="60">
        <v>0</v>
      </c>
      <c r="E3865" s="2">
        <v>23.560500000000001</v>
      </c>
      <c r="F3865" s="2">
        <v>2.5795300000000001</v>
      </c>
      <c r="G3865" s="2">
        <v>0</v>
      </c>
      <c r="H3865" s="2">
        <v>10.0001</v>
      </c>
      <c r="I3865" s="2">
        <v>0</v>
      </c>
      <c r="J3865" s="2">
        <v>0</v>
      </c>
    </row>
    <row r="3866" spans="1:10">
      <c r="A3866" s="2" t="s">
        <v>148</v>
      </c>
      <c r="B3866" s="2" t="s">
        <v>98</v>
      </c>
      <c r="C3866" s="2">
        <v>0.383876</v>
      </c>
      <c r="D3866" s="60">
        <v>0</v>
      </c>
      <c r="E3866" s="2">
        <v>14.384399999999999</v>
      </c>
      <c r="F3866" s="2">
        <v>9.1760999999999999</v>
      </c>
      <c r="G3866" s="2">
        <v>10.0001</v>
      </c>
      <c r="H3866" s="2">
        <v>34.046799999999998</v>
      </c>
      <c r="I3866" s="2">
        <v>0</v>
      </c>
      <c r="J3866" s="2">
        <v>0</v>
      </c>
    </row>
    <row r="3867" spans="1:10">
      <c r="A3867" s="2" t="s">
        <v>148</v>
      </c>
      <c r="B3867" s="2" t="s">
        <v>101</v>
      </c>
      <c r="C3867" s="2">
        <v>1.7010899999999999E-2</v>
      </c>
      <c r="D3867" s="60">
        <v>0</v>
      </c>
      <c r="E3867" s="2">
        <v>14.2</v>
      </c>
      <c r="F3867" s="2">
        <v>0.184362</v>
      </c>
      <c r="G3867" s="2">
        <v>34.046799999999998</v>
      </c>
      <c r="H3867" s="2">
        <v>34.503</v>
      </c>
      <c r="I3867" s="2">
        <v>0</v>
      </c>
      <c r="J3867" s="2">
        <v>0</v>
      </c>
    </row>
    <row r="3868" spans="1:10">
      <c r="A3868" s="2" t="s">
        <v>148</v>
      </c>
      <c r="B3868" s="2" t="s">
        <v>59</v>
      </c>
      <c r="C3868" s="2">
        <v>0.80682799999999999</v>
      </c>
      <c r="D3868" s="60">
        <v>80.6828</v>
      </c>
      <c r="E3868" s="2">
        <v>8.1999999999999993</v>
      </c>
      <c r="F3868" s="2">
        <v>6</v>
      </c>
      <c r="G3868" s="2">
        <v>34.503</v>
      </c>
      <c r="H3868" s="2">
        <v>47.195</v>
      </c>
      <c r="I3868" s="2">
        <v>0</v>
      </c>
      <c r="J3868" s="2">
        <v>0</v>
      </c>
    </row>
    <row r="3869" spans="1:10">
      <c r="A3869" s="2" t="s">
        <v>148</v>
      </c>
      <c r="B3869" s="2" t="s">
        <v>101</v>
      </c>
      <c r="C3869" s="2">
        <v>0.33556000000000002</v>
      </c>
      <c r="D3869" s="60">
        <v>0</v>
      </c>
      <c r="E3869" s="2">
        <v>6.4</v>
      </c>
      <c r="F3869" s="2">
        <v>1.8</v>
      </c>
      <c r="G3869" s="2">
        <v>47.195</v>
      </c>
      <c r="H3869" s="2">
        <v>50.175899999999999</v>
      </c>
      <c r="I3869" s="2">
        <v>0</v>
      </c>
      <c r="J3869" s="2">
        <v>0</v>
      </c>
    </row>
    <row r="3870" spans="1:10">
      <c r="A3870" s="2" t="s">
        <v>148</v>
      </c>
      <c r="B3870" s="2" t="s">
        <v>55</v>
      </c>
      <c r="C3870" s="2">
        <v>1.4991399999999999</v>
      </c>
      <c r="D3870" s="60">
        <v>217.375</v>
      </c>
      <c r="E3870" s="2">
        <v>0.3</v>
      </c>
      <c r="F3870" s="2">
        <v>6.1</v>
      </c>
      <c r="G3870" s="2">
        <v>50.175899999999999</v>
      </c>
      <c r="H3870" s="2">
        <v>66.930300000000003</v>
      </c>
      <c r="I3870" s="2">
        <v>0</v>
      </c>
      <c r="J3870" s="2">
        <v>0</v>
      </c>
    </row>
    <row r="3871" spans="1:10">
      <c r="A3871" s="2" t="s">
        <v>138</v>
      </c>
      <c r="B3871" s="2">
        <v>2</v>
      </c>
      <c r="C3871" s="2">
        <v>19.369599999999998</v>
      </c>
      <c r="D3871" s="60" t="s">
        <v>129</v>
      </c>
      <c r="E3871" s="2" t="s">
        <v>149</v>
      </c>
    </row>
    <row r="3872" spans="1:10">
      <c r="A3872" s="2" t="s">
        <v>140</v>
      </c>
      <c r="B3872" s="2">
        <v>0</v>
      </c>
      <c r="C3872" s="2">
        <v>46.983499999999999</v>
      </c>
      <c r="D3872" s="60">
        <v>25.820799999999998</v>
      </c>
    </row>
    <row r="3873" spans="1:10">
      <c r="A3873" s="2" t="s">
        <v>141</v>
      </c>
      <c r="B3873" s="2">
        <v>0</v>
      </c>
      <c r="C3873" s="2">
        <v>1.4</v>
      </c>
      <c r="D3873" s="60" t="s">
        <v>190</v>
      </c>
    </row>
    <row r="3874" spans="1:10">
      <c r="A3874" s="2" t="s">
        <v>141</v>
      </c>
      <c r="B3874" s="2">
        <v>0</v>
      </c>
      <c r="C3874" s="2">
        <v>1.4</v>
      </c>
      <c r="D3874" s="60" t="s">
        <v>157</v>
      </c>
    </row>
    <row r="3875" spans="1:10">
      <c r="A3875" s="2" t="s">
        <v>141</v>
      </c>
      <c r="B3875" s="2">
        <v>0</v>
      </c>
      <c r="C3875" s="2">
        <v>7</v>
      </c>
      <c r="D3875" s="60" t="s">
        <v>146</v>
      </c>
    </row>
    <row r="3876" spans="1:10">
      <c r="A3876" s="2" t="s">
        <v>141</v>
      </c>
      <c r="B3876" s="2">
        <v>1.4</v>
      </c>
      <c r="C3876" s="2">
        <v>6.2</v>
      </c>
      <c r="D3876" s="60" t="s">
        <v>144</v>
      </c>
    </row>
    <row r="3877" spans="1:10">
      <c r="A3877" s="2" t="s">
        <v>141</v>
      </c>
      <c r="B3877" s="2">
        <v>6.2</v>
      </c>
      <c r="C3877" s="2">
        <v>20.5566</v>
      </c>
      <c r="D3877" s="60" t="s">
        <v>147</v>
      </c>
    </row>
    <row r="3878" spans="1:10">
      <c r="A3878" s="2" t="s">
        <v>141</v>
      </c>
      <c r="B3878" s="2">
        <v>7</v>
      </c>
      <c r="C3878" s="2">
        <v>7.5</v>
      </c>
      <c r="D3878" s="60" t="s">
        <v>159</v>
      </c>
    </row>
    <row r="3879" spans="1:10">
      <c r="A3879" s="2" t="s">
        <v>141</v>
      </c>
      <c r="B3879" s="2">
        <v>7.5</v>
      </c>
      <c r="C3879" s="2">
        <v>14.4</v>
      </c>
      <c r="D3879" s="60" t="s">
        <v>152</v>
      </c>
    </row>
    <row r="3880" spans="1:10">
      <c r="A3880" s="2" t="s">
        <v>141</v>
      </c>
      <c r="B3880" s="2">
        <v>10</v>
      </c>
      <c r="C3880" s="2">
        <v>10.3</v>
      </c>
      <c r="D3880" s="60" t="s">
        <v>153</v>
      </c>
    </row>
    <row r="3881" spans="1:10">
      <c r="A3881" s="2" t="s">
        <v>141</v>
      </c>
      <c r="B3881" s="2">
        <v>10</v>
      </c>
      <c r="C3881" s="2">
        <v>10.3</v>
      </c>
      <c r="D3881" s="60" t="s">
        <v>154</v>
      </c>
    </row>
    <row r="3882" spans="1:10">
      <c r="A3882" s="2" t="s">
        <v>141</v>
      </c>
      <c r="B3882" s="2">
        <v>14.4</v>
      </c>
      <c r="C3882" s="2">
        <v>20.5566</v>
      </c>
      <c r="D3882" s="60" t="s">
        <v>161</v>
      </c>
    </row>
    <row r="3883" spans="1:10">
      <c r="A3883" s="2" t="s">
        <v>156</v>
      </c>
      <c r="B3883" s="2">
        <v>10</v>
      </c>
      <c r="C3883" s="2">
        <v>32.657200000000003</v>
      </c>
    </row>
    <row r="3884" spans="1:10">
      <c r="A3884" s="2" t="s">
        <v>148</v>
      </c>
      <c r="B3884" s="2" t="s">
        <v>99</v>
      </c>
      <c r="C3884" s="2">
        <v>5.3715899999999997E-2</v>
      </c>
      <c r="D3884" s="60">
        <v>0</v>
      </c>
      <c r="E3884" s="2">
        <v>0</v>
      </c>
      <c r="F3884" s="2">
        <v>0.3</v>
      </c>
      <c r="G3884" s="2">
        <v>46.593000000000004</v>
      </c>
      <c r="H3884" s="2">
        <v>48.994</v>
      </c>
      <c r="I3884" s="2">
        <v>0</v>
      </c>
      <c r="J3884" s="2">
        <v>0</v>
      </c>
    </row>
    <row r="3885" spans="1:10">
      <c r="A3885" s="2" t="s">
        <v>148</v>
      </c>
      <c r="B3885" s="2" t="s">
        <v>100</v>
      </c>
      <c r="C3885" s="2">
        <v>1.9527300000000001E-2</v>
      </c>
      <c r="D3885" s="60">
        <v>0</v>
      </c>
      <c r="E3885" s="2">
        <v>19.498200000000001</v>
      </c>
      <c r="F3885" s="2">
        <v>6.3226300000000002</v>
      </c>
      <c r="G3885" s="2">
        <v>0</v>
      </c>
      <c r="H3885" s="2">
        <v>10</v>
      </c>
      <c r="I3885" s="2">
        <v>0</v>
      </c>
      <c r="J3885" s="2">
        <v>0</v>
      </c>
    </row>
    <row r="3886" spans="1:10">
      <c r="A3886" s="2" t="s">
        <v>148</v>
      </c>
      <c r="B3886" s="2" t="s">
        <v>98</v>
      </c>
      <c r="C3886" s="2">
        <v>0.15134300000000001</v>
      </c>
      <c r="D3886" s="60">
        <v>0</v>
      </c>
      <c r="E3886" s="2">
        <v>11.577500000000001</v>
      </c>
      <c r="F3886" s="2">
        <v>7.9207000000000001</v>
      </c>
      <c r="G3886" s="2">
        <v>10</v>
      </c>
      <c r="H3886" s="2">
        <v>20.258099999999999</v>
      </c>
      <c r="I3886" s="2">
        <v>0</v>
      </c>
      <c r="J3886" s="2">
        <v>0</v>
      </c>
    </row>
    <row r="3887" spans="1:10">
      <c r="A3887" s="2" t="s">
        <v>148</v>
      </c>
      <c r="B3887" s="2" t="s">
        <v>101</v>
      </c>
      <c r="C3887" s="2">
        <v>0.45662000000000003</v>
      </c>
      <c r="D3887" s="60">
        <v>0</v>
      </c>
      <c r="E3887" s="2">
        <v>5.4</v>
      </c>
      <c r="F3887" s="2">
        <v>6.17746</v>
      </c>
      <c r="G3887" s="2">
        <v>20.258099999999999</v>
      </c>
      <c r="H3887" s="2">
        <v>35.9514</v>
      </c>
      <c r="I3887" s="2">
        <v>0</v>
      </c>
      <c r="J3887" s="2">
        <v>0</v>
      </c>
    </row>
    <row r="3888" spans="1:10">
      <c r="A3888" s="2" t="s">
        <v>148</v>
      </c>
      <c r="B3888" s="2" t="s">
        <v>59</v>
      </c>
      <c r="C3888" s="2">
        <v>0.461617</v>
      </c>
      <c r="D3888" s="60">
        <v>46.161700000000003</v>
      </c>
      <c r="E3888" s="2">
        <v>1.4</v>
      </c>
      <c r="F3888" s="2">
        <v>4</v>
      </c>
      <c r="G3888" s="2">
        <v>35.9514</v>
      </c>
      <c r="H3888" s="2">
        <v>41.5608</v>
      </c>
      <c r="I3888" s="2">
        <v>0</v>
      </c>
      <c r="J3888" s="2">
        <v>0</v>
      </c>
    </row>
    <row r="3889" spans="1:10">
      <c r="A3889" s="2" t="s">
        <v>148</v>
      </c>
      <c r="B3889" s="2" t="s">
        <v>101</v>
      </c>
      <c r="C3889" s="2">
        <v>0.16517200000000001</v>
      </c>
      <c r="D3889" s="60">
        <v>0</v>
      </c>
      <c r="E3889" s="2">
        <v>0.3</v>
      </c>
      <c r="F3889" s="2">
        <v>1.1000000000000001</v>
      </c>
      <c r="G3889" s="2">
        <v>41.5608</v>
      </c>
      <c r="H3889" s="2">
        <v>46.593000000000004</v>
      </c>
      <c r="I3889" s="2">
        <v>0</v>
      </c>
      <c r="J3889" s="2">
        <v>0</v>
      </c>
    </row>
    <row r="3890" spans="1:10">
      <c r="A3890" s="2" t="s">
        <v>140</v>
      </c>
      <c r="B3890" s="2">
        <v>1</v>
      </c>
      <c r="C3890" s="2">
        <v>26.2544</v>
      </c>
      <c r="D3890" s="60">
        <v>25.820799999999998</v>
      </c>
      <c r="E3890" s="2">
        <v>10</v>
      </c>
    </row>
    <row r="3891" spans="1:10">
      <c r="A3891" s="2" t="s">
        <v>141</v>
      </c>
      <c r="B3891" s="2">
        <v>10</v>
      </c>
      <c r="C3891" s="2">
        <v>10.3</v>
      </c>
      <c r="D3891" s="60" t="s">
        <v>153</v>
      </c>
    </row>
    <row r="3892" spans="1:10">
      <c r="A3892" s="2" t="s">
        <v>141</v>
      </c>
      <c r="B3892" s="2">
        <v>10</v>
      </c>
      <c r="C3892" s="2">
        <v>20.5566</v>
      </c>
      <c r="D3892" s="60" t="s">
        <v>144</v>
      </c>
    </row>
    <row r="3893" spans="1:10">
      <c r="A3893" s="2" t="s">
        <v>141</v>
      </c>
      <c r="B3893" s="2">
        <v>10</v>
      </c>
      <c r="C3893" s="2">
        <v>20.5566</v>
      </c>
      <c r="D3893" s="60" t="s">
        <v>152</v>
      </c>
    </row>
    <row r="3894" spans="1:10">
      <c r="A3894" s="2" t="s">
        <v>148</v>
      </c>
      <c r="B3894" s="2" t="s">
        <v>100</v>
      </c>
      <c r="C3894" s="2">
        <v>2.3463299999999999E-2</v>
      </c>
      <c r="D3894" s="60">
        <v>0</v>
      </c>
      <c r="E3894" s="2">
        <v>17.930800000000001</v>
      </c>
      <c r="F3894" s="2">
        <v>7.8899600000000003</v>
      </c>
      <c r="G3894" s="2">
        <v>0</v>
      </c>
      <c r="H3894" s="2">
        <v>10</v>
      </c>
      <c r="I3894" s="2">
        <v>0</v>
      </c>
      <c r="J3894" s="2">
        <v>0</v>
      </c>
    </row>
    <row r="3895" spans="1:10">
      <c r="A3895" s="2" t="s">
        <v>148</v>
      </c>
      <c r="B3895" s="2" t="s">
        <v>98</v>
      </c>
      <c r="C3895" s="2">
        <v>5.3471699999999997E-2</v>
      </c>
      <c r="D3895" s="60">
        <v>0</v>
      </c>
      <c r="E3895" s="2">
        <v>13.567399999999999</v>
      </c>
      <c r="F3895" s="2">
        <v>4.3634199999999996</v>
      </c>
      <c r="G3895" s="2">
        <v>10</v>
      </c>
      <c r="H3895" s="2">
        <v>14.7422</v>
      </c>
      <c r="I3895" s="2">
        <v>0</v>
      </c>
      <c r="J3895" s="2">
        <v>0</v>
      </c>
    </row>
    <row r="3896" spans="1:10">
      <c r="A3896" s="2" t="s">
        <v>148</v>
      </c>
      <c r="B3896" s="2" t="s">
        <v>101</v>
      </c>
      <c r="C3896" s="2">
        <v>7.6029299999999994E-2</v>
      </c>
      <c r="D3896" s="60">
        <v>0</v>
      </c>
      <c r="E3896" s="2">
        <v>10</v>
      </c>
      <c r="F3896" s="2">
        <v>3.5674000000000001</v>
      </c>
      <c r="G3896" s="2">
        <v>14.7422</v>
      </c>
      <c r="H3896" s="2">
        <v>18.039400000000001</v>
      </c>
      <c r="I3896" s="2">
        <v>0</v>
      </c>
      <c r="J3896" s="2">
        <v>0</v>
      </c>
    </row>
    <row r="3897" spans="1:10">
      <c r="A3897" s="2" t="s">
        <v>138</v>
      </c>
      <c r="B3897" s="2">
        <v>3</v>
      </c>
      <c r="C3897" s="2">
        <v>19.7424</v>
      </c>
      <c r="D3897" s="60" t="s">
        <v>129</v>
      </c>
      <c r="E3897" s="2" t="s">
        <v>149</v>
      </c>
    </row>
    <row r="3898" spans="1:10">
      <c r="A3898" s="2" t="s">
        <v>140</v>
      </c>
      <c r="B3898" s="2">
        <v>0</v>
      </c>
      <c r="C3898" s="2">
        <v>61.698399999999999</v>
      </c>
      <c r="D3898" s="60">
        <v>26.960100000000001</v>
      </c>
    </row>
    <row r="3899" spans="1:10">
      <c r="A3899" s="2" t="s">
        <v>141</v>
      </c>
      <c r="B3899" s="2">
        <v>0</v>
      </c>
      <c r="C3899" s="2">
        <v>6.2</v>
      </c>
      <c r="D3899" s="60" t="s">
        <v>142</v>
      </c>
    </row>
    <row r="3900" spans="1:10">
      <c r="A3900" s="2" t="s">
        <v>141</v>
      </c>
      <c r="B3900" s="2">
        <v>0</v>
      </c>
      <c r="C3900" s="2">
        <v>21.4253</v>
      </c>
      <c r="D3900" s="60" t="s">
        <v>146</v>
      </c>
    </row>
    <row r="3901" spans="1:10">
      <c r="A3901" s="2" t="s">
        <v>141</v>
      </c>
      <c r="B3901" s="2">
        <v>6.2</v>
      </c>
      <c r="C3901" s="2">
        <v>13.1</v>
      </c>
      <c r="D3901" s="60" t="s">
        <v>147</v>
      </c>
    </row>
    <row r="3902" spans="1:10">
      <c r="A3902" s="2" t="s">
        <v>141</v>
      </c>
      <c r="B3902" s="2">
        <v>13.1</v>
      </c>
      <c r="C3902" s="2">
        <v>13.4</v>
      </c>
      <c r="D3902" s="60" t="s">
        <v>153</v>
      </c>
    </row>
    <row r="3903" spans="1:10">
      <c r="A3903" s="2" t="s">
        <v>141</v>
      </c>
      <c r="B3903" s="2">
        <v>13.1</v>
      </c>
      <c r="C3903" s="2">
        <v>13.4</v>
      </c>
      <c r="D3903" s="60" t="s">
        <v>154</v>
      </c>
    </row>
    <row r="3904" spans="1:10">
      <c r="A3904" s="2" t="s">
        <v>141</v>
      </c>
      <c r="B3904" s="2">
        <v>13.1</v>
      </c>
      <c r="C3904" s="2">
        <v>21.4253</v>
      </c>
      <c r="D3904" s="60" t="s">
        <v>145</v>
      </c>
    </row>
    <row r="3905" spans="1:10">
      <c r="A3905" s="2" t="s">
        <v>156</v>
      </c>
      <c r="B3905" s="2">
        <v>13.1</v>
      </c>
      <c r="C3905" s="2">
        <v>40.1036</v>
      </c>
    </row>
    <row r="3906" spans="1:10">
      <c r="A3906" s="2" t="s">
        <v>148</v>
      </c>
      <c r="B3906" s="2" t="s">
        <v>99</v>
      </c>
      <c r="C3906" s="2">
        <v>8.7728899999999999E-2</v>
      </c>
      <c r="D3906" s="60">
        <v>0</v>
      </c>
      <c r="E3906" s="2">
        <v>0</v>
      </c>
      <c r="F3906" s="2">
        <v>0.3</v>
      </c>
      <c r="G3906" s="2">
        <v>59.598300000000002</v>
      </c>
      <c r="H3906" s="2">
        <v>62.549300000000002</v>
      </c>
      <c r="I3906" s="2">
        <v>0</v>
      </c>
      <c r="J3906" s="2">
        <v>0</v>
      </c>
    </row>
    <row r="3907" spans="1:10">
      <c r="A3907" s="2" t="s">
        <v>148</v>
      </c>
      <c r="B3907" s="2" t="s">
        <v>100</v>
      </c>
      <c r="C3907" s="2">
        <v>1.7114399999999998E-2</v>
      </c>
      <c r="D3907" s="60">
        <v>0</v>
      </c>
      <c r="E3907" s="2">
        <v>21.653300000000002</v>
      </c>
      <c r="F3907" s="2">
        <v>5.3067399999999996</v>
      </c>
      <c r="G3907" s="2">
        <v>0</v>
      </c>
      <c r="H3907" s="2">
        <v>10</v>
      </c>
      <c r="I3907" s="2">
        <v>0</v>
      </c>
      <c r="J3907" s="2">
        <v>0</v>
      </c>
    </row>
    <row r="3908" spans="1:10">
      <c r="A3908" s="2" t="s">
        <v>148</v>
      </c>
      <c r="B3908" s="2" t="s">
        <v>98</v>
      </c>
      <c r="C3908" s="2">
        <v>0.31279699999999999</v>
      </c>
      <c r="D3908" s="60">
        <v>0</v>
      </c>
      <c r="E3908" s="2">
        <v>11.890599999999999</v>
      </c>
      <c r="F3908" s="2">
        <v>9.7627600000000001</v>
      </c>
      <c r="G3908" s="2">
        <v>10</v>
      </c>
      <c r="H3908" s="2">
        <v>36.189300000000003</v>
      </c>
      <c r="I3908" s="2">
        <v>0</v>
      </c>
      <c r="J3908" s="2">
        <v>0</v>
      </c>
    </row>
    <row r="3909" spans="1:10">
      <c r="A3909" s="2" t="s">
        <v>148</v>
      </c>
      <c r="B3909" s="2" t="s">
        <v>101</v>
      </c>
      <c r="C3909" s="2">
        <v>4.0980099999999998E-2</v>
      </c>
      <c r="D3909" s="60">
        <v>0</v>
      </c>
      <c r="E3909" s="2">
        <v>11.5</v>
      </c>
      <c r="F3909" s="2">
        <v>0.39055600000000001</v>
      </c>
      <c r="G3909" s="2">
        <v>36.189300000000003</v>
      </c>
      <c r="H3909" s="2">
        <v>36.908900000000003</v>
      </c>
      <c r="I3909" s="2">
        <v>0</v>
      </c>
      <c r="J3909" s="2">
        <v>0</v>
      </c>
    </row>
    <row r="3910" spans="1:10">
      <c r="A3910" s="2" t="s">
        <v>148</v>
      </c>
      <c r="B3910" s="2" t="s">
        <v>59</v>
      </c>
      <c r="C3910" s="2">
        <v>0.82523299999999999</v>
      </c>
      <c r="D3910" s="60">
        <v>82.523300000000006</v>
      </c>
      <c r="E3910" s="2">
        <v>5.5</v>
      </c>
      <c r="F3910" s="2">
        <v>6</v>
      </c>
      <c r="G3910" s="2">
        <v>36.908900000000003</v>
      </c>
      <c r="H3910" s="2">
        <v>46.078800000000001</v>
      </c>
      <c r="I3910" s="2">
        <v>0</v>
      </c>
      <c r="J3910" s="2">
        <v>0</v>
      </c>
    </row>
    <row r="3911" spans="1:10">
      <c r="A3911" s="2" t="s">
        <v>148</v>
      </c>
      <c r="B3911" s="2" t="s">
        <v>55</v>
      </c>
      <c r="C3911" s="2">
        <v>1.0474000000000001</v>
      </c>
      <c r="D3911" s="60">
        <v>151.87299999999999</v>
      </c>
      <c r="E3911" s="2">
        <v>0.3</v>
      </c>
      <c r="F3911" s="2">
        <v>5.2</v>
      </c>
      <c r="G3911" s="2">
        <v>46.078800000000001</v>
      </c>
      <c r="H3911" s="2">
        <v>59.598300000000002</v>
      </c>
      <c r="I3911" s="2">
        <v>0</v>
      </c>
      <c r="J3911" s="2">
        <v>0</v>
      </c>
    </row>
    <row r="3912" spans="1:10">
      <c r="A3912" s="2" t="s">
        <v>140</v>
      </c>
      <c r="B3912" s="2">
        <v>1</v>
      </c>
      <c r="C3912" s="2">
        <v>40.1036</v>
      </c>
      <c r="D3912" s="60">
        <v>26.960100000000001</v>
      </c>
      <c r="E3912" s="2">
        <v>13.1</v>
      </c>
    </row>
    <row r="3913" spans="1:10">
      <c r="A3913" s="2" t="s">
        <v>141</v>
      </c>
      <c r="B3913" s="2">
        <v>13.1</v>
      </c>
      <c r="C3913" s="2">
        <v>13.4</v>
      </c>
      <c r="D3913" s="60" t="s">
        <v>153</v>
      </c>
    </row>
    <row r="3914" spans="1:10">
      <c r="A3914" s="2" t="s">
        <v>141</v>
      </c>
      <c r="B3914" s="2">
        <v>13.1</v>
      </c>
      <c r="C3914" s="2">
        <v>21.4253</v>
      </c>
      <c r="D3914" s="60" t="s">
        <v>144</v>
      </c>
    </row>
    <row r="3915" spans="1:10">
      <c r="A3915" s="2" t="s">
        <v>141</v>
      </c>
      <c r="B3915" s="2">
        <v>13.1</v>
      </c>
      <c r="C3915" s="2">
        <v>21.4253</v>
      </c>
      <c r="D3915" s="60" t="s">
        <v>152</v>
      </c>
    </row>
    <row r="3916" spans="1:10">
      <c r="A3916" s="2" t="s">
        <v>148</v>
      </c>
      <c r="B3916" s="2" t="s">
        <v>100</v>
      </c>
      <c r="C3916" s="2">
        <v>1.7114399999999998E-2</v>
      </c>
      <c r="D3916" s="60">
        <v>0</v>
      </c>
      <c r="E3916" s="2">
        <v>21.653300000000002</v>
      </c>
      <c r="F3916" s="2">
        <v>5.3067399999999996</v>
      </c>
      <c r="G3916" s="2">
        <v>0</v>
      </c>
      <c r="H3916" s="2">
        <v>10</v>
      </c>
      <c r="I3916" s="2">
        <v>0</v>
      </c>
      <c r="J3916" s="2">
        <v>0</v>
      </c>
    </row>
    <row r="3917" spans="1:10">
      <c r="A3917" s="2" t="s">
        <v>148</v>
      </c>
      <c r="B3917" s="2" t="s">
        <v>98</v>
      </c>
      <c r="C3917" s="2">
        <v>6.4194600000000001E-3</v>
      </c>
      <c r="D3917" s="60">
        <v>0</v>
      </c>
      <c r="E3917" s="2">
        <v>20.922000000000001</v>
      </c>
      <c r="F3917" s="2">
        <v>0.73128199999999999</v>
      </c>
      <c r="G3917" s="2">
        <v>10</v>
      </c>
      <c r="H3917" s="2">
        <v>11.136799999999999</v>
      </c>
      <c r="I3917" s="2">
        <v>0</v>
      </c>
      <c r="J3917" s="2">
        <v>0</v>
      </c>
    </row>
    <row r="3918" spans="1:10">
      <c r="A3918" s="2" t="s">
        <v>148</v>
      </c>
      <c r="B3918" s="2" t="s">
        <v>101</v>
      </c>
      <c r="C3918" s="2">
        <v>2.1531499999999999E-4</v>
      </c>
      <c r="D3918" s="60">
        <v>0</v>
      </c>
      <c r="E3918" s="2">
        <v>20.9</v>
      </c>
      <c r="F3918" s="2">
        <v>2.2035200000000001E-2</v>
      </c>
      <c r="G3918" s="2">
        <v>11.136799999999999</v>
      </c>
      <c r="H3918" s="2">
        <v>11.1713</v>
      </c>
      <c r="I3918" s="2">
        <v>0</v>
      </c>
      <c r="J3918" s="2">
        <v>0</v>
      </c>
    </row>
    <row r="3919" spans="1:10">
      <c r="A3919" s="2" t="s">
        <v>148</v>
      </c>
      <c r="B3919" s="2" t="s">
        <v>64</v>
      </c>
      <c r="C3919" s="2">
        <v>5.6310699999999998E-2</v>
      </c>
      <c r="D3919" s="60">
        <v>1.6893199999999999</v>
      </c>
      <c r="E3919" s="2">
        <v>17.3</v>
      </c>
      <c r="F3919" s="2">
        <v>3.6</v>
      </c>
      <c r="G3919" s="2">
        <v>11.1713</v>
      </c>
      <c r="H3919" s="2">
        <v>16.857099999999999</v>
      </c>
      <c r="I3919" s="2">
        <v>0</v>
      </c>
      <c r="J3919" s="2">
        <v>0</v>
      </c>
    </row>
    <row r="3920" spans="1:10">
      <c r="A3920" s="2" t="s">
        <v>148</v>
      </c>
      <c r="B3920" s="2" t="s">
        <v>64</v>
      </c>
      <c r="C3920" s="2">
        <v>0.120925</v>
      </c>
      <c r="D3920" s="60">
        <v>3.6277499999999998</v>
      </c>
      <c r="E3920" s="2">
        <v>13.4</v>
      </c>
      <c r="F3920" s="2">
        <v>3.9</v>
      </c>
      <c r="G3920" s="2">
        <v>16.857099999999999</v>
      </c>
      <c r="H3920" s="2">
        <v>22.616700000000002</v>
      </c>
      <c r="I3920" s="2">
        <v>0</v>
      </c>
      <c r="J3920" s="2">
        <v>0</v>
      </c>
    </row>
    <row r="3921" spans="1:10">
      <c r="A3921" s="2" t="s">
        <v>148</v>
      </c>
      <c r="B3921" s="2" t="s">
        <v>101</v>
      </c>
      <c r="C3921" s="2">
        <v>1.2271499999999999E-2</v>
      </c>
      <c r="D3921" s="60">
        <v>0</v>
      </c>
      <c r="E3921" s="2">
        <v>13.1</v>
      </c>
      <c r="F3921" s="2">
        <v>0.3</v>
      </c>
      <c r="G3921" s="2">
        <v>22.616700000000002</v>
      </c>
      <c r="H3921" s="2">
        <v>23.0246</v>
      </c>
      <c r="I3921" s="2">
        <v>0</v>
      </c>
      <c r="J3921" s="2">
        <v>0</v>
      </c>
    </row>
    <row r="3922" spans="1:10">
      <c r="A3922" s="2" t="s">
        <v>138</v>
      </c>
      <c r="B3922" s="2">
        <v>4</v>
      </c>
      <c r="C3922" s="2">
        <v>19.6995</v>
      </c>
      <c r="D3922" s="60" t="s">
        <v>129</v>
      </c>
      <c r="E3922" s="2" t="s">
        <v>149</v>
      </c>
    </row>
    <row r="3923" spans="1:10">
      <c r="A3923" s="2" t="s">
        <v>140</v>
      </c>
      <c r="B3923" s="2">
        <v>0</v>
      </c>
      <c r="C3923" s="2">
        <v>58.916800000000002</v>
      </c>
      <c r="D3923" s="60">
        <v>26.773399999999999</v>
      </c>
    </row>
    <row r="3924" spans="1:10">
      <c r="A3924" s="2" t="s">
        <v>141</v>
      </c>
      <c r="B3924" s="2">
        <v>0</v>
      </c>
      <c r="C3924" s="2">
        <v>8.8000000000000007</v>
      </c>
      <c r="D3924" s="60" t="s">
        <v>144</v>
      </c>
    </row>
    <row r="3925" spans="1:10">
      <c r="A3925" s="2" t="s">
        <v>141</v>
      </c>
      <c r="B3925" s="2">
        <v>0</v>
      </c>
      <c r="C3925" s="2">
        <v>10.9</v>
      </c>
      <c r="D3925" s="60" t="s">
        <v>146</v>
      </c>
    </row>
    <row r="3926" spans="1:10">
      <c r="A3926" s="2" t="s">
        <v>141</v>
      </c>
      <c r="B3926" s="2">
        <v>8.8000000000000007</v>
      </c>
      <c r="C3926" s="2">
        <v>11.2</v>
      </c>
      <c r="D3926" s="60" t="s">
        <v>147</v>
      </c>
    </row>
    <row r="3927" spans="1:10">
      <c r="A3927" s="2" t="s">
        <v>141</v>
      </c>
      <c r="B3927" s="2">
        <v>10.9</v>
      </c>
      <c r="C3927" s="2">
        <v>11.2</v>
      </c>
      <c r="D3927" s="60" t="s">
        <v>159</v>
      </c>
    </row>
    <row r="3928" spans="1:10">
      <c r="A3928" s="2" t="s">
        <v>141</v>
      </c>
      <c r="B3928" s="2">
        <v>11.2</v>
      </c>
      <c r="C3928" s="2">
        <v>13.3</v>
      </c>
      <c r="D3928" s="60" t="s">
        <v>152</v>
      </c>
    </row>
    <row r="3929" spans="1:10">
      <c r="A3929" s="2" t="s">
        <v>141</v>
      </c>
      <c r="B3929" s="2">
        <v>11.2</v>
      </c>
      <c r="C3929" s="2">
        <v>21.283000000000001</v>
      </c>
      <c r="D3929" s="60" t="s">
        <v>144</v>
      </c>
    </row>
    <row r="3930" spans="1:10">
      <c r="A3930" s="2" t="s">
        <v>141</v>
      </c>
      <c r="B3930" s="2">
        <v>13.3</v>
      </c>
      <c r="C3930" s="2">
        <v>21.283000000000001</v>
      </c>
      <c r="D3930" s="60" t="s">
        <v>146</v>
      </c>
    </row>
    <row r="3931" spans="1:10">
      <c r="A3931" s="2" t="s">
        <v>148</v>
      </c>
      <c r="B3931" s="2" t="s">
        <v>99</v>
      </c>
      <c r="C3931" s="2">
        <v>8.0738400000000002E-2</v>
      </c>
      <c r="D3931" s="60">
        <v>0</v>
      </c>
      <c r="E3931" s="2">
        <v>0</v>
      </c>
      <c r="F3931" s="2">
        <v>0.3</v>
      </c>
      <c r="G3931" s="2">
        <v>57.1663</v>
      </c>
      <c r="H3931" s="2">
        <v>60.0152</v>
      </c>
      <c r="I3931" s="2">
        <v>0</v>
      </c>
      <c r="J3931" s="2">
        <v>0</v>
      </c>
    </row>
    <row r="3932" spans="1:10">
      <c r="A3932" s="2" t="s">
        <v>148</v>
      </c>
      <c r="B3932" s="2" t="s">
        <v>100</v>
      </c>
      <c r="C3932" s="2">
        <v>1.17479E-2</v>
      </c>
      <c r="D3932" s="60">
        <v>0</v>
      </c>
      <c r="E3932" s="2">
        <v>23.425799999999999</v>
      </c>
      <c r="F3932" s="2">
        <v>3.3475899999999998</v>
      </c>
      <c r="G3932" s="2">
        <v>0</v>
      </c>
      <c r="H3932" s="2">
        <v>10</v>
      </c>
      <c r="I3932" s="2">
        <v>0</v>
      </c>
      <c r="J3932" s="2">
        <v>0</v>
      </c>
    </row>
    <row r="3933" spans="1:10">
      <c r="A3933" s="2" t="s">
        <v>148</v>
      </c>
      <c r="B3933" s="2" t="s">
        <v>98</v>
      </c>
      <c r="C3933" s="2">
        <v>5.7183100000000001E-2</v>
      </c>
      <c r="D3933" s="60">
        <v>0</v>
      </c>
      <c r="E3933" s="2">
        <v>19.7728</v>
      </c>
      <c r="F3933" s="2">
        <v>3.6530399999999998</v>
      </c>
      <c r="G3933" s="2">
        <v>10</v>
      </c>
      <c r="H3933" s="2">
        <v>17.964200000000002</v>
      </c>
      <c r="I3933" s="2">
        <v>0</v>
      </c>
      <c r="J3933" s="2">
        <v>0</v>
      </c>
    </row>
    <row r="3934" spans="1:10">
      <c r="A3934" s="2" t="s">
        <v>148</v>
      </c>
      <c r="B3934" s="2" t="s">
        <v>101</v>
      </c>
      <c r="C3934" s="2">
        <v>1.27083E-2</v>
      </c>
      <c r="D3934" s="60">
        <v>0</v>
      </c>
      <c r="E3934" s="2">
        <v>19.3</v>
      </c>
      <c r="F3934" s="2">
        <v>0.47280800000000001</v>
      </c>
      <c r="G3934" s="2">
        <v>17.964200000000002</v>
      </c>
      <c r="H3934" s="2">
        <v>19.029800000000002</v>
      </c>
      <c r="I3934" s="2">
        <v>0</v>
      </c>
      <c r="J3934" s="2">
        <v>0</v>
      </c>
    </row>
    <row r="3935" spans="1:10">
      <c r="A3935" s="2" t="s">
        <v>148</v>
      </c>
      <c r="B3935" s="2" t="s">
        <v>61</v>
      </c>
      <c r="C3935" s="2">
        <v>0.31635400000000002</v>
      </c>
      <c r="D3935" s="60">
        <v>26.8901</v>
      </c>
      <c r="E3935" s="2">
        <v>13.3</v>
      </c>
      <c r="F3935" s="2">
        <v>6</v>
      </c>
      <c r="G3935" s="2">
        <v>19.029800000000002</v>
      </c>
      <c r="H3935" s="2">
        <v>31.927700000000002</v>
      </c>
      <c r="I3935" s="2">
        <v>0</v>
      </c>
      <c r="J3935" s="2">
        <v>0</v>
      </c>
    </row>
    <row r="3936" spans="1:10">
      <c r="A3936" s="2" t="s">
        <v>148</v>
      </c>
      <c r="B3936" s="2" t="s">
        <v>101</v>
      </c>
      <c r="C3936" s="2">
        <v>0.284279</v>
      </c>
      <c r="D3936" s="60">
        <v>0</v>
      </c>
      <c r="E3936" s="2">
        <v>10.3</v>
      </c>
      <c r="F3936" s="2">
        <v>3</v>
      </c>
      <c r="G3936" s="2">
        <v>31.927700000000002</v>
      </c>
      <c r="H3936" s="2">
        <v>37.321300000000001</v>
      </c>
      <c r="I3936" s="2">
        <v>0</v>
      </c>
      <c r="J3936" s="2">
        <v>0</v>
      </c>
    </row>
    <row r="3937" spans="1:10">
      <c r="A3937" s="2" t="s">
        <v>148</v>
      </c>
      <c r="B3937" s="2" t="s">
        <v>59</v>
      </c>
      <c r="C3937" s="2">
        <v>0.51239199999999996</v>
      </c>
      <c r="D3937" s="60">
        <v>51.239199999999997</v>
      </c>
      <c r="E3937" s="2">
        <v>6.3</v>
      </c>
      <c r="F3937" s="2">
        <v>4</v>
      </c>
      <c r="G3937" s="2">
        <v>37.321300000000001</v>
      </c>
      <c r="H3937" s="2">
        <v>43.142899999999997</v>
      </c>
      <c r="I3937" s="2">
        <v>0</v>
      </c>
      <c r="J3937" s="2">
        <v>0</v>
      </c>
    </row>
    <row r="3938" spans="1:10">
      <c r="A3938" s="2" t="s">
        <v>148</v>
      </c>
      <c r="B3938" s="2" t="s">
        <v>58</v>
      </c>
      <c r="C3938" s="2">
        <v>1.08263</v>
      </c>
      <c r="D3938" s="60">
        <v>113.676</v>
      </c>
      <c r="E3938" s="2">
        <v>0.3</v>
      </c>
      <c r="F3938" s="2">
        <v>6</v>
      </c>
      <c r="G3938" s="2">
        <v>43.142899999999997</v>
      </c>
      <c r="H3938" s="2">
        <v>57.1663</v>
      </c>
      <c r="I3938" s="2">
        <v>0</v>
      </c>
      <c r="J3938" s="2">
        <v>0</v>
      </c>
    </row>
    <row r="3939" spans="1:10">
      <c r="A3939" s="2" t="s">
        <v>138</v>
      </c>
      <c r="B3939" s="2">
        <v>5</v>
      </c>
      <c r="C3939" s="2">
        <v>19.273399999999999</v>
      </c>
      <c r="D3939" s="60" t="s">
        <v>129</v>
      </c>
      <c r="E3939" s="2" t="s">
        <v>175</v>
      </c>
    </row>
    <row r="3940" spans="1:10">
      <c r="A3940" s="2" t="s">
        <v>140</v>
      </c>
      <c r="B3940" s="2">
        <v>0</v>
      </c>
      <c r="C3940" s="2">
        <v>44.940600000000003</v>
      </c>
      <c r="D3940" s="60">
        <v>25.628900000000002</v>
      </c>
      <c r="E3940" s="2">
        <v>0</v>
      </c>
      <c r="F3940" s="2">
        <v>11.5</v>
      </c>
    </row>
    <row r="3941" spans="1:10">
      <c r="A3941" s="2" t="s">
        <v>141</v>
      </c>
      <c r="B3941" s="2">
        <v>0</v>
      </c>
      <c r="C3941" s="2">
        <v>6.5</v>
      </c>
      <c r="D3941" s="60" t="s">
        <v>142</v>
      </c>
    </row>
    <row r="3942" spans="1:10">
      <c r="A3942" s="2" t="s">
        <v>141</v>
      </c>
      <c r="B3942" s="2">
        <v>0</v>
      </c>
      <c r="C3942" s="2">
        <v>11</v>
      </c>
      <c r="D3942" s="60" t="s">
        <v>146</v>
      </c>
    </row>
    <row r="3943" spans="1:10">
      <c r="A3943" s="2" t="s">
        <v>141</v>
      </c>
      <c r="B3943" s="2">
        <v>6.5</v>
      </c>
      <c r="C3943" s="2">
        <v>9.3000000000000007</v>
      </c>
      <c r="D3943" s="60" t="s">
        <v>144</v>
      </c>
    </row>
    <row r="3944" spans="1:10">
      <c r="A3944" s="2" t="s">
        <v>141</v>
      </c>
      <c r="B3944" s="2">
        <v>9.3000000000000007</v>
      </c>
      <c r="C3944" s="2">
        <v>20.410299999999999</v>
      </c>
      <c r="D3944" s="60" t="s">
        <v>147</v>
      </c>
    </row>
    <row r="3945" spans="1:10">
      <c r="A3945" s="2" t="s">
        <v>141</v>
      </c>
      <c r="B3945" s="2">
        <v>11</v>
      </c>
      <c r="C3945" s="2">
        <v>20.410299999999999</v>
      </c>
      <c r="D3945" s="60" t="s">
        <v>152</v>
      </c>
    </row>
    <row r="3946" spans="1:10">
      <c r="A3946" s="2" t="s">
        <v>148</v>
      </c>
      <c r="B3946" s="2" t="s">
        <v>99</v>
      </c>
      <c r="C3946" s="2">
        <v>4.9583200000000001E-2</v>
      </c>
      <c r="D3946" s="60">
        <v>0</v>
      </c>
      <c r="E3946" s="2">
        <v>0</v>
      </c>
      <c r="F3946" s="2">
        <v>0.3</v>
      </c>
      <c r="G3946" s="2">
        <v>44.7577</v>
      </c>
      <c r="H3946" s="2">
        <v>47.079900000000002</v>
      </c>
      <c r="I3946" s="2">
        <v>0</v>
      </c>
      <c r="J3946" s="2">
        <v>0</v>
      </c>
    </row>
    <row r="3947" spans="1:10">
      <c r="A3947" s="2" t="s">
        <v>148</v>
      </c>
      <c r="B3947" s="2" t="s">
        <v>101</v>
      </c>
      <c r="C3947" s="2">
        <v>7.2976799999999994E-2</v>
      </c>
      <c r="D3947" s="60">
        <v>0</v>
      </c>
      <c r="E3947" s="2">
        <v>10.3</v>
      </c>
      <c r="F3947" s="2">
        <v>1.2</v>
      </c>
      <c r="G3947" s="2">
        <v>26.947600000000001</v>
      </c>
      <c r="H3947" s="2">
        <v>28.6752</v>
      </c>
      <c r="I3947" s="2">
        <v>0</v>
      </c>
      <c r="J3947" s="2">
        <v>0</v>
      </c>
    </row>
    <row r="3948" spans="1:10">
      <c r="A3948" s="2" t="s">
        <v>148</v>
      </c>
      <c r="B3948" s="2" t="s">
        <v>62</v>
      </c>
      <c r="C3948" s="2">
        <v>0.49501800000000001</v>
      </c>
      <c r="D3948" s="60">
        <v>39.601500000000001</v>
      </c>
      <c r="E3948" s="2">
        <v>4.3</v>
      </c>
      <c r="F3948" s="2">
        <v>6</v>
      </c>
      <c r="G3948" s="2">
        <v>28.6752</v>
      </c>
      <c r="H3948" s="2">
        <v>35.639499999999998</v>
      </c>
      <c r="I3948" s="2">
        <v>0</v>
      </c>
      <c r="J3948" s="2">
        <v>0</v>
      </c>
    </row>
    <row r="3949" spans="1:10">
      <c r="A3949" s="2" t="s">
        <v>148</v>
      </c>
      <c r="B3949" s="2" t="s">
        <v>56</v>
      </c>
      <c r="C3949" s="2">
        <v>0.47159800000000002</v>
      </c>
      <c r="D3949" s="60">
        <v>66.023700000000005</v>
      </c>
      <c r="E3949" s="2">
        <v>0.3</v>
      </c>
      <c r="F3949" s="2">
        <v>4</v>
      </c>
      <c r="G3949" s="2">
        <v>35.639499999999998</v>
      </c>
      <c r="H3949" s="2">
        <v>44.7577</v>
      </c>
      <c r="I3949" s="2">
        <v>0</v>
      </c>
      <c r="J3949" s="2">
        <v>0</v>
      </c>
    </row>
    <row r="3950" spans="1:10">
      <c r="A3950" s="2" t="s">
        <v>138</v>
      </c>
      <c r="B3950" s="2">
        <v>6</v>
      </c>
      <c r="C3950" s="2">
        <v>19.646799999999999</v>
      </c>
      <c r="D3950" s="60" t="s">
        <v>129</v>
      </c>
      <c r="E3950" s="2" t="s">
        <v>149</v>
      </c>
    </row>
    <row r="3951" spans="1:10">
      <c r="A3951" s="2" t="s">
        <v>140</v>
      </c>
      <c r="B3951" s="2">
        <v>0</v>
      </c>
      <c r="C3951" s="2">
        <v>56.115900000000003</v>
      </c>
      <c r="D3951" s="60">
        <v>26.5732</v>
      </c>
    </row>
    <row r="3952" spans="1:10">
      <c r="A3952" s="2" t="s">
        <v>141</v>
      </c>
      <c r="B3952" s="2">
        <v>0</v>
      </c>
      <c r="C3952" s="2">
        <v>7</v>
      </c>
      <c r="D3952" s="60" t="s">
        <v>142</v>
      </c>
    </row>
    <row r="3953" spans="1:10">
      <c r="A3953" s="2" t="s">
        <v>141</v>
      </c>
      <c r="B3953" s="2">
        <v>0</v>
      </c>
      <c r="C3953" s="2">
        <v>12.5</v>
      </c>
      <c r="D3953" s="60" t="s">
        <v>146</v>
      </c>
    </row>
    <row r="3954" spans="1:10">
      <c r="A3954" s="2" t="s">
        <v>141</v>
      </c>
      <c r="B3954" s="2">
        <v>7</v>
      </c>
      <c r="C3954" s="2">
        <v>7.6</v>
      </c>
      <c r="D3954" s="60" t="s">
        <v>144</v>
      </c>
    </row>
    <row r="3955" spans="1:10">
      <c r="A3955" s="2" t="s">
        <v>141</v>
      </c>
      <c r="B3955" s="2">
        <v>7.6</v>
      </c>
      <c r="C3955" s="2">
        <v>12.5</v>
      </c>
      <c r="D3955" s="60" t="s">
        <v>145</v>
      </c>
    </row>
    <row r="3956" spans="1:10">
      <c r="A3956" s="2" t="s">
        <v>141</v>
      </c>
      <c r="B3956" s="2">
        <v>12.5</v>
      </c>
      <c r="C3956" s="2">
        <v>12.8</v>
      </c>
      <c r="D3956" s="60" t="s">
        <v>147</v>
      </c>
    </row>
    <row r="3957" spans="1:10">
      <c r="A3957" s="2" t="s">
        <v>141</v>
      </c>
      <c r="B3957" s="2">
        <v>12.5</v>
      </c>
      <c r="C3957" s="2">
        <v>12.8</v>
      </c>
      <c r="D3957" s="60" t="s">
        <v>159</v>
      </c>
    </row>
    <row r="3958" spans="1:10">
      <c r="A3958" s="2" t="s">
        <v>141</v>
      </c>
      <c r="B3958" s="2">
        <v>12.8</v>
      </c>
      <c r="C3958" s="2">
        <v>21.130299999999998</v>
      </c>
      <c r="D3958" s="60" t="s">
        <v>144</v>
      </c>
    </row>
    <row r="3959" spans="1:10">
      <c r="A3959" s="2" t="s">
        <v>141</v>
      </c>
      <c r="B3959" s="2">
        <v>12.8</v>
      </c>
      <c r="C3959" s="2">
        <v>21.130299999999998</v>
      </c>
      <c r="D3959" s="60" t="s">
        <v>161</v>
      </c>
    </row>
    <row r="3960" spans="1:10">
      <c r="A3960" s="2" t="s">
        <v>148</v>
      </c>
      <c r="B3960" s="2" t="s">
        <v>99</v>
      </c>
      <c r="C3960" s="2">
        <v>7.3960700000000004E-2</v>
      </c>
      <c r="D3960" s="60">
        <v>0</v>
      </c>
      <c r="E3960" s="2">
        <v>0</v>
      </c>
      <c r="F3960" s="2">
        <v>0.3</v>
      </c>
      <c r="G3960" s="2">
        <v>54.7057</v>
      </c>
      <c r="H3960" s="2">
        <v>57.451000000000001</v>
      </c>
      <c r="I3960" s="2">
        <v>0</v>
      </c>
      <c r="J3960" s="2">
        <v>0</v>
      </c>
    </row>
    <row r="3961" spans="1:10">
      <c r="A3961" s="2" t="s">
        <v>148</v>
      </c>
      <c r="B3961" s="2" t="s">
        <v>100</v>
      </c>
      <c r="C3961" s="2">
        <v>1.22778E-2</v>
      </c>
      <c r="D3961" s="60">
        <v>0</v>
      </c>
      <c r="E3961" s="2">
        <v>23.038900000000002</v>
      </c>
      <c r="F3961" s="2">
        <v>3.5342699999999998</v>
      </c>
      <c r="G3961" s="2">
        <v>0</v>
      </c>
      <c r="H3961" s="2">
        <v>10</v>
      </c>
      <c r="I3961" s="2">
        <v>0</v>
      </c>
      <c r="J3961" s="2">
        <v>0</v>
      </c>
    </row>
    <row r="3962" spans="1:10">
      <c r="A3962" s="2" t="s">
        <v>148</v>
      </c>
      <c r="B3962" s="2" t="s">
        <v>98</v>
      </c>
      <c r="C3962" s="2">
        <v>3.5089299999999997E-2</v>
      </c>
      <c r="D3962" s="60">
        <v>0</v>
      </c>
      <c r="E3962" s="2">
        <v>20.348800000000001</v>
      </c>
      <c r="F3962" s="2">
        <v>2.69007</v>
      </c>
      <c r="G3962" s="2">
        <v>10</v>
      </c>
      <c r="H3962" s="2">
        <v>15.6303</v>
      </c>
      <c r="I3962" s="2">
        <v>0</v>
      </c>
      <c r="J3962" s="2">
        <v>0</v>
      </c>
    </row>
    <row r="3963" spans="1:10">
      <c r="A3963" s="2" t="s">
        <v>148</v>
      </c>
      <c r="B3963" s="2" t="s">
        <v>101</v>
      </c>
      <c r="C3963" s="2">
        <v>0.37624099999999999</v>
      </c>
      <c r="D3963" s="60">
        <v>0</v>
      </c>
      <c r="E3963" s="2">
        <v>12.4</v>
      </c>
      <c r="F3963" s="2">
        <v>7.9488300000000001</v>
      </c>
      <c r="G3963" s="2">
        <v>15.6303</v>
      </c>
      <c r="H3963" s="2">
        <v>32.036299999999997</v>
      </c>
      <c r="I3963" s="2">
        <v>0</v>
      </c>
      <c r="J3963" s="2">
        <v>0</v>
      </c>
    </row>
    <row r="3964" spans="1:10">
      <c r="A3964" s="2" t="s">
        <v>148</v>
      </c>
      <c r="B3964" s="2" t="s">
        <v>59</v>
      </c>
      <c r="C3964" s="2">
        <v>0.64334000000000002</v>
      </c>
      <c r="D3964" s="60">
        <v>64.334000000000003</v>
      </c>
      <c r="E3964" s="2">
        <v>6.4</v>
      </c>
      <c r="F3964" s="2">
        <v>6</v>
      </c>
      <c r="G3964" s="2">
        <v>32.036299999999997</v>
      </c>
      <c r="H3964" s="2">
        <v>41.115200000000002</v>
      </c>
      <c r="I3964" s="2">
        <v>0</v>
      </c>
      <c r="J3964" s="2">
        <v>0</v>
      </c>
    </row>
    <row r="3965" spans="1:10">
      <c r="A3965" s="2" t="s">
        <v>148</v>
      </c>
      <c r="B3965" s="2" t="s">
        <v>55</v>
      </c>
      <c r="C3965" s="2">
        <v>1.00376</v>
      </c>
      <c r="D3965" s="60">
        <v>145.54599999999999</v>
      </c>
      <c r="E3965" s="2">
        <v>0.3</v>
      </c>
      <c r="F3965" s="2">
        <v>6.1</v>
      </c>
      <c r="G3965" s="2">
        <v>41.115200000000002</v>
      </c>
      <c r="H3965" s="2">
        <v>54.7057</v>
      </c>
      <c r="I3965" s="2">
        <v>0</v>
      </c>
      <c r="J3965" s="2">
        <v>0</v>
      </c>
    </row>
    <row r="3966" spans="1:10">
      <c r="A3966" s="2" t="s">
        <v>138</v>
      </c>
      <c r="B3966" s="2">
        <v>7</v>
      </c>
      <c r="C3966" s="2">
        <v>19.6159</v>
      </c>
      <c r="D3966" s="60" t="s">
        <v>129</v>
      </c>
      <c r="E3966" s="2" t="s">
        <v>149</v>
      </c>
    </row>
    <row r="3967" spans="1:10">
      <c r="A3967" s="2" t="s">
        <v>140</v>
      </c>
      <c r="B3967" s="2">
        <v>0</v>
      </c>
      <c r="C3967" s="2">
        <v>54.7074</v>
      </c>
      <c r="D3967" s="60">
        <v>26.467500000000001</v>
      </c>
    </row>
    <row r="3968" spans="1:10">
      <c r="A3968" s="2" t="s">
        <v>141</v>
      </c>
      <c r="B3968" s="2">
        <v>0</v>
      </c>
      <c r="C3968" s="2">
        <v>2.2000000000000002</v>
      </c>
      <c r="D3968" s="60" t="s">
        <v>158</v>
      </c>
    </row>
    <row r="3969" spans="1:10">
      <c r="A3969" s="2" t="s">
        <v>141</v>
      </c>
      <c r="B3969" s="2">
        <v>0</v>
      </c>
      <c r="C3969" s="2">
        <v>4.5</v>
      </c>
      <c r="D3969" s="60" t="s">
        <v>144</v>
      </c>
    </row>
    <row r="3970" spans="1:10">
      <c r="A3970" s="2" t="s">
        <v>141</v>
      </c>
      <c r="B3970" s="2">
        <v>0</v>
      </c>
      <c r="C3970" s="2">
        <v>12.6</v>
      </c>
      <c r="D3970" s="60" t="s">
        <v>146</v>
      </c>
    </row>
    <row r="3971" spans="1:10">
      <c r="A3971" s="2" t="s">
        <v>141</v>
      </c>
      <c r="B3971" s="2">
        <v>2.2000000000000002</v>
      </c>
      <c r="C3971" s="2">
        <v>2.4</v>
      </c>
      <c r="D3971" s="60" t="s">
        <v>176</v>
      </c>
    </row>
    <row r="3972" spans="1:10">
      <c r="A3972" s="2" t="s">
        <v>141</v>
      </c>
      <c r="B3972" s="2">
        <v>4.5</v>
      </c>
      <c r="C3972" s="2">
        <v>5.5</v>
      </c>
      <c r="D3972" s="60" t="s">
        <v>147</v>
      </c>
    </row>
    <row r="3973" spans="1:10">
      <c r="A3973" s="2" t="s">
        <v>141</v>
      </c>
      <c r="B3973" s="2">
        <v>5.5</v>
      </c>
      <c r="C3973" s="2">
        <v>5.8</v>
      </c>
      <c r="D3973" s="60" t="s">
        <v>153</v>
      </c>
    </row>
    <row r="3974" spans="1:10">
      <c r="A3974" s="2" t="s">
        <v>141</v>
      </c>
      <c r="B3974" s="2">
        <v>5.5</v>
      </c>
      <c r="C3974" s="2">
        <v>5.8</v>
      </c>
      <c r="D3974" s="60" t="s">
        <v>154</v>
      </c>
    </row>
    <row r="3975" spans="1:10">
      <c r="A3975" s="2" t="s">
        <v>141</v>
      </c>
      <c r="B3975" s="2">
        <v>5.5</v>
      </c>
      <c r="C3975" s="2">
        <v>8.6</v>
      </c>
      <c r="D3975" s="60" t="s">
        <v>144</v>
      </c>
    </row>
    <row r="3976" spans="1:10">
      <c r="A3976" s="2" t="s">
        <v>141</v>
      </c>
      <c r="B3976" s="2">
        <v>8.6</v>
      </c>
      <c r="C3976" s="2">
        <v>15.6</v>
      </c>
      <c r="D3976" s="60" t="s">
        <v>145</v>
      </c>
    </row>
    <row r="3977" spans="1:10">
      <c r="A3977" s="2" t="s">
        <v>141</v>
      </c>
      <c r="B3977" s="2">
        <v>12.6</v>
      </c>
      <c r="C3977" s="2">
        <v>13</v>
      </c>
      <c r="D3977" s="60" t="s">
        <v>159</v>
      </c>
    </row>
    <row r="3978" spans="1:10">
      <c r="A3978" s="2" t="s">
        <v>141</v>
      </c>
      <c r="B3978" s="2">
        <v>13</v>
      </c>
      <c r="C3978" s="2">
        <v>21.049700000000001</v>
      </c>
      <c r="D3978" s="60" t="s">
        <v>146</v>
      </c>
    </row>
    <row r="3979" spans="1:10">
      <c r="A3979" s="2" t="s">
        <v>141</v>
      </c>
      <c r="B3979" s="2">
        <v>15.6</v>
      </c>
      <c r="C3979" s="2">
        <v>21.049700000000001</v>
      </c>
      <c r="D3979" s="60" t="s">
        <v>144</v>
      </c>
    </row>
    <row r="3980" spans="1:10">
      <c r="A3980" s="2" t="s">
        <v>156</v>
      </c>
      <c r="B3980" s="2">
        <v>5.5</v>
      </c>
      <c r="C3980" s="2">
        <v>38.863700000000001</v>
      </c>
    </row>
    <row r="3981" spans="1:10">
      <c r="A3981" s="2" t="s">
        <v>148</v>
      </c>
      <c r="B3981" s="2" t="s">
        <v>99</v>
      </c>
      <c r="C3981" s="2">
        <v>7.0652000000000006E-2</v>
      </c>
      <c r="D3981" s="60">
        <v>0</v>
      </c>
      <c r="E3981" s="2">
        <v>0</v>
      </c>
      <c r="F3981" s="2">
        <v>0.3</v>
      </c>
      <c r="G3981" s="2">
        <v>53.4636</v>
      </c>
      <c r="H3981" s="2">
        <v>56.156399999999998</v>
      </c>
      <c r="I3981" s="2">
        <v>0</v>
      </c>
      <c r="J3981" s="2">
        <v>0</v>
      </c>
    </row>
    <row r="3982" spans="1:10">
      <c r="A3982" s="2" t="s">
        <v>148</v>
      </c>
      <c r="B3982" s="2" t="s">
        <v>100</v>
      </c>
      <c r="C3982" s="2">
        <v>1.7268599999999999E-2</v>
      </c>
      <c r="D3982" s="60">
        <v>0</v>
      </c>
      <c r="E3982" s="2">
        <v>21.075700000000001</v>
      </c>
      <c r="F3982" s="2">
        <v>5.3918100000000004</v>
      </c>
      <c r="G3982" s="2">
        <v>0</v>
      </c>
      <c r="H3982" s="2">
        <v>10</v>
      </c>
      <c r="I3982" s="2">
        <v>0</v>
      </c>
      <c r="J3982" s="2">
        <v>0</v>
      </c>
    </row>
    <row r="3983" spans="1:10">
      <c r="A3983" s="2" t="s">
        <v>148</v>
      </c>
      <c r="B3983" s="2" t="s">
        <v>98</v>
      </c>
      <c r="C3983" s="2">
        <v>7.8078700000000001E-2</v>
      </c>
      <c r="D3983" s="60">
        <v>0</v>
      </c>
      <c r="E3983" s="2">
        <v>16.066099999999999</v>
      </c>
      <c r="F3983" s="2">
        <v>5.0095200000000002</v>
      </c>
      <c r="G3983" s="2">
        <v>10</v>
      </c>
      <c r="H3983" s="2">
        <v>17.791499999999999</v>
      </c>
      <c r="I3983" s="2">
        <v>0</v>
      </c>
      <c r="J3983" s="2">
        <v>0</v>
      </c>
    </row>
    <row r="3984" spans="1:10">
      <c r="A3984" s="2" t="s">
        <v>148</v>
      </c>
      <c r="B3984" s="2" t="s">
        <v>101</v>
      </c>
      <c r="C3984" s="2">
        <v>0.146893</v>
      </c>
      <c r="D3984" s="60">
        <v>0</v>
      </c>
      <c r="E3984" s="2">
        <v>11.8</v>
      </c>
      <c r="F3984" s="2">
        <v>4.26614</v>
      </c>
      <c r="G3984" s="2">
        <v>17.791499999999999</v>
      </c>
      <c r="H3984" s="2">
        <v>23.762499999999999</v>
      </c>
      <c r="I3984" s="2">
        <v>0</v>
      </c>
      <c r="J3984" s="2">
        <v>0</v>
      </c>
    </row>
    <row r="3985" spans="1:10">
      <c r="A3985" s="2" t="s">
        <v>148</v>
      </c>
      <c r="B3985" s="2" t="s">
        <v>60</v>
      </c>
      <c r="C3985" s="2">
        <v>0.34838999999999998</v>
      </c>
      <c r="D3985" s="60">
        <v>31.3551</v>
      </c>
      <c r="E3985" s="2">
        <v>5.8</v>
      </c>
      <c r="F3985" s="2">
        <v>6</v>
      </c>
      <c r="G3985" s="2">
        <v>23.762499999999999</v>
      </c>
      <c r="H3985" s="2">
        <v>30.105799999999999</v>
      </c>
      <c r="I3985" s="2">
        <v>0</v>
      </c>
      <c r="J3985" s="2">
        <v>0</v>
      </c>
    </row>
    <row r="3986" spans="1:10">
      <c r="A3986" s="2" t="s">
        <v>148</v>
      </c>
      <c r="B3986" s="2" t="s">
        <v>101</v>
      </c>
      <c r="C3986" s="2">
        <v>0.187525</v>
      </c>
      <c r="D3986" s="60">
        <v>0</v>
      </c>
      <c r="E3986" s="2">
        <v>4.3</v>
      </c>
      <c r="F3986" s="2">
        <v>1.5</v>
      </c>
      <c r="G3986" s="2">
        <v>30.105799999999999</v>
      </c>
      <c r="H3986" s="2">
        <v>42.679499999999997</v>
      </c>
      <c r="I3986" s="2">
        <v>0</v>
      </c>
      <c r="J3986" s="2">
        <v>0</v>
      </c>
    </row>
    <row r="3987" spans="1:10">
      <c r="A3987" s="2" t="s">
        <v>148</v>
      </c>
      <c r="B3987" s="2" t="s">
        <v>58</v>
      </c>
      <c r="C3987" s="2">
        <v>0.67506900000000003</v>
      </c>
      <c r="D3987" s="60">
        <v>70.882199999999997</v>
      </c>
      <c r="E3987" s="2">
        <v>0.3</v>
      </c>
      <c r="F3987" s="2">
        <v>4</v>
      </c>
      <c r="G3987" s="2">
        <v>42.679499999999997</v>
      </c>
      <c r="H3987" s="2">
        <v>53.4636</v>
      </c>
      <c r="I3987" s="2">
        <v>0</v>
      </c>
      <c r="J3987" s="2">
        <v>0</v>
      </c>
    </row>
    <row r="3988" spans="1:10">
      <c r="A3988" s="2" t="s">
        <v>140</v>
      </c>
      <c r="B3988" s="2">
        <v>1</v>
      </c>
      <c r="C3988" s="2">
        <v>30.405999999999999</v>
      </c>
      <c r="D3988" s="60">
        <v>26.467500000000001</v>
      </c>
      <c r="E3988" s="2">
        <v>5.5</v>
      </c>
    </row>
    <row r="3989" spans="1:10">
      <c r="A3989" s="2" t="s">
        <v>141</v>
      </c>
      <c r="B3989" s="2">
        <v>5.5</v>
      </c>
      <c r="C3989" s="2">
        <v>5.8</v>
      </c>
      <c r="D3989" s="60" t="s">
        <v>153</v>
      </c>
    </row>
    <row r="3990" spans="1:10">
      <c r="A3990" s="2" t="s">
        <v>141</v>
      </c>
      <c r="B3990" s="2">
        <v>5.5</v>
      </c>
      <c r="C3990" s="2">
        <v>8.4</v>
      </c>
      <c r="D3990" s="60" t="s">
        <v>144</v>
      </c>
    </row>
    <row r="3991" spans="1:10">
      <c r="A3991" s="2" t="s">
        <v>141</v>
      </c>
      <c r="B3991" s="2">
        <v>5.5</v>
      </c>
      <c r="C3991" s="2">
        <v>11.2</v>
      </c>
      <c r="D3991" s="60" t="s">
        <v>146</v>
      </c>
    </row>
    <row r="3992" spans="1:10">
      <c r="A3992" s="2" t="s">
        <v>141</v>
      </c>
      <c r="B3992" s="2">
        <v>8.4</v>
      </c>
      <c r="C3992" s="2">
        <v>11.2</v>
      </c>
      <c r="D3992" s="60" t="s">
        <v>145</v>
      </c>
    </row>
    <row r="3993" spans="1:10">
      <c r="A3993" s="2" t="s">
        <v>141</v>
      </c>
      <c r="B3993" s="2">
        <v>11.2</v>
      </c>
      <c r="C3993" s="2">
        <v>21.049700000000001</v>
      </c>
      <c r="D3993" s="60" t="s">
        <v>144</v>
      </c>
    </row>
    <row r="3994" spans="1:10">
      <c r="A3994" s="2" t="s">
        <v>141</v>
      </c>
      <c r="B3994" s="2">
        <v>11.2</v>
      </c>
      <c r="C3994" s="2">
        <v>21.049700000000001</v>
      </c>
      <c r="D3994" s="60" t="s">
        <v>161</v>
      </c>
    </row>
    <row r="3995" spans="1:10">
      <c r="A3995" s="2" t="s">
        <v>148</v>
      </c>
      <c r="B3995" s="2" t="s">
        <v>100</v>
      </c>
      <c r="C3995" s="2">
        <v>2.12455E-2</v>
      </c>
      <c r="D3995" s="60">
        <v>0</v>
      </c>
      <c r="E3995" s="2">
        <v>19.495000000000001</v>
      </c>
      <c r="F3995" s="2">
        <v>6.9724399999999997</v>
      </c>
      <c r="G3995" s="2">
        <v>0</v>
      </c>
      <c r="H3995" s="2">
        <v>10</v>
      </c>
      <c r="I3995" s="2">
        <v>0</v>
      </c>
      <c r="J3995" s="2">
        <v>0</v>
      </c>
    </row>
    <row r="3996" spans="1:10">
      <c r="A3996" s="2" t="s">
        <v>148</v>
      </c>
      <c r="B3996" s="2" t="s">
        <v>98</v>
      </c>
      <c r="C3996" s="2">
        <v>5.2319999999999998E-2</v>
      </c>
      <c r="D3996" s="60">
        <v>0</v>
      </c>
      <c r="E3996" s="2">
        <v>15.353</v>
      </c>
      <c r="F3996" s="2">
        <v>4.1419899999999998</v>
      </c>
      <c r="G3996" s="2">
        <v>10</v>
      </c>
      <c r="H3996" s="2">
        <v>15.1394</v>
      </c>
      <c r="I3996" s="2">
        <v>0</v>
      </c>
      <c r="J3996" s="2">
        <v>0</v>
      </c>
    </row>
    <row r="3997" spans="1:10">
      <c r="A3997" s="2" t="s">
        <v>148</v>
      </c>
      <c r="B3997" s="2" t="s">
        <v>101</v>
      </c>
      <c r="C3997" s="2">
        <v>0.145727</v>
      </c>
      <c r="D3997" s="60">
        <v>0</v>
      </c>
      <c r="E3997" s="2">
        <v>9.8000000000000007</v>
      </c>
      <c r="F3997" s="2">
        <v>5.5530400000000002</v>
      </c>
      <c r="G3997" s="2">
        <v>15.1394</v>
      </c>
      <c r="H3997" s="2">
        <v>20.987400000000001</v>
      </c>
      <c r="I3997" s="2">
        <v>0</v>
      </c>
      <c r="J3997" s="2">
        <v>0</v>
      </c>
    </row>
    <row r="3998" spans="1:10">
      <c r="A3998" s="2" t="s">
        <v>148</v>
      </c>
      <c r="B3998" s="2" t="s">
        <v>61</v>
      </c>
      <c r="C3998" s="2">
        <v>0.161297</v>
      </c>
      <c r="D3998" s="60">
        <v>13.7102</v>
      </c>
      <c r="E3998" s="2">
        <v>5.8</v>
      </c>
      <c r="F3998" s="2">
        <v>4</v>
      </c>
      <c r="G3998" s="2">
        <v>20.987400000000001</v>
      </c>
      <c r="H3998" s="2">
        <v>24.166799999999999</v>
      </c>
      <c r="I3998" s="2">
        <v>0</v>
      </c>
      <c r="J3998" s="2">
        <v>0</v>
      </c>
    </row>
    <row r="3999" spans="1:10">
      <c r="A3999" s="2" t="s">
        <v>148</v>
      </c>
      <c r="B3999" s="2" t="s">
        <v>101</v>
      </c>
      <c r="C3999" s="2">
        <v>1.38827E-2</v>
      </c>
      <c r="D3999" s="60">
        <v>0</v>
      </c>
      <c r="E3999" s="2">
        <v>5.5</v>
      </c>
      <c r="F3999" s="2">
        <v>0.3</v>
      </c>
      <c r="G3999" s="2">
        <v>24.166799999999999</v>
      </c>
      <c r="H3999" s="2">
        <v>24.3797</v>
      </c>
      <c r="I3999" s="2">
        <v>0</v>
      </c>
      <c r="J3999" s="2">
        <v>0</v>
      </c>
    </row>
    <row r="4000" spans="1:10">
      <c r="A4000" s="2" t="s">
        <v>138</v>
      </c>
      <c r="B4000" s="2">
        <v>8</v>
      </c>
      <c r="C4000" s="2">
        <v>18.866299999999999</v>
      </c>
      <c r="D4000" s="60" t="s">
        <v>129</v>
      </c>
      <c r="E4000" s="2" t="s">
        <v>175</v>
      </c>
    </row>
    <row r="4001" spans="1:10">
      <c r="A4001" s="2" t="s">
        <v>140</v>
      </c>
      <c r="B4001" s="2">
        <v>0</v>
      </c>
      <c r="C4001" s="2">
        <v>38.975200000000001</v>
      </c>
      <c r="D4001" s="60">
        <v>25.011600000000001</v>
      </c>
      <c r="E4001" s="2">
        <v>0</v>
      </c>
      <c r="F4001" s="2">
        <v>6.1</v>
      </c>
    </row>
    <row r="4002" spans="1:10">
      <c r="A4002" s="2" t="s">
        <v>141</v>
      </c>
      <c r="B4002" s="2">
        <v>0</v>
      </c>
      <c r="C4002" s="2">
        <v>5</v>
      </c>
      <c r="D4002" s="60" t="s">
        <v>144</v>
      </c>
    </row>
    <row r="4003" spans="1:10">
      <c r="A4003" s="2" t="s">
        <v>141</v>
      </c>
      <c r="B4003" s="2">
        <v>0</v>
      </c>
      <c r="C4003" s="2">
        <v>19.939599999999999</v>
      </c>
      <c r="D4003" s="60" t="s">
        <v>146</v>
      </c>
    </row>
    <row r="4004" spans="1:10">
      <c r="A4004" s="2" t="s">
        <v>141</v>
      </c>
      <c r="B4004" s="2">
        <v>5</v>
      </c>
      <c r="C4004" s="2">
        <v>19.939599999999999</v>
      </c>
      <c r="D4004" s="60" t="s">
        <v>145</v>
      </c>
    </row>
    <row r="4005" spans="1:10">
      <c r="A4005" s="2" t="s">
        <v>148</v>
      </c>
      <c r="B4005" s="2" t="s">
        <v>99</v>
      </c>
      <c r="C4005" s="2">
        <v>3.8365400000000001E-2</v>
      </c>
      <c r="D4005" s="60">
        <v>0</v>
      </c>
      <c r="E4005" s="2">
        <v>0</v>
      </c>
      <c r="F4005" s="2">
        <v>0.3</v>
      </c>
      <c r="G4005" s="2">
        <v>39.349699999999999</v>
      </c>
      <c r="H4005" s="2">
        <v>41.4377</v>
      </c>
      <c r="I4005" s="2">
        <v>0</v>
      </c>
      <c r="J4005" s="2">
        <v>0</v>
      </c>
    </row>
    <row r="4006" spans="1:10">
      <c r="A4006" s="2" t="s">
        <v>148</v>
      </c>
      <c r="B4006" s="2" t="s">
        <v>101</v>
      </c>
      <c r="C4006" s="2">
        <v>0.130962</v>
      </c>
      <c r="D4006" s="60">
        <v>0</v>
      </c>
      <c r="E4006" s="2">
        <v>4.3</v>
      </c>
      <c r="F4006" s="2">
        <v>1.8</v>
      </c>
      <c r="G4006" s="2">
        <v>29.581700000000001</v>
      </c>
      <c r="H4006" s="2">
        <v>31.2715</v>
      </c>
      <c r="I4006" s="2">
        <v>0</v>
      </c>
      <c r="J4006" s="2">
        <v>0</v>
      </c>
    </row>
    <row r="4007" spans="1:10">
      <c r="A4007" s="2" t="s">
        <v>148</v>
      </c>
      <c r="B4007" s="2" t="s">
        <v>59</v>
      </c>
      <c r="C4007" s="2">
        <v>0.36363499999999999</v>
      </c>
      <c r="D4007" s="60">
        <v>36.363500000000002</v>
      </c>
      <c r="E4007" s="2">
        <v>0.3</v>
      </c>
      <c r="F4007" s="2">
        <v>4</v>
      </c>
      <c r="G4007" s="2">
        <v>31.2715</v>
      </c>
      <c r="H4007" s="2">
        <v>39.349699999999999</v>
      </c>
      <c r="I4007" s="2">
        <v>0</v>
      </c>
      <c r="J4007" s="2">
        <v>0</v>
      </c>
    </row>
    <row r="4008" spans="1:10">
      <c r="A4008" s="2" t="s">
        <v>138</v>
      </c>
      <c r="B4008" s="2">
        <v>9</v>
      </c>
      <c r="C4008" s="2">
        <v>19.498999999999999</v>
      </c>
      <c r="D4008" s="60" t="s">
        <v>129</v>
      </c>
      <c r="E4008" s="2" t="s">
        <v>175</v>
      </c>
    </row>
    <row r="4009" spans="1:10">
      <c r="A4009" s="2" t="s">
        <v>140</v>
      </c>
      <c r="B4009" s="2">
        <v>0</v>
      </c>
      <c r="C4009" s="2">
        <v>50.443600000000004</v>
      </c>
      <c r="D4009" s="60">
        <v>26.1252</v>
      </c>
      <c r="E4009" s="2">
        <v>0</v>
      </c>
      <c r="F4009" s="2">
        <v>14.6</v>
      </c>
    </row>
    <row r="4010" spans="1:10">
      <c r="A4010" s="2" t="s">
        <v>141</v>
      </c>
      <c r="B4010" s="2">
        <v>0</v>
      </c>
      <c r="C4010" s="2">
        <v>6.8</v>
      </c>
      <c r="D4010" s="60" t="s">
        <v>142</v>
      </c>
    </row>
    <row r="4011" spans="1:10">
      <c r="A4011" s="2" t="s">
        <v>141</v>
      </c>
      <c r="B4011" s="2">
        <v>0</v>
      </c>
      <c r="C4011" s="2">
        <v>20.788699999999999</v>
      </c>
      <c r="D4011" s="60" t="s">
        <v>146</v>
      </c>
    </row>
    <row r="4012" spans="1:10">
      <c r="A4012" s="2" t="s">
        <v>141</v>
      </c>
      <c r="B4012" s="2">
        <v>6.8</v>
      </c>
      <c r="C4012" s="2">
        <v>11.1</v>
      </c>
      <c r="D4012" s="60" t="s">
        <v>144</v>
      </c>
    </row>
    <row r="4013" spans="1:10">
      <c r="A4013" s="2" t="s">
        <v>141</v>
      </c>
      <c r="B4013" s="2">
        <v>11.1</v>
      </c>
      <c r="C4013" s="2">
        <v>20.788699999999999</v>
      </c>
      <c r="D4013" s="60" t="s">
        <v>147</v>
      </c>
    </row>
    <row r="4014" spans="1:10">
      <c r="A4014" s="2" t="s">
        <v>148</v>
      </c>
      <c r="B4014" s="2" t="s">
        <v>99</v>
      </c>
      <c r="C4014" s="2">
        <v>6.1048499999999999E-2</v>
      </c>
      <c r="D4014" s="60">
        <v>0</v>
      </c>
      <c r="E4014" s="2">
        <v>0</v>
      </c>
      <c r="F4014" s="2">
        <v>0.3</v>
      </c>
      <c r="G4014" s="2">
        <v>49.683799999999998</v>
      </c>
      <c r="H4014" s="2">
        <v>52.216500000000003</v>
      </c>
      <c r="I4014" s="2">
        <v>0</v>
      </c>
      <c r="J4014" s="2">
        <v>0</v>
      </c>
    </row>
    <row r="4015" spans="1:10">
      <c r="A4015" s="2" t="s">
        <v>148</v>
      </c>
      <c r="B4015" s="2" t="s">
        <v>101</v>
      </c>
      <c r="C4015" s="2">
        <v>9.8532800000000007E-3</v>
      </c>
      <c r="D4015" s="60">
        <v>0</v>
      </c>
      <c r="E4015" s="2">
        <v>14.4</v>
      </c>
      <c r="F4015" s="2">
        <v>0.2</v>
      </c>
      <c r="G4015" s="2">
        <v>24.8598</v>
      </c>
      <c r="H4015" s="2">
        <v>25.230399999999999</v>
      </c>
      <c r="I4015" s="2">
        <v>0</v>
      </c>
      <c r="J4015" s="2">
        <v>0</v>
      </c>
    </row>
    <row r="4016" spans="1:10">
      <c r="A4016" s="2" t="s">
        <v>148</v>
      </c>
      <c r="B4016" s="2" t="s">
        <v>63</v>
      </c>
      <c r="C4016" s="2">
        <v>0.26010899999999998</v>
      </c>
      <c r="D4016" s="60">
        <v>18.207599999999999</v>
      </c>
      <c r="E4016" s="2">
        <v>10.4</v>
      </c>
      <c r="F4016" s="2">
        <v>4</v>
      </c>
      <c r="G4016" s="2">
        <v>25.230399999999999</v>
      </c>
      <c r="H4016" s="2">
        <v>31.953299999999999</v>
      </c>
      <c r="I4016" s="2">
        <v>0</v>
      </c>
      <c r="J4016" s="2">
        <v>0</v>
      </c>
    </row>
    <row r="4017" spans="1:10">
      <c r="A4017" s="2" t="s">
        <v>148</v>
      </c>
      <c r="B4017" s="2" t="s">
        <v>59</v>
      </c>
      <c r="C4017" s="2">
        <v>0.37923299999999999</v>
      </c>
      <c r="D4017" s="60">
        <v>37.923299999999998</v>
      </c>
      <c r="E4017" s="2">
        <v>6.4</v>
      </c>
      <c r="F4017" s="2">
        <v>4</v>
      </c>
      <c r="G4017" s="2">
        <v>31.953299999999999</v>
      </c>
      <c r="H4017" s="2">
        <v>37.243299999999998</v>
      </c>
      <c r="I4017" s="2">
        <v>0</v>
      </c>
      <c r="J4017" s="2">
        <v>0</v>
      </c>
    </row>
    <row r="4018" spans="1:10">
      <c r="A4018" s="2" t="s">
        <v>148</v>
      </c>
      <c r="B4018" s="2" t="s">
        <v>56</v>
      </c>
      <c r="C4018" s="2">
        <v>0.82601999999999998</v>
      </c>
      <c r="D4018" s="60">
        <v>115.643</v>
      </c>
      <c r="E4018" s="2">
        <v>0.3</v>
      </c>
      <c r="F4018" s="2">
        <v>6.1</v>
      </c>
      <c r="G4018" s="2">
        <v>37.243299999999998</v>
      </c>
      <c r="H4018" s="2">
        <v>49.683799999999998</v>
      </c>
      <c r="I4018" s="2">
        <v>0</v>
      </c>
      <c r="J4018" s="2">
        <v>0</v>
      </c>
    </row>
    <row r="4019" spans="1:10">
      <c r="A4019" s="2" t="s">
        <v>138</v>
      </c>
      <c r="B4019" s="2">
        <v>10</v>
      </c>
      <c r="C4019" s="2">
        <v>19.658300000000001</v>
      </c>
      <c r="D4019" s="60" t="s">
        <v>129</v>
      </c>
      <c r="E4019" s="2" t="s">
        <v>149</v>
      </c>
    </row>
    <row r="4020" spans="1:10">
      <c r="A4020" s="2" t="s">
        <v>140</v>
      </c>
      <c r="B4020" s="2">
        <v>0</v>
      </c>
      <c r="C4020" s="2">
        <v>56.677799999999998</v>
      </c>
      <c r="D4020" s="60">
        <v>26.6144</v>
      </c>
    </row>
    <row r="4021" spans="1:10">
      <c r="A4021" s="2" t="s">
        <v>141</v>
      </c>
      <c r="B4021" s="2">
        <v>0</v>
      </c>
      <c r="C4021" s="2">
        <v>7.1</v>
      </c>
      <c r="D4021" s="60" t="s">
        <v>142</v>
      </c>
    </row>
    <row r="4022" spans="1:10">
      <c r="A4022" s="2" t="s">
        <v>141</v>
      </c>
      <c r="B4022" s="2">
        <v>0</v>
      </c>
      <c r="C4022" s="2">
        <v>8.9</v>
      </c>
      <c r="D4022" s="60" t="s">
        <v>146</v>
      </c>
    </row>
    <row r="4023" spans="1:10">
      <c r="A4023" s="2" t="s">
        <v>141</v>
      </c>
      <c r="B4023" s="2">
        <v>7.1</v>
      </c>
      <c r="C4023" s="2">
        <v>8.9</v>
      </c>
      <c r="D4023" s="60" t="s">
        <v>144</v>
      </c>
    </row>
    <row r="4024" spans="1:10">
      <c r="A4024" s="2" t="s">
        <v>141</v>
      </c>
      <c r="B4024" s="2">
        <v>7.5</v>
      </c>
      <c r="C4024" s="2">
        <v>7.8</v>
      </c>
      <c r="D4024" s="60" t="s">
        <v>153</v>
      </c>
    </row>
    <row r="4025" spans="1:10">
      <c r="A4025" s="2" t="s">
        <v>141</v>
      </c>
      <c r="B4025" s="2">
        <v>7.5</v>
      </c>
      <c r="C4025" s="2">
        <v>7.8</v>
      </c>
      <c r="D4025" s="60" t="s">
        <v>154</v>
      </c>
    </row>
    <row r="4026" spans="1:10">
      <c r="A4026" s="2" t="s">
        <v>141</v>
      </c>
      <c r="B4026" s="2">
        <v>8.9</v>
      </c>
      <c r="C4026" s="2">
        <v>12.3</v>
      </c>
      <c r="D4026" s="60" t="s">
        <v>145</v>
      </c>
    </row>
    <row r="4027" spans="1:10">
      <c r="A4027" s="2" t="s">
        <v>141</v>
      </c>
      <c r="B4027" s="2">
        <v>8.9</v>
      </c>
      <c r="C4027" s="2">
        <v>12.3</v>
      </c>
      <c r="D4027" s="60" t="s">
        <v>155</v>
      </c>
    </row>
    <row r="4028" spans="1:10">
      <c r="A4028" s="2" t="s">
        <v>141</v>
      </c>
      <c r="B4028" s="2">
        <v>12.3</v>
      </c>
      <c r="C4028" s="2">
        <v>21.1617</v>
      </c>
      <c r="D4028" s="60" t="s">
        <v>144</v>
      </c>
    </row>
    <row r="4029" spans="1:10">
      <c r="A4029" s="2" t="s">
        <v>141</v>
      </c>
      <c r="B4029" s="2">
        <v>12.3</v>
      </c>
      <c r="C4029" s="2">
        <v>21.1617</v>
      </c>
      <c r="D4029" s="60" t="s">
        <v>161</v>
      </c>
    </row>
    <row r="4030" spans="1:10">
      <c r="A4030" s="2" t="s">
        <v>156</v>
      </c>
      <c r="B4030" s="2">
        <v>7.5</v>
      </c>
      <c r="C4030" s="2">
        <v>33.955500000000001</v>
      </c>
    </row>
    <row r="4031" spans="1:10">
      <c r="A4031" s="2" t="s">
        <v>148</v>
      </c>
      <c r="B4031" s="2" t="s">
        <v>99</v>
      </c>
      <c r="C4031" s="2">
        <v>7.5299099999999994E-2</v>
      </c>
      <c r="D4031" s="60">
        <v>0</v>
      </c>
      <c r="E4031" s="2">
        <v>0</v>
      </c>
      <c r="F4031" s="2">
        <v>0.3</v>
      </c>
      <c r="G4031" s="2">
        <v>55.200299999999999</v>
      </c>
      <c r="H4031" s="2">
        <v>57.9664</v>
      </c>
      <c r="I4031" s="2">
        <v>0</v>
      </c>
      <c r="J4031" s="2">
        <v>0</v>
      </c>
    </row>
    <row r="4032" spans="1:10">
      <c r="A4032" s="2" t="s">
        <v>148</v>
      </c>
      <c r="B4032" s="2" t="s">
        <v>100</v>
      </c>
      <c r="C4032" s="2">
        <v>1.9476199999999999E-2</v>
      </c>
      <c r="D4032" s="60">
        <v>0</v>
      </c>
      <c r="E4032" s="2">
        <v>20.357399999999998</v>
      </c>
      <c r="F4032" s="2">
        <v>6.2569600000000003</v>
      </c>
      <c r="G4032" s="2">
        <v>0</v>
      </c>
      <c r="H4032" s="2">
        <v>10</v>
      </c>
      <c r="I4032" s="2">
        <v>0</v>
      </c>
      <c r="J4032" s="2">
        <v>0</v>
      </c>
    </row>
    <row r="4033" spans="1:10">
      <c r="A4033" s="2" t="s">
        <v>148</v>
      </c>
      <c r="B4033" s="2" t="s">
        <v>101</v>
      </c>
      <c r="C4033" s="2">
        <v>0.17410200000000001</v>
      </c>
      <c r="D4033" s="60">
        <v>0</v>
      </c>
      <c r="E4033" s="2">
        <v>11.8</v>
      </c>
      <c r="F4033" s="2">
        <v>8.5573999999999995</v>
      </c>
      <c r="G4033" s="2">
        <v>10</v>
      </c>
      <c r="H4033" s="2">
        <v>21.130600000000001</v>
      </c>
      <c r="I4033" s="2">
        <v>0</v>
      </c>
      <c r="J4033" s="2">
        <v>0</v>
      </c>
    </row>
    <row r="4034" spans="1:10">
      <c r="A4034" s="2" t="s">
        <v>148</v>
      </c>
      <c r="B4034" s="2" t="s">
        <v>63</v>
      </c>
      <c r="C4034" s="2">
        <v>0.16922300000000001</v>
      </c>
      <c r="D4034" s="60">
        <v>11.845599999999999</v>
      </c>
      <c r="E4034" s="2">
        <v>7.8</v>
      </c>
      <c r="F4034" s="2">
        <v>4</v>
      </c>
      <c r="G4034" s="2">
        <v>21.130600000000001</v>
      </c>
      <c r="H4034" s="2">
        <v>25.066800000000001</v>
      </c>
      <c r="I4034" s="2">
        <v>0</v>
      </c>
      <c r="J4034" s="2">
        <v>0</v>
      </c>
    </row>
    <row r="4035" spans="1:10">
      <c r="A4035" s="2" t="s">
        <v>148</v>
      </c>
      <c r="B4035" s="2" t="s">
        <v>101</v>
      </c>
      <c r="C4035" s="2">
        <v>0.158696</v>
      </c>
      <c r="D4035" s="60">
        <v>0</v>
      </c>
      <c r="E4035" s="2">
        <v>6.4</v>
      </c>
      <c r="F4035" s="2">
        <v>1.4</v>
      </c>
      <c r="G4035" s="2">
        <v>25.066800000000001</v>
      </c>
      <c r="H4035" s="2">
        <v>41.496600000000001</v>
      </c>
      <c r="I4035" s="2">
        <v>0</v>
      </c>
      <c r="J4035" s="2">
        <v>0</v>
      </c>
    </row>
    <row r="4036" spans="1:10">
      <c r="A4036" s="2" t="s">
        <v>148</v>
      </c>
      <c r="B4036" s="2" t="s">
        <v>55</v>
      </c>
      <c r="C4036" s="2">
        <v>1.0222100000000001</v>
      </c>
      <c r="D4036" s="60">
        <v>148.22</v>
      </c>
      <c r="E4036" s="2">
        <v>0.3</v>
      </c>
      <c r="F4036" s="2">
        <v>6.1</v>
      </c>
      <c r="G4036" s="2">
        <v>41.496600000000001</v>
      </c>
      <c r="H4036" s="2">
        <v>55.200299999999999</v>
      </c>
      <c r="I4036" s="2">
        <v>0</v>
      </c>
      <c r="J4036" s="2">
        <v>0</v>
      </c>
    </row>
    <row r="4037" spans="1:10">
      <c r="A4037" s="2" t="s">
        <v>140</v>
      </c>
      <c r="B4037" s="2">
        <v>1</v>
      </c>
      <c r="C4037" s="2">
        <v>38.331400000000002</v>
      </c>
      <c r="D4037" s="60">
        <v>26.6144</v>
      </c>
      <c r="E4037" s="2">
        <v>7.5</v>
      </c>
    </row>
    <row r="4038" spans="1:10">
      <c r="A4038" s="2" t="s">
        <v>141</v>
      </c>
      <c r="B4038" s="2">
        <v>7.5</v>
      </c>
      <c r="C4038" s="2">
        <v>7.8</v>
      </c>
      <c r="D4038" s="60" t="s">
        <v>153</v>
      </c>
    </row>
    <row r="4039" spans="1:10">
      <c r="A4039" s="2" t="s">
        <v>141</v>
      </c>
      <c r="B4039" s="2">
        <v>7.5</v>
      </c>
      <c r="C4039" s="2">
        <v>21.1617</v>
      </c>
      <c r="D4039" s="60" t="s">
        <v>144</v>
      </c>
    </row>
    <row r="4040" spans="1:10">
      <c r="A4040" s="2" t="s">
        <v>141</v>
      </c>
      <c r="B4040" s="2">
        <v>7.5</v>
      </c>
      <c r="C4040" s="2">
        <v>21.1617</v>
      </c>
      <c r="D4040" s="60" t="s">
        <v>152</v>
      </c>
    </row>
    <row r="4041" spans="1:10">
      <c r="A4041" s="2" t="s">
        <v>148</v>
      </c>
      <c r="B4041" s="2" t="s">
        <v>100</v>
      </c>
      <c r="C4041" s="2">
        <v>1.75715E-2</v>
      </c>
      <c r="D4041" s="60">
        <v>0</v>
      </c>
      <c r="E4041" s="2">
        <v>21.111499999999999</v>
      </c>
      <c r="F4041" s="2">
        <v>5.50284</v>
      </c>
      <c r="G4041" s="2">
        <v>0</v>
      </c>
      <c r="H4041" s="2">
        <v>10</v>
      </c>
      <c r="I4041" s="2">
        <v>0</v>
      </c>
      <c r="J4041" s="2">
        <v>0</v>
      </c>
    </row>
    <row r="4042" spans="1:10">
      <c r="A4042" s="2" t="s">
        <v>148</v>
      </c>
      <c r="B4042" s="2" t="s">
        <v>98</v>
      </c>
      <c r="C4042" s="2">
        <v>0.14393800000000001</v>
      </c>
      <c r="D4042" s="60">
        <v>0</v>
      </c>
      <c r="E4042" s="2">
        <v>13.828900000000001</v>
      </c>
      <c r="F4042" s="2">
        <v>7.2825699999999998</v>
      </c>
      <c r="G4042" s="2">
        <v>10</v>
      </c>
      <c r="H4042" s="2">
        <v>20.905799999999999</v>
      </c>
      <c r="I4042" s="2">
        <v>0</v>
      </c>
      <c r="J4042" s="2">
        <v>0</v>
      </c>
    </row>
    <row r="4043" spans="1:10">
      <c r="A4043" s="2" t="s">
        <v>148</v>
      </c>
      <c r="B4043" s="2" t="s">
        <v>101</v>
      </c>
      <c r="C4043" s="2">
        <v>9.9527300000000008E-4</v>
      </c>
      <c r="D4043" s="60">
        <v>0</v>
      </c>
      <c r="E4043" s="2">
        <v>13.8</v>
      </c>
      <c r="F4043" s="2">
        <v>2.8939800000000002E-2</v>
      </c>
      <c r="G4043" s="2">
        <v>20.905799999999999</v>
      </c>
      <c r="H4043" s="2">
        <v>20.945399999999999</v>
      </c>
      <c r="I4043" s="2">
        <v>0</v>
      </c>
      <c r="J4043" s="2">
        <v>0</v>
      </c>
    </row>
    <row r="4044" spans="1:10">
      <c r="A4044" s="2" t="s">
        <v>148</v>
      </c>
      <c r="B4044" s="2" t="s">
        <v>64</v>
      </c>
      <c r="C4044" s="2">
        <v>0.288248</v>
      </c>
      <c r="D4044" s="60">
        <v>8.6474299999999999</v>
      </c>
      <c r="E4044" s="2">
        <v>7.8</v>
      </c>
      <c r="F4044" s="2">
        <v>6</v>
      </c>
      <c r="G4044" s="2">
        <v>20.945399999999999</v>
      </c>
      <c r="H4044" s="2">
        <v>27.9405</v>
      </c>
      <c r="I4044" s="2">
        <v>0</v>
      </c>
      <c r="J4044" s="2">
        <v>0</v>
      </c>
    </row>
    <row r="4045" spans="1:10">
      <c r="A4045" s="2" t="s">
        <v>148</v>
      </c>
      <c r="B4045" s="2" t="s">
        <v>101</v>
      </c>
      <c r="C4045" s="2">
        <v>1.8584E-2</v>
      </c>
      <c r="D4045" s="60">
        <v>0</v>
      </c>
      <c r="E4045" s="2">
        <v>7.5</v>
      </c>
      <c r="F4045" s="2">
        <v>0.3</v>
      </c>
      <c r="G4045" s="2">
        <v>27.9405</v>
      </c>
      <c r="H4045" s="2">
        <v>28.227</v>
      </c>
      <c r="I4045" s="2">
        <v>0</v>
      </c>
      <c r="J4045" s="2">
        <v>0</v>
      </c>
    </row>
    <row r="4046" spans="1:10">
      <c r="A4046" s="2" t="s">
        <v>138</v>
      </c>
      <c r="B4046" s="2">
        <v>11</v>
      </c>
      <c r="C4046" s="2">
        <v>19.565200000000001</v>
      </c>
      <c r="D4046" s="60" t="s">
        <v>129</v>
      </c>
      <c r="E4046" s="2" t="s">
        <v>139</v>
      </c>
    </row>
    <row r="4047" spans="1:10">
      <c r="A4047" s="2" t="s">
        <v>140</v>
      </c>
      <c r="B4047" s="2">
        <v>0</v>
      </c>
      <c r="C4047" s="2">
        <v>53.009099999999997</v>
      </c>
      <c r="D4047" s="60">
        <v>26.008900000000001</v>
      </c>
    </row>
    <row r="4048" spans="1:10">
      <c r="A4048" s="2" t="s">
        <v>141</v>
      </c>
      <c r="B4048" s="2">
        <v>0</v>
      </c>
      <c r="C4048" s="2">
        <v>1.7</v>
      </c>
      <c r="D4048" s="60" t="s">
        <v>158</v>
      </c>
    </row>
    <row r="4049" spans="1:10">
      <c r="A4049" s="2" t="s">
        <v>141</v>
      </c>
      <c r="B4049" s="2">
        <v>0</v>
      </c>
      <c r="C4049" s="2">
        <v>2</v>
      </c>
      <c r="D4049" s="60" t="s">
        <v>145</v>
      </c>
    </row>
    <row r="4050" spans="1:10">
      <c r="A4050" s="2" t="s">
        <v>141</v>
      </c>
      <c r="B4050" s="2">
        <v>0</v>
      </c>
      <c r="C4050" s="2">
        <v>5.5</v>
      </c>
      <c r="D4050" s="60" t="s">
        <v>146</v>
      </c>
    </row>
    <row r="4051" spans="1:10">
      <c r="A4051" s="2" t="s">
        <v>141</v>
      </c>
      <c r="B4051" s="2">
        <v>1.7</v>
      </c>
      <c r="C4051" s="2">
        <v>2</v>
      </c>
      <c r="D4051" s="60" t="s">
        <v>160</v>
      </c>
    </row>
    <row r="4052" spans="1:10">
      <c r="A4052" s="2" t="s">
        <v>141</v>
      </c>
      <c r="B4052" s="2">
        <v>2</v>
      </c>
      <c r="C4052" s="2">
        <v>5.5</v>
      </c>
      <c r="D4052" s="60" t="s">
        <v>144</v>
      </c>
    </row>
    <row r="4053" spans="1:10">
      <c r="A4053" s="2" t="s">
        <v>141</v>
      </c>
      <c r="B4053" s="2">
        <v>2</v>
      </c>
      <c r="C4053" s="2">
        <v>11</v>
      </c>
      <c r="D4053" s="60" t="s">
        <v>158</v>
      </c>
    </row>
    <row r="4054" spans="1:10">
      <c r="A4054" s="2" t="s">
        <v>141</v>
      </c>
      <c r="B4054" s="2">
        <v>5.5</v>
      </c>
      <c r="C4054" s="2">
        <v>6</v>
      </c>
      <c r="D4054" s="60" t="s">
        <v>151</v>
      </c>
    </row>
    <row r="4055" spans="1:10">
      <c r="A4055" s="2" t="s">
        <v>141</v>
      </c>
      <c r="B4055" s="2">
        <v>5.5</v>
      </c>
      <c r="C4055" s="2">
        <v>6</v>
      </c>
      <c r="D4055" s="60" t="s">
        <v>159</v>
      </c>
    </row>
    <row r="4056" spans="1:10">
      <c r="A4056" s="2" t="s">
        <v>141</v>
      </c>
      <c r="B4056" s="2">
        <v>6</v>
      </c>
      <c r="C4056" s="2">
        <v>10.4</v>
      </c>
      <c r="D4056" s="60" t="s">
        <v>145</v>
      </c>
    </row>
    <row r="4057" spans="1:10">
      <c r="A4057" s="2" t="s">
        <v>141</v>
      </c>
      <c r="B4057" s="2">
        <v>6</v>
      </c>
      <c r="C4057" s="2">
        <v>10.4</v>
      </c>
      <c r="D4057" s="60" t="s">
        <v>146</v>
      </c>
    </row>
    <row r="4058" spans="1:10">
      <c r="A4058" s="2" t="s">
        <v>141</v>
      </c>
      <c r="B4058" s="2">
        <v>10.4</v>
      </c>
      <c r="C4058" s="2">
        <v>11.7</v>
      </c>
      <c r="D4058" s="60" t="s">
        <v>147</v>
      </c>
    </row>
    <row r="4059" spans="1:10">
      <c r="A4059" s="2" t="s">
        <v>141</v>
      </c>
      <c r="B4059" s="2">
        <v>10.4</v>
      </c>
      <c r="C4059" s="2">
        <v>11.7</v>
      </c>
      <c r="D4059" s="60" t="s">
        <v>152</v>
      </c>
    </row>
    <row r="4060" spans="1:10">
      <c r="A4060" s="2" t="s">
        <v>141</v>
      </c>
      <c r="B4060" s="2">
        <v>11</v>
      </c>
      <c r="C4060" s="2">
        <v>11.5</v>
      </c>
      <c r="D4060" s="60" t="s">
        <v>174</v>
      </c>
    </row>
    <row r="4061" spans="1:10">
      <c r="A4061" s="2" t="s">
        <v>141</v>
      </c>
      <c r="B4061" s="2">
        <v>11.7</v>
      </c>
      <c r="C4061" s="2">
        <v>12.2</v>
      </c>
      <c r="D4061" s="60" t="s">
        <v>151</v>
      </c>
    </row>
    <row r="4062" spans="1:10">
      <c r="A4062" s="2" t="s">
        <v>141</v>
      </c>
      <c r="B4062" s="2">
        <v>11.7</v>
      </c>
      <c r="C4062" s="2">
        <v>20.7</v>
      </c>
      <c r="D4062" s="60" t="s">
        <v>146</v>
      </c>
    </row>
    <row r="4063" spans="1:10">
      <c r="A4063" s="2" t="s">
        <v>141</v>
      </c>
      <c r="B4063" s="2">
        <v>12.2</v>
      </c>
      <c r="C4063" s="2">
        <v>20.7</v>
      </c>
      <c r="D4063" s="60" t="s">
        <v>144</v>
      </c>
    </row>
    <row r="4064" spans="1:10">
      <c r="A4064" s="2" t="s">
        <v>148</v>
      </c>
      <c r="B4064" s="2" t="s">
        <v>99</v>
      </c>
      <c r="C4064" s="2">
        <v>6.6701499999999997E-2</v>
      </c>
      <c r="D4064" s="60">
        <v>0</v>
      </c>
      <c r="E4064" s="2">
        <v>0</v>
      </c>
      <c r="F4064" s="2">
        <v>0.3</v>
      </c>
      <c r="G4064" s="2">
        <v>51.9283</v>
      </c>
      <c r="H4064" s="2">
        <v>54.586300000000001</v>
      </c>
      <c r="I4064" s="2">
        <v>0</v>
      </c>
      <c r="J4064" s="2">
        <v>0</v>
      </c>
    </row>
    <row r="4065" spans="1:10">
      <c r="A4065" s="2" t="s">
        <v>148</v>
      </c>
      <c r="B4065" s="2" t="s">
        <v>100</v>
      </c>
      <c r="C4065" s="2">
        <v>1.2739500000000001E-2</v>
      </c>
      <c r="D4065" s="60">
        <v>0</v>
      </c>
      <c r="E4065" s="2">
        <v>22.296399999999998</v>
      </c>
      <c r="F4065" s="2">
        <v>3.7124199999999998</v>
      </c>
      <c r="G4065" s="2">
        <v>0</v>
      </c>
      <c r="H4065" s="2">
        <v>10</v>
      </c>
      <c r="I4065" s="2">
        <v>0</v>
      </c>
      <c r="J4065" s="2">
        <v>0</v>
      </c>
    </row>
    <row r="4066" spans="1:10">
      <c r="A4066" s="2" t="s">
        <v>148</v>
      </c>
      <c r="B4066" s="2" t="s">
        <v>98</v>
      </c>
      <c r="C4066" s="2">
        <v>0.33573500000000001</v>
      </c>
      <c r="D4066" s="60">
        <v>0</v>
      </c>
      <c r="E4066" s="2">
        <v>12.499000000000001</v>
      </c>
      <c r="F4066" s="2">
        <v>9.79739</v>
      </c>
      <c r="G4066" s="2">
        <v>10</v>
      </c>
      <c r="H4066" s="2">
        <v>29.7987</v>
      </c>
      <c r="I4066" s="2">
        <v>0</v>
      </c>
      <c r="J4066" s="2">
        <v>0</v>
      </c>
    </row>
    <row r="4067" spans="1:10">
      <c r="A4067" s="2" t="s">
        <v>148</v>
      </c>
      <c r="B4067" s="2" t="s">
        <v>101</v>
      </c>
      <c r="C4067" s="2">
        <v>0.20035800000000001</v>
      </c>
      <c r="D4067" s="60">
        <v>0</v>
      </c>
      <c r="E4067" s="2">
        <v>10</v>
      </c>
      <c r="F4067" s="2">
        <v>2.49905</v>
      </c>
      <c r="G4067" s="2">
        <v>29.7987</v>
      </c>
      <c r="H4067" s="2">
        <v>33.954300000000003</v>
      </c>
      <c r="I4067" s="2">
        <v>0</v>
      </c>
      <c r="J4067" s="2">
        <v>0</v>
      </c>
    </row>
    <row r="4068" spans="1:10">
      <c r="A4068" s="2" t="s">
        <v>148</v>
      </c>
      <c r="B4068" s="2" t="s">
        <v>59</v>
      </c>
      <c r="C4068" s="2">
        <v>0.42582599999999998</v>
      </c>
      <c r="D4068" s="60">
        <v>42.582599999999999</v>
      </c>
      <c r="E4068" s="2">
        <v>6</v>
      </c>
      <c r="F4068" s="2">
        <v>4</v>
      </c>
      <c r="G4068" s="2">
        <v>33.954300000000003</v>
      </c>
      <c r="H4068" s="2">
        <v>39.3855</v>
      </c>
      <c r="I4068" s="2">
        <v>0</v>
      </c>
      <c r="J4068" s="2">
        <v>0</v>
      </c>
    </row>
    <row r="4069" spans="1:10">
      <c r="A4069" s="2" t="s">
        <v>148</v>
      </c>
      <c r="B4069" s="2" t="s">
        <v>101</v>
      </c>
      <c r="C4069" s="2">
        <v>0.21790899999999999</v>
      </c>
      <c r="D4069" s="60">
        <v>0</v>
      </c>
      <c r="E4069" s="2">
        <v>4.3</v>
      </c>
      <c r="F4069" s="2">
        <v>1.7</v>
      </c>
      <c r="G4069" s="2">
        <v>39.3855</v>
      </c>
      <c r="H4069" s="2">
        <v>41.397399999999998</v>
      </c>
      <c r="I4069" s="2">
        <v>0</v>
      </c>
      <c r="J4069" s="2">
        <v>0</v>
      </c>
    </row>
    <row r="4070" spans="1:10">
      <c r="A4070" s="2" t="s">
        <v>148</v>
      </c>
      <c r="B4070" s="2" t="s">
        <v>62</v>
      </c>
      <c r="C4070" s="2">
        <v>0.63574299999999995</v>
      </c>
      <c r="D4070" s="60">
        <v>50.859499999999997</v>
      </c>
      <c r="E4070" s="2">
        <v>0.3</v>
      </c>
      <c r="F4070" s="2">
        <v>4</v>
      </c>
      <c r="G4070" s="2">
        <v>41.397399999999998</v>
      </c>
      <c r="H4070" s="2">
        <v>51.9283</v>
      </c>
      <c r="I4070" s="2">
        <v>0</v>
      </c>
      <c r="J4070" s="2">
        <v>0</v>
      </c>
    </row>
    <row r="4071" spans="1:10">
      <c r="A4071" s="2" t="s">
        <v>138</v>
      </c>
      <c r="B4071" s="2">
        <v>12</v>
      </c>
      <c r="C4071" s="2">
        <v>19.365100000000002</v>
      </c>
      <c r="D4071" s="60" t="s">
        <v>129</v>
      </c>
      <c r="E4071" s="2" t="s">
        <v>139</v>
      </c>
    </row>
    <row r="4072" spans="1:10">
      <c r="A4072" s="2" t="s">
        <v>140</v>
      </c>
      <c r="B4072" s="2">
        <v>0</v>
      </c>
      <c r="C4072" s="2">
        <v>45.672499999999999</v>
      </c>
      <c r="D4072" s="60">
        <v>27.058</v>
      </c>
    </row>
    <row r="4073" spans="1:10">
      <c r="A4073" s="2" t="s">
        <v>141</v>
      </c>
      <c r="B4073" s="2">
        <v>0</v>
      </c>
      <c r="C4073" s="2">
        <v>10.9</v>
      </c>
      <c r="D4073" s="60" t="s">
        <v>144</v>
      </c>
    </row>
    <row r="4074" spans="1:10">
      <c r="A4074" s="2" t="s">
        <v>141</v>
      </c>
      <c r="B4074" s="2">
        <v>0</v>
      </c>
      <c r="C4074" s="2">
        <v>11.9</v>
      </c>
      <c r="D4074" s="60" t="s">
        <v>146</v>
      </c>
    </row>
    <row r="4075" spans="1:10">
      <c r="A4075" s="2" t="s">
        <v>141</v>
      </c>
      <c r="B4075" s="2">
        <v>10.9</v>
      </c>
      <c r="C4075" s="2">
        <v>11.2</v>
      </c>
      <c r="D4075" s="60" t="s">
        <v>145</v>
      </c>
    </row>
    <row r="4076" spans="1:10">
      <c r="A4076" s="2" t="s">
        <v>141</v>
      </c>
      <c r="B4076" s="2">
        <v>11.2</v>
      </c>
      <c r="C4076" s="2">
        <v>21.5</v>
      </c>
      <c r="D4076" s="60" t="s">
        <v>144</v>
      </c>
    </row>
    <row r="4077" spans="1:10">
      <c r="A4077" s="2" t="s">
        <v>141</v>
      </c>
      <c r="B4077" s="2">
        <v>11.9</v>
      </c>
      <c r="C4077" s="2">
        <v>15.3</v>
      </c>
      <c r="D4077" s="60" t="s">
        <v>152</v>
      </c>
    </row>
    <row r="4078" spans="1:10">
      <c r="A4078" s="2" t="s">
        <v>141</v>
      </c>
      <c r="B4078" s="2">
        <v>15.3</v>
      </c>
      <c r="C4078" s="2">
        <v>21.5</v>
      </c>
      <c r="D4078" s="60" t="s">
        <v>146</v>
      </c>
    </row>
    <row r="4079" spans="1:10">
      <c r="A4079" s="2" t="s">
        <v>148</v>
      </c>
      <c r="B4079" s="2" t="s">
        <v>99</v>
      </c>
      <c r="C4079" s="2">
        <v>5.1208700000000003E-2</v>
      </c>
      <c r="D4079" s="60">
        <v>0</v>
      </c>
      <c r="E4079" s="2">
        <v>0</v>
      </c>
      <c r="F4079" s="2">
        <v>0.3</v>
      </c>
      <c r="G4079" s="2">
        <v>45.537199999999999</v>
      </c>
      <c r="H4079" s="2">
        <v>47.784500000000001</v>
      </c>
      <c r="I4079" s="2">
        <v>0</v>
      </c>
      <c r="J4079" s="2">
        <v>0</v>
      </c>
    </row>
    <row r="4080" spans="1:10">
      <c r="A4080" s="2" t="s">
        <v>148</v>
      </c>
      <c r="B4080" s="2" t="s">
        <v>100</v>
      </c>
      <c r="C4080" s="2">
        <v>1.5287500000000001E-2</v>
      </c>
      <c r="D4080" s="60">
        <v>0</v>
      </c>
      <c r="E4080" s="2">
        <v>22.453600000000002</v>
      </c>
      <c r="F4080" s="2">
        <v>4.6044400000000003</v>
      </c>
      <c r="G4080" s="2">
        <v>0</v>
      </c>
      <c r="H4080" s="2">
        <v>10</v>
      </c>
      <c r="I4080" s="2">
        <v>0</v>
      </c>
      <c r="J4080" s="2">
        <v>0</v>
      </c>
    </row>
    <row r="4081" spans="1:10">
      <c r="A4081" s="2" t="s">
        <v>148</v>
      </c>
      <c r="B4081" s="2" t="s">
        <v>98</v>
      </c>
      <c r="C4081" s="2">
        <v>0.16256499999999999</v>
      </c>
      <c r="D4081" s="60">
        <v>0</v>
      </c>
      <c r="E4081" s="2">
        <v>15.131600000000001</v>
      </c>
      <c r="F4081" s="2">
        <v>7.3219799999999999</v>
      </c>
      <c r="G4081" s="2">
        <v>10</v>
      </c>
      <c r="H4081" s="2">
        <v>22.732800000000001</v>
      </c>
      <c r="I4081" s="2">
        <v>0</v>
      </c>
      <c r="J4081" s="2">
        <v>0</v>
      </c>
    </row>
    <row r="4082" spans="1:10">
      <c r="A4082" s="2" t="s">
        <v>148</v>
      </c>
      <c r="B4082" s="2" t="s">
        <v>101</v>
      </c>
      <c r="C4082" s="2">
        <v>1.28539E-3</v>
      </c>
      <c r="D4082" s="60">
        <v>0</v>
      </c>
      <c r="E4082" s="2">
        <v>15.1</v>
      </c>
      <c r="F4082" s="2">
        <v>3.1597100000000003E-2</v>
      </c>
      <c r="G4082" s="2">
        <v>22.732800000000001</v>
      </c>
      <c r="H4082" s="2">
        <v>22.784800000000001</v>
      </c>
      <c r="I4082" s="2">
        <v>0</v>
      </c>
      <c r="J4082" s="2">
        <v>0</v>
      </c>
    </row>
    <row r="4083" spans="1:10">
      <c r="A4083" s="2" t="s">
        <v>148</v>
      </c>
      <c r="B4083" s="2" t="s">
        <v>64</v>
      </c>
      <c r="C4083" s="2">
        <v>0.26561200000000001</v>
      </c>
      <c r="D4083" s="60">
        <v>7.9683700000000002</v>
      </c>
      <c r="E4083" s="2">
        <v>10.3</v>
      </c>
      <c r="F4083" s="2">
        <v>4.8</v>
      </c>
      <c r="G4083" s="2">
        <v>22.784800000000001</v>
      </c>
      <c r="H4083" s="2">
        <v>29.8569</v>
      </c>
      <c r="I4083" s="2">
        <v>0</v>
      </c>
      <c r="J4083" s="2">
        <v>0</v>
      </c>
    </row>
    <row r="4084" spans="1:10">
      <c r="A4084" s="2" t="s">
        <v>148</v>
      </c>
      <c r="B4084" s="2" t="s">
        <v>60</v>
      </c>
      <c r="C4084" s="2">
        <v>0.32686999999999999</v>
      </c>
      <c r="D4084" s="60">
        <v>29.418299999999999</v>
      </c>
      <c r="E4084" s="2">
        <v>6.3</v>
      </c>
      <c r="F4084" s="2">
        <v>4</v>
      </c>
      <c r="G4084" s="2">
        <v>29.8569</v>
      </c>
      <c r="H4084" s="2">
        <v>34.418900000000001</v>
      </c>
      <c r="I4084" s="2">
        <v>0</v>
      </c>
      <c r="J4084" s="2">
        <v>0</v>
      </c>
    </row>
    <row r="4085" spans="1:10">
      <c r="A4085" s="2" t="s">
        <v>148</v>
      </c>
      <c r="B4085" s="2" t="s">
        <v>59</v>
      </c>
      <c r="C4085" s="2">
        <v>0.68792299999999995</v>
      </c>
      <c r="D4085" s="60">
        <v>68.792299999999997</v>
      </c>
      <c r="E4085" s="2">
        <v>0.3</v>
      </c>
      <c r="F4085" s="2">
        <v>6</v>
      </c>
      <c r="G4085" s="2">
        <v>34.418900000000001</v>
      </c>
      <c r="H4085" s="2">
        <v>45.537199999999999</v>
      </c>
      <c r="I4085" s="2">
        <v>0</v>
      </c>
      <c r="J4085" s="2">
        <v>0</v>
      </c>
    </row>
    <row r="4086" spans="1:10">
      <c r="A4086" s="2" t="s">
        <v>138</v>
      </c>
      <c r="B4086" s="2">
        <v>13</v>
      </c>
      <c r="C4086" s="2">
        <v>19.3569</v>
      </c>
      <c r="D4086" s="60" t="s">
        <v>129</v>
      </c>
      <c r="E4086" s="2" t="s">
        <v>149</v>
      </c>
    </row>
    <row r="4087" spans="1:10">
      <c r="A4087" s="2" t="s">
        <v>140</v>
      </c>
      <c r="B4087" s="2">
        <v>0</v>
      </c>
      <c r="C4087" s="2">
        <v>46.692900000000002</v>
      </c>
      <c r="D4087" s="60">
        <v>25.794</v>
      </c>
    </row>
    <row r="4088" spans="1:10">
      <c r="A4088" s="2" t="s">
        <v>141</v>
      </c>
      <c r="B4088" s="2">
        <v>0</v>
      </c>
      <c r="C4088" s="2">
        <v>6.3</v>
      </c>
      <c r="D4088" s="60" t="s">
        <v>142</v>
      </c>
    </row>
    <row r="4089" spans="1:10">
      <c r="A4089" s="2" t="s">
        <v>141</v>
      </c>
      <c r="B4089" s="2">
        <v>0</v>
      </c>
      <c r="C4089" s="2">
        <v>10</v>
      </c>
      <c r="D4089" s="60" t="s">
        <v>146</v>
      </c>
    </row>
    <row r="4090" spans="1:10">
      <c r="A4090" s="2" t="s">
        <v>141</v>
      </c>
      <c r="B4090" s="2">
        <v>6.3</v>
      </c>
      <c r="C4090" s="2">
        <v>7.3</v>
      </c>
      <c r="D4090" s="60" t="s">
        <v>144</v>
      </c>
    </row>
    <row r="4091" spans="1:10">
      <c r="A4091" s="2" t="s">
        <v>141</v>
      </c>
      <c r="B4091" s="2">
        <v>7.3</v>
      </c>
      <c r="C4091" s="2">
        <v>8.6</v>
      </c>
      <c r="D4091" s="60" t="s">
        <v>145</v>
      </c>
    </row>
    <row r="4092" spans="1:10">
      <c r="A4092" s="2" t="s">
        <v>141</v>
      </c>
      <c r="B4092" s="2">
        <v>8.6</v>
      </c>
      <c r="C4092" s="2">
        <v>8.9</v>
      </c>
      <c r="D4092" s="60" t="s">
        <v>153</v>
      </c>
    </row>
    <row r="4093" spans="1:10">
      <c r="A4093" s="2" t="s">
        <v>141</v>
      </c>
      <c r="B4093" s="2">
        <v>8.6</v>
      </c>
      <c r="C4093" s="2">
        <v>8.9</v>
      </c>
      <c r="D4093" s="60" t="s">
        <v>154</v>
      </c>
    </row>
    <row r="4094" spans="1:10">
      <c r="A4094" s="2" t="s">
        <v>141</v>
      </c>
      <c r="B4094" s="2">
        <v>8.6</v>
      </c>
      <c r="C4094" s="2">
        <v>20.536200000000001</v>
      </c>
      <c r="D4094" s="60" t="s">
        <v>144</v>
      </c>
    </row>
    <row r="4095" spans="1:10">
      <c r="A4095" s="2" t="s">
        <v>141</v>
      </c>
      <c r="B4095" s="2">
        <v>10</v>
      </c>
      <c r="C4095" s="2">
        <v>20.536200000000001</v>
      </c>
      <c r="D4095" s="60" t="s">
        <v>161</v>
      </c>
    </row>
    <row r="4096" spans="1:10">
      <c r="A4096" s="2" t="s">
        <v>156</v>
      </c>
      <c r="B4096" s="2">
        <v>8.6</v>
      </c>
      <c r="C4096" s="2">
        <v>28.388400000000001</v>
      </c>
    </row>
    <row r="4097" spans="1:10">
      <c r="A4097" s="2" t="s">
        <v>148</v>
      </c>
      <c r="B4097" s="2" t="s">
        <v>99</v>
      </c>
      <c r="C4097" s="2">
        <v>5.3119E-2</v>
      </c>
      <c r="D4097" s="60">
        <v>0</v>
      </c>
      <c r="E4097" s="2">
        <v>0</v>
      </c>
      <c r="F4097" s="2">
        <v>0.3</v>
      </c>
      <c r="G4097" s="2">
        <v>46.3324</v>
      </c>
      <c r="H4097" s="2">
        <v>48.722200000000001</v>
      </c>
      <c r="I4097" s="2">
        <v>0</v>
      </c>
      <c r="J4097" s="2">
        <v>0</v>
      </c>
    </row>
    <row r="4098" spans="1:10">
      <c r="A4098" s="2" t="s">
        <v>148</v>
      </c>
      <c r="B4098" s="2" t="s">
        <v>100</v>
      </c>
      <c r="C4098" s="2">
        <v>2.1936299999999999E-2</v>
      </c>
      <c r="D4098" s="60">
        <v>0</v>
      </c>
      <c r="E4098" s="2">
        <v>18.5076</v>
      </c>
      <c r="F4098" s="2">
        <v>7.2864500000000003</v>
      </c>
      <c r="G4098" s="2">
        <v>0</v>
      </c>
      <c r="H4098" s="2">
        <v>10</v>
      </c>
      <c r="I4098" s="2">
        <v>0</v>
      </c>
      <c r="J4098" s="2">
        <v>0</v>
      </c>
    </row>
    <row r="4099" spans="1:10">
      <c r="A4099" s="2" t="s">
        <v>148</v>
      </c>
      <c r="B4099" s="2" t="s">
        <v>98</v>
      </c>
      <c r="C4099" s="2">
        <v>3.5876100000000001E-2</v>
      </c>
      <c r="D4099" s="60">
        <v>0</v>
      </c>
      <c r="E4099" s="2">
        <v>15.3225</v>
      </c>
      <c r="F4099" s="2">
        <v>3.18513</v>
      </c>
      <c r="G4099" s="2">
        <v>10</v>
      </c>
      <c r="H4099" s="2">
        <v>13.8185</v>
      </c>
      <c r="I4099" s="2">
        <v>0</v>
      </c>
      <c r="J4099" s="2">
        <v>0</v>
      </c>
    </row>
    <row r="4100" spans="1:10">
      <c r="A4100" s="2" t="s">
        <v>148</v>
      </c>
      <c r="B4100" s="2" t="s">
        <v>101</v>
      </c>
      <c r="C4100" s="2">
        <v>0.18588199999999999</v>
      </c>
      <c r="D4100" s="60">
        <v>0</v>
      </c>
      <c r="E4100" s="2">
        <v>8.3000000000000007</v>
      </c>
      <c r="F4100" s="2">
        <v>7.0224599999999997</v>
      </c>
      <c r="G4100" s="2">
        <v>13.8185</v>
      </c>
      <c r="H4100" s="2">
        <v>32.432400000000001</v>
      </c>
      <c r="I4100" s="2">
        <v>0</v>
      </c>
      <c r="J4100" s="2">
        <v>0</v>
      </c>
    </row>
    <row r="4101" spans="1:10">
      <c r="A4101" s="2" t="s">
        <v>148</v>
      </c>
      <c r="B4101" s="2" t="s">
        <v>59</v>
      </c>
      <c r="C4101" s="2">
        <v>0.37960899999999997</v>
      </c>
      <c r="D4101" s="60">
        <v>37.960900000000002</v>
      </c>
      <c r="E4101" s="2">
        <v>4.3</v>
      </c>
      <c r="F4101" s="2">
        <v>4</v>
      </c>
      <c r="G4101" s="2">
        <v>32.432400000000001</v>
      </c>
      <c r="H4101" s="2">
        <v>36.912199999999999</v>
      </c>
      <c r="I4101" s="2">
        <v>0</v>
      </c>
      <c r="J4101" s="2">
        <v>0</v>
      </c>
    </row>
    <row r="4102" spans="1:10">
      <c r="A4102" s="2" t="s">
        <v>148</v>
      </c>
      <c r="B4102" s="2" t="s">
        <v>56</v>
      </c>
      <c r="C4102" s="2">
        <v>0.50568999999999997</v>
      </c>
      <c r="D4102" s="60">
        <v>70.796599999999998</v>
      </c>
      <c r="E4102" s="2">
        <v>0.3</v>
      </c>
      <c r="F4102" s="2">
        <v>4</v>
      </c>
      <c r="G4102" s="2">
        <v>36.912199999999999</v>
      </c>
      <c r="H4102" s="2">
        <v>46.3324</v>
      </c>
      <c r="I4102" s="2">
        <v>0</v>
      </c>
      <c r="J4102" s="2">
        <v>0</v>
      </c>
    </row>
    <row r="4103" spans="1:10">
      <c r="A4103" s="2" t="s">
        <v>140</v>
      </c>
      <c r="B4103" s="2">
        <v>1</v>
      </c>
      <c r="C4103" s="2">
        <v>29.9452</v>
      </c>
      <c r="D4103" s="60">
        <v>25.794</v>
      </c>
      <c r="E4103" s="2">
        <v>8.6</v>
      </c>
    </row>
    <row r="4104" spans="1:10">
      <c r="A4104" s="2" t="s">
        <v>141</v>
      </c>
      <c r="B4104" s="2">
        <v>8.6</v>
      </c>
      <c r="C4104" s="2">
        <v>8.9</v>
      </c>
      <c r="D4104" s="60" t="s">
        <v>153</v>
      </c>
    </row>
    <row r="4105" spans="1:10">
      <c r="A4105" s="2" t="s">
        <v>141</v>
      </c>
      <c r="B4105" s="2">
        <v>8.6</v>
      </c>
      <c r="C4105" s="2">
        <v>20.536200000000001</v>
      </c>
      <c r="D4105" s="60" t="s">
        <v>144</v>
      </c>
    </row>
    <row r="4106" spans="1:10">
      <c r="A4106" s="2" t="s">
        <v>141</v>
      </c>
      <c r="B4106" s="2">
        <v>8.6</v>
      </c>
      <c r="C4106" s="2">
        <v>20.536200000000001</v>
      </c>
      <c r="D4106" s="60" t="s">
        <v>161</v>
      </c>
    </row>
    <row r="4107" spans="1:10">
      <c r="A4107" s="2" t="s">
        <v>148</v>
      </c>
      <c r="B4107" s="2" t="s">
        <v>100</v>
      </c>
      <c r="C4107" s="2">
        <v>2.0974799999999998E-2</v>
      </c>
      <c r="D4107" s="60">
        <v>0</v>
      </c>
      <c r="E4107" s="2">
        <v>18.891100000000002</v>
      </c>
      <c r="F4107" s="2">
        <v>6.9029100000000003</v>
      </c>
      <c r="G4107" s="2">
        <v>0</v>
      </c>
      <c r="H4107" s="2">
        <v>10</v>
      </c>
      <c r="I4107" s="2">
        <v>0</v>
      </c>
      <c r="J4107" s="2">
        <v>0</v>
      </c>
    </row>
    <row r="4108" spans="1:10">
      <c r="A4108" s="2" t="s">
        <v>148</v>
      </c>
      <c r="B4108" s="2" t="s">
        <v>98</v>
      </c>
      <c r="C4108" s="2">
        <v>8.1776499999999998E-3</v>
      </c>
      <c r="D4108" s="60">
        <v>0</v>
      </c>
      <c r="E4108" s="2">
        <v>17.963999999999999</v>
      </c>
      <c r="F4108" s="2">
        <v>0.92713500000000004</v>
      </c>
      <c r="G4108" s="2">
        <v>10</v>
      </c>
      <c r="H4108" s="2">
        <v>11.1838</v>
      </c>
      <c r="I4108" s="2">
        <v>0</v>
      </c>
      <c r="J4108" s="2">
        <v>0</v>
      </c>
    </row>
    <row r="4109" spans="1:10">
      <c r="A4109" s="2" t="s">
        <v>148</v>
      </c>
      <c r="B4109" s="2" t="s">
        <v>101</v>
      </c>
      <c r="C4109" s="2">
        <v>0.212034</v>
      </c>
      <c r="D4109" s="60">
        <v>0</v>
      </c>
      <c r="E4109" s="2">
        <v>8.6</v>
      </c>
      <c r="F4109" s="2">
        <v>9.3639899999999994</v>
      </c>
      <c r="G4109" s="2">
        <v>11.1838</v>
      </c>
      <c r="H4109" s="2">
        <v>21.536000000000001</v>
      </c>
      <c r="I4109" s="2">
        <v>0</v>
      </c>
      <c r="J4109" s="2">
        <v>0</v>
      </c>
    </row>
    <row r="4110" spans="1:10">
      <c r="A4110" s="2" t="s">
        <v>138</v>
      </c>
      <c r="B4110" s="2">
        <v>14</v>
      </c>
      <c r="C4110" s="2">
        <v>19.491</v>
      </c>
      <c r="D4110" s="60" t="s">
        <v>129</v>
      </c>
      <c r="E4110" s="2" t="s">
        <v>139</v>
      </c>
    </row>
    <row r="4111" spans="1:10">
      <c r="A4111" s="2" t="s">
        <v>140</v>
      </c>
      <c r="B4111" s="2">
        <v>0</v>
      </c>
      <c r="C4111" s="2">
        <v>51.729199999999999</v>
      </c>
      <c r="D4111" s="60">
        <v>24.697399999999998</v>
      </c>
    </row>
    <row r="4112" spans="1:10">
      <c r="A4112" s="2" t="s">
        <v>141</v>
      </c>
      <c r="B4112" s="2">
        <v>0</v>
      </c>
      <c r="C4112" s="2">
        <v>6.2</v>
      </c>
      <c r="D4112" s="60" t="s">
        <v>142</v>
      </c>
    </row>
    <row r="4113" spans="1:10">
      <c r="A4113" s="2" t="s">
        <v>141</v>
      </c>
      <c r="B4113" s="2">
        <v>0</v>
      </c>
      <c r="C4113" s="2">
        <v>19.7</v>
      </c>
      <c r="D4113" s="60" t="s">
        <v>146</v>
      </c>
    </row>
    <row r="4114" spans="1:10">
      <c r="A4114" s="2" t="s">
        <v>141</v>
      </c>
      <c r="B4114" s="2">
        <v>6.2</v>
      </c>
      <c r="C4114" s="2">
        <v>10.5</v>
      </c>
      <c r="D4114" s="60" t="s">
        <v>145</v>
      </c>
    </row>
    <row r="4115" spans="1:10">
      <c r="A4115" s="2" t="s">
        <v>141</v>
      </c>
      <c r="B4115" s="2">
        <v>10.5</v>
      </c>
      <c r="C4115" s="2">
        <v>11</v>
      </c>
      <c r="D4115" s="60" t="s">
        <v>147</v>
      </c>
    </row>
    <row r="4116" spans="1:10">
      <c r="A4116" s="2" t="s">
        <v>141</v>
      </c>
      <c r="B4116" s="2">
        <v>11</v>
      </c>
      <c r="C4116" s="2">
        <v>12.7</v>
      </c>
      <c r="D4116" s="60" t="s">
        <v>145</v>
      </c>
    </row>
    <row r="4117" spans="1:10">
      <c r="A4117" s="2" t="s">
        <v>141</v>
      </c>
      <c r="B4117" s="2">
        <v>12.7</v>
      </c>
      <c r="C4117" s="2">
        <v>19.7</v>
      </c>
      <c r="D4117" s="60" t="s">
        <v>144</v>
      </c>
    </row>
    <row r="4118" spans="1:10">
      <c r="A4118" s="2" t="s">
        <v>148</v>
      </c>
      <c r="B4118" s="2" t="s">
        <v>99</v>
      </c>
      <c r="C4118" s="2">
        <v>6.3645999999999994E-2</v>
      </c>
      <c r="D4118" s="60">
        <v>0</v>
      </c>
      <c r="E4118" s="2">
        <v>0</v>
      </c>
      <c r="F4118" s="2">
        <v>0.3</v>
      </c>
      <c r="G4118" s="2">
        <v>50.668399999999998</v>
      </c>
      <c r="H4118" s="2">
        <v>53.388399999999997</v>
      </c>
      <c r="I4118" s="2">
        <v>0</v>
      </c>
      <c r="J4118" s="2">
        <v>0</v>
      </c>
    </row>
    <row r="4119" spans="1:10">
      <c r="A4119" s="2" t="s">
        <v>148</v>
      </c>
      <c r="B4119" s="2" t="s">
        <v>100</v>
      </c>
      <c r="C4119" s="2">
        <v>1.23994E-2</v>
      </c>
      <c r="D4119" s="60">
        <v>0</v>
      </c>
      <c r="E4119" s="2">
        <v>21.064499999999999</v>
      </c>
      <c r="F4119" s="2">
        <v>3.6329099999999999</v>
      </c>
      <c r="G4119" s="2">
        <v>0</v>
      </c>
      <c r="H4119" s="2">
        <v>10</v>
      </c>
      <c r="I4119" s="2">
        <v>0</v>
      </c>
      <c r="J4119" s="2">
        <v>0</v>
      </c>
    </row>
    <row r="4120" spans="1:10">
      <c r="A4120" s="2" t="s">
        <v>148</v>
      </c>
      <c r="B4120" s="2" t="s">
        <v>98</v>
      </c>
      <c r="C4120" s="2">
        <v>7.9314499999999996E-2</v>
      </c>
      <c r="D4120" s="60">
        <v>0</v>
      </c>
      <c r="E4120" s="2">
        <v>16.5791</v>
      </c>
      <c r="F4120" s="2">
        <v>4.4853899999999998</v>
      </c>
      <c r="G4120" s="2">
        <v>10</v>
      </c>
      <c r="H4120" s="2">
        <v>19.587700000000002</v>
      </c>
      <c r="I4120" s="2">
        <v>0</v>
      </c>
      <c r="J4120" s="2">
        <v>0</v>
      </c>
    </row>
    <row r="4121" spans="1:10">
      <c r="A4121" s="2" t="s">
        <v>148</v>
      </c>
      <c r="B4121" s="2" t="s">
        <v>101</v>
      </c>
      <c r="C4121" s="2">
        <v>1.19072E-2</v>
      </c>
      <c r="D4121" s="60">
        <v>0</v>
      </c>
      <c r="E4121" s="2">
        <v>16.2</v>
      </c>
      <c r="F4121" s="2">
        <v>0.37908399999999998</v>
      </c>
      <c r="G4121" s="2">
        <v>19.587700000000002</v>
      </c>
      <c r="H4121" s="2">
        <v>20.4053</v>
      </c>
      <c r="I4121" s="2">
        <v>0</v>
      </c>
      <c r="J4121" s="2">
        <v>0</v>
      </c>
    </row>
    <row r="4122" spans="1:10">
      <c r="A4122" s="2" t="s">
        <v>148</v>
      </c>
      <c r="B4122" s="2" t="s">
        <v>63</v>
      </c>
      <c r="C4122" s="2">
        <v>0.33597500000000002</v>
      </c>
      <c r="D4122" s="60">
        <v>23.5183</v>
      </c>
      <c r="E4122" s="2">
        <v>10.199999999999999</v>
      </c>
      <c r="F4122" s="2">
        <v>6</v>
      </c>
      <c r="G4122" s="2">
        <v>20.4053</v>
      </c>
      <c r="H4122" s="2">
        <v>32.0657</v>
      </c>
      <c r="I4122" s="2">
        <v>0</v>
      </c>
      <c r="J4122" s="2">
        <v>0</v>
      </c>
    </row>
    <row r="4123" spans="1:10">
      <c r="A4123" s="2" t="s">
        <v>148</v>
      </c>
      <c r="B4123" s="2" t="s">
        <v>59</v>
      </c>
      <c r="C4123" s="2">
        <v>0.38812400000000002</v>
      </c>
      <c r="D4123" s="60">
        <v>38.812399999999997</v>
      </c>
      <c r="E4123" s="2">
        <v>6.2</v>
      </c>
      <c r="F4123" s="2">
        <v>4</v>
      </c>
      <c r="G4123" s="2">
        <v>32.0657</v>
      </c>
      <c r="H4123" s="2">
        <v>37.889099999999999</v>
      </c>
      <c r="I4123" s="2">
        <v>0</v>
      </c>
      <c r="J4123" s="2">
        <v>0</v>
      </c>
    </row>
    <row r="4124" spans="1:10">
      <c r="A4124" s="2" t="s">
        <v>148</v>
      </c>
      <c r="B4124" s="2" t="s">
        <v>56</v>
      </c>
      <c r="C4124" s="2">
        <v>0.82997799999999999</v>
      </c>
      <c r="D4124" s="60">
        <v>116.197</v>
      </c>
      <c r="E4124" s="2">
        <v>0.3</v>
      </c>
      <c r="F4124" s="2">
        <v>5.9</v>
      </c>
      <c r="G4124" s="2">
        <v>37.889099999999999</v>
      </c>
      <c r="H4124" s="2">
        <v>50.668399999999998</v>
      </c>
      <c r="I4124" s="2">
        <v>0</v>
      </c>
      <c r="J4124" s="2">
        <v>0</v>
      </c>
    </row>
    <row r="4125" spans="1:10">
      <c r="A4125" s="2" t="s">
        <v>138</v>
      </c>
      <c r="B4125" s="2">
        <v>15</v>
      </c>
      <c r="C4125" s="2">
        <v>19.036799999999999</v>
      </c>
      <c r="D4125" s="60" t="s">
        <v>129</v>
      </c>
      <c r="E4125" s="2" t="s">
        <v>149</v>
      </c>
    </row>
    <row r="4126" spans="1:10">
      <c r="A4126" s="2" t="s">
        <v>140</v>
      </c>
      <c r="B4126" s="2">
        <v>0</v>
      </c>
      <c r="C4126" s="2">
        <v>41.087899999999998</v>
      </c>
      <c r="D4126" s="60">
        <v>25.240300000000001</v>
      </c>
    </row>
    <row r="4127" spans="1:10">
      <c r="A4127" s="2" t="s">
        <v>141</v>
      </c>
      <c r="B4127" s="2">
        <v>0</v>
      </c>
      <c r="C4127" s="2">
        <v>6.8</v>
      </c>
      <c r="D4127" s="60" t="s">
        <v>142</v>
      </c>
    </row>
    <row r="4128" spans="1:10">
      <c r="A4128" s="2" t="s">
        <v>141</v>
      </c>
      <c r="B4128" s="2">
        <v>0</v>
      </c>
      <c r="C4128" s="2">
        <v>9.6</v>
      </c>
      <c r="D4128" s="60" t="s">
        <v>146</v>
      </c>
    </row>
    <row r="4129" spans="1:10">
      <c r="A4129" s="2" t="s">
        <v>141</v>
      </c>
      <c r="B4129" s="2">
        <v>6.8</v>
      </c>
      <c r="C4129" s="2">
        <v>8.9</v>
      </c>
      <c r="D4129" s="60" t="s">
        <v>145</v>
      </c>
    </row>
    <row r="4130" spans="1:10">
      <c r="A4130" s="2" t="s">
        <v>141</v>
      </c>
      <c r="B4130" s="2">
        <v>8.9</v>
      </c>
      <c r="C4130" s="2">
        <v>9.6</v>
      </c>
      <c r="D4130" s="60" t="s">
        <v>147</v>
      </c>
    </row>
    <row r="4131" spans="1:10">
      <c r="A4131" s="2" t="s">
        <v>141</v>
      </c>
      <c r="B4131" s="2">
        <v>9.6</v>
      </c>
      <c r="C4131" s="2">
        <v>9.9</v>
      </c>
      <c r="D4131" s="60" t="s">
        <v>153</v>
      </c>
    </row>
    <row r="4132" spans="1:10">
      <c r="A4132" s="2" t="s">
        <v>141</v>
      </c>
      <c r="B4132" s="2">
        <v>9.6</v>
      </c>
      <c r="C4132" s="2">
        <v>9.9</v>
      </c>
      <c r="D4132" s="60" t="s">
        <v>153</v>
      </c>
    </row>
    <row r="4133" spans="1:10">
      <c r="A4133" s="2" t="s">
        <v>141</v>
      </c>
      <c r="B4133" s="2">
        <v>9.6</v>
      </c>
      <c r="C4133" s="2">
        <v>9.9</v>
      </c>
      <c r="D4133" s="60" t="s">
        <v>154</v>
      </c>
    </row>
    <row r="4134" spans="1:10">
      <c r="A4134" s="2" t="s">
        <v>141</v>
      </c>
      <c r="B4134" s="2">
        <v>9.6</v>
      </c>
      <c r="C4134" s="2">
        <v>20.114000000000001</v>
      </c>
      <c r="D4134" s="60" t="s">
        <v>144</v>
      </c>
    </row>
    <row r="4135" spans="1:10">
      <c r="A4135" s="2" t="s">
        <v>141</v>
      </c>
      <c r="B4135" s="2">
        <v>9.6</v>
      </c>
      <c r="C4135" s="2">
        <v>20.114000000000001</v>
      </c>
      <c r="D4135" s="60" t="s">
        <v>161</v>
      </c>
    </row>
    <row r="4136" spans="1:10">
      <c r="A4136" s="2" t="s">
        <v>156</v>
      </c>
      <c r="B4136" s="2">
        <v>9.6</v>
      </c>
      <c r="C4136" s="2">
        <v>20.943999999999999</v>
      </c>
    </row>
    <row r="4137" spans="1:10">
      <c r="A4137" s="2" t="s">
        <v>148</v>
      </c>
      <c r="B4137" s="2" t="s">
        <v>99</v>
      </c>
      <c r="C4137" s="2">
        <v>4.2192100000000003E-2</v>
      </c>
      <c r="D4137" s="60">
        <v>0</v>
      </c>
      <c r="E4137" s="2">
        <v>0</v>
      </c>
      <c r="F4137" s="2">
        <v>0.3</v>
      </c>
      <c r="G4137" s="2">
        <v>41.273600000000002</v>
      </c>
      <c r="H4137" s="2">
        <v>43.445500000000003</v>
      </c>
      <c r="I4137" s="2">
        <v>0</v>
      </c>
      <c r="J4137" s="2">
        <v>0</v>
      </c>
    </row>
    <row r="4138" spans="1:10">
      <c r="A4138" s="2" t="s">
        <v>148</v>
      </c>
      <c r="B4138" s="2" t="s">
        <v>100</v>
      </c>
      <c r="C4138" s="2">
        <v>2.8059299999999999E-2</v>
      </c>
      <c r="D4138" s="60">
        <v>0</v>
      </c>
      <c r="E4138" s="2">
        <v>15.567399999999999</v>
      </c>
      <c r="F4138" s="2">
        <v>9.6729500000000002</v>
      </c>
      <c r="G4138" s="2">
        <v>0</v>
      </c>
      <c r="H4138" s="2">
        <v>10.000400000000001</v>
      </c>
      <c r="I4138" s="2">
        <v>0</v>
      </c>
      <c r="J4138" s="2">
        <v>0</v>
      </c>
    </row>
    <row r="4139" spans="1:10">
      <c r="A4139" s="2" t="s">
        <v>148</v>
      </c>
      <c r="B4139" s="2" t="s">
        <v>98</v>
      </c>
      <c r="C4139" s="2">
        <v>4.5340600000000002E-2</v>
      </c>
      <c r="D4139" s="60">
        <v>0</v>
      </c>
      <c r="E4139" s="2">
        <v>11.453900000000001</v>
      </c>
      <c r="F4139" s="2">
        <v>4.1135099999999998</v>
      </c>
      <c r="G4139" s="2">
        <v>10.000400000000001</v>
      </c>
      <c r="H4139" s="2">
        <v>13.5036</v>
      </c>
      <c r="I4139" s="2">
        <v>0</v>
      </c>
      <c r="J4139" s="2">
        <v>0</v>
      </c>
    </row>
    <row r="4140" spans="1:10">
      <c r="A4140" s="2" t="s">
        <v>148</v>
      </c>
      <c r="B4140" s="2" t="s">
        <v>101</v>
      </c>
      <c r="C4140" s="2">
        <v>0.10911700000000001</v>
      </c>
      <c r="D4140" s="60">
        <v>0</v>
      </c>
      <c r="E4140" s="2">
        <v>8.3000000000000007</v>
      </c>
      <c r="F4140" s="2">
        <v>3.15387</v>
      </c>
      <c r="G4140" s="2">
        <v>13.5036</v>
      </c>
      <c r="H4140" s="2">
        <v>28.7165</v>
      </c>
      <c r="I4140" s="2">
        <v>0</v>
      </c>
      <c r="J4140" s="2">
        <v>0</v>
      </c>
    </row>
    <row r="4141" spans="1:10">
      <c r="A4141" s="2" t="s">
        <v>148</v>
      </c>
      <c r="B4141" s="2" t="s">
        <v>60</v>
      </c>
      <c r="C4141" s="2">
        <v>0.29914600000000002</v>
      </c>
      <c r="D4141" s="60">
        <v>26.923200000000001</v>
      </c>
      <c r="E4141" s="2">
        <v>4.3</v>
      </c>
      <c r="F4141" s="2">
        <v>4</v>
      </c>
      <c r="G4141" s="2">
        <v>28.7165</v>
      </c>
      <c r="H4141" s="2">
        <v>32.824800000000003</v>
      </c>
      <c r="I4141" s="2">
        <v>0</v>
      </c>
      <c r="J4141" s="2">
        <v>0</v>
      </c>
    </row>
    <row r="4142" spans="1:10">
      <c r="A4142" s="2" t="s">
        <v>148</v>
      </c>
      <c r="B4142" s="2" t="s">
        <v>59</v>
      </c>
      <c r="C4142" s="2">
        <v>0.40042499999999998</v>
      </c>
      <c r="D4142" s="60">
        <v>40.042499999999997</v>
      </c>
      <c r="E4142" s="2">
        <v>0.3</v>
      </c>
      <c r="F4142" s="2">
        <v>4</v>
      </c>
      <c r="G4142" s="2">
        <v>32.824800000000003</v>
      </c>
      <c r="H4142" s="2">
        <v>41.273600000000002</v>
      </c>
      <c r="I4142" s="2">
        <v>0</v>
      </c>
      <c r="J4142" s="2">
        <v>0</v>
      </c>
    </row>
    <row r="4143" spans="1:10">
      <c r="A4143" s="2" t="s">
        <v>140</v>
      </c>
      <c r="B4143" s="2">
        <v>1</v>
      </c>
      <c r="C4143" s="2">
        <v>20.943999999999999</v>
      </c>
      <c r="D4143" s="60">
        <v>25.240300000000001</v>
      </c>
      <c r="E4143" s="2">
        <v>9.6</v>
      </c>
    </row>
    <row r="4144" spans="1:10">
      <c r="A4144" s="2" t="s">
        <v>141</v>
      </c>
      <c r="B4144" s="2">
        <v>9.6</v>
      </c>
      <c r="C4144" s="2">
        <v>9.9</v>
      </c>
      <c r="D4144" s="60" t="s">
        <v>153</v>
      </c>
    </row>
    <row r="4145" spans="1:10">
      <c r="A4145" s="2" t="s">
        <v>141</v>
      </c>
      <c r="B4145" s="2">
        <v>9.6</v>
      </c>
      <c r="C4145" s="2">
        <v>20.114000000000001</v>
      </c>
      <c r="D4145" s="60" t="s">
        <v>144</v>
      </c>
    </row>
    <row r="4146" spans="1:10">
      <c r="A4146" s="2" t="s">
        <v>141</v>
      </c>
      <c r="B4146" s="2">
        <v>9.6</v>
      </c>
      <c r="C4146" s="2">
        <v>20.114000000000001</v>
      </c>
      <c r="D4146" s="60" t="s">
        <v>161</v>
      </c>
    </row>
    <row r="4147" spans="1:10">
      <c r="A4147" s="2" t="s">
        <v>148</v>
      </c>
      <c r="B4147" s="2" t="s">
        <v>100</v>
      </c>
      <c r="C4147" s="2">
        <v>2.8059299999999999E-2</v>
      </c>
      <c r="D4147" s="60">
        <v>0</v>
      </c>
      <c r="E4147" s="2">
        <v>15.567399999999999</v>
      </c>
      <c r="F4147" s="2">
        <v>9.6729500000000002</v>
      </c>
      <c r="G4147" s="2">
        <v>0</v>
      </c>
      <c r="H4147" s="2">
        <v>10.000400000000001</v>
      </c>
      <c r="I4147" s="2">
        <v>0</v>
      </c>
      <c r="J4147" s="2">
        <v>0</v>
      </c>
    </row>
    <row r="4148" spans="1:10">
      <c r="A4148" s="2" t="s">
        <v>148</v>
      </c>
      <c r="B4148" s="2" t="s">
        <v>101</v>
      </c>
      <c r="C4148" s="2">
        <v>7.4688199999999996E-2</v>
      </c>
      <c r="D4148" s="60">
        <v>0</v>
      </c>
      <c r="E4148" s="2">
        <v>9.6</v>
      </c>
      <c r="F4148" s="2">
        <v>5.96739</v>
      </c>
      <c r="G4148" s="2">
        <v>10.000400000000001</v>
      </c>
      <c r="H4148" s="2">
        <v>14.8538</v>
      </c>
      <c r="I4148" s="2">
        <v>0</v>
      </c>
      <c r="J4148" s="2">
        <v>0</v>
      </c>
    </row>
    <row r="4149" spans="1:10">
      <c r="A4149" s="2" t="s">
        <v>140</v>
      </c>
      <c r="B4149" s="2">
        <v>1</v>
      </c>
      <c r="C4149" s="2">
        <v>22.174199999999999</v>
      </c>
      <c r="D4149" s="60">
        <v>25.240300000000001</v>
      </c>
      <c r="E4149" s="2">
        <v>9.6</v>
      </c>
    </row>
    <row r="4150" spans="1:10">
      <c r="A4150" s="2" t="s">
        <v>141</v>
      </c>
      <c r="B4150" s="2">
        <v>9.6</v>
      </c>
      <c r="C4150" s="2">
        <v>9.9</v>
      </c>
      <c r="D4150" s="60" t="s">
        <v>153</v>
      </c>
    </row>
    <row r="4151" spans="1:10">
      <c r="A4151" s="2" t="s">
        <v>141</v>
      </c>
      <c r="B4151" s="2">
        <v>9.6</v>
      </c>
      <c r="C4151" s="2">
        <v>20.114000000000001</v>
      </c>
      <c r="D4151" s="60" t="s">
        <v>144</v>
      </c>
    </row>
    <row r="4152" spans="1:10">
      <c r="A4152" s="2" t="s">
        <v>141</v>
      </c>
      <c r="B4152" s="2">
        <v>9.6</v>
      </c>
      <c r="C4152" s="2">
        <v>20.114000000000001</v>
      </c>
      <c r="D4152" s="60" t="s">
        <v>161</v>
      </c>
    </row>
    <row r="4153" spans="1:10">
      <c r="A4153" s="2" t="s">
        <v>148</v>
      </c>
      <c r="B4153" s="2" t="s">
        <v>100</v>
      </c>
      <c r="C4153" s="2">
        <v>2.6613299999999999E-2</v>
      </c>
      <c r="D4153" s="60">
        <v>0</v>
      </c>
      <c r="E4153" s="2">
        <v>16.107099999999999</v>
      </c>
      <c r="F4153" s="2">
        <v>9.1332599999999999</v>
      </c>
      <c r="G4153" s="2">
        <v>0</v>
      </c>
      <c r="H4153" s="2">
        <v>10</v>
      </c>
      <c r="I4153" s="2">
        <v>0</v>
      </c>
      <c r="J4153" s="2">
        <v>0</v>
      </c>
    </row>
    <row r="4154" spans="1:10">
      <c r="A4154" s="2" t="s">
        <v>148</v>
      </c>
      <c r="B4154" s="2" t="s">
        <v>101</v>
      </c>
      <c r="C4154" s="2">
        <v>8.7191099999999994E-2</v>
      </c>
      <c r="D4154" s="60">
        <v>0</v>
      </c>
      <c r="E4154" s="2">
        <v>9.6</v>
      </c>
      <c r="F4154" s="2">
        <v>6.5070699999999997</v>
      </c>
      <c r="G4154" s="2">
        <v>10</v>
      </c>
      <c r="H4154" s="2">
        <v>15.6327</v>
      </c>
      <c r="I4154" s="2">
        <v>0</v>
      </c>
      <c r="J4154" s="2">
        <v>0</v>
      </c>
    </row>
    <row r="4155" spans="1:10">
      <c r="A4155" s="2" t="s">
        <v>138</v>
      </c>
      <c r="B4155" s="2">
        <v>16</v>
      </c>
      <c r="C4155" s="2">
        <v>19.047599999999999</v>
      </c>
      <c r="D4155" s="60" t="s">
        <v>129</v>
      </c>
      <c r="E4155" s="2" t="s">
        <v>175</v>
      </c>
    </row>
    <row r="4156" spans="1:10">
      <c r="A4156" s="2" t="s">
        <v>140</v>
      </c>
      <c r="B4156" s="2">
        <v>0</v>
      </c>
      <c r="C4156" s="2">
        <v>41.237699999999997</v>
      </c>
      <c r="D4156" s="60">
        <v>25.2561</v>
      </c>
      <c r="E4156" s="2">
        <v>0</v>
      </c>
      <c r="F4156" s="2">
        <v>10.7</v>
      </c>
    </row>
    <row r="4157" spans="1:10">
      <c r="A4157" s="2" t="s">
        <v>141</v>
      </c>
      <c r="B4157" s="2">
        <v>0</v>
      </c>
      <c r="C4157" s="2">
        <v>6.5</v>
      </c>
      <c r="D4157" s="60" t="s">
        <v>142</v>
      </c>
    </row>
    <row r="4158" spans="1:10">
      <c r="A4158" s="2" t="s">
        <v>141</v>
      </c>
      <c r="B4158" s="2">
        <v>0</v>
      </c>
      <c r="C4158" s="2">
        <v>8.6999999999999993</v>
      </c>
      <c r="D4158" s="60" t="s">
        <v>146</v>
      </c>
    </row>
    <row r="4159" spans="1:10">
      <c r="A4159" s="2" t="s">
        <v>141</v>
      </c>
      <c r="B4159" s="2">
        <v>6.5</v>
      </c>
      <c r="C4159" s="2">
        <v>8</v>
      </c>
      <c r="D4159" s="60" t="s">
        <v>145</v>
      </c>
    </row>
    <row r="4160" spans="1:10">
      <c r="A4160" s="2" t="s">
        <v>141</v>
      </c>
      <c r="B4160" s="2">
        <v>8</v>
      </c>
      <c r="C4160" s="2">
        <v>8.3000000000000007</v>
      </c>
      <c r="D4160" s="60" t="s">
        <v>151</v>
      </c>
    </row>
    <row r="4161" spans="1:10">
      <c r="A4161" s="2" t="s">
        <v>141</v>
      </c>
      <c r="B4161" s="2">
        <v>8.3000000000000007</v>
      </c>
      <c r="C4161" s="2">
        <v>20.126000000000001</v>
      </c>
      <c r="D4161" s="60" t="s">
        <v>147</v>
      </c>
    </row>
    <row r="4162" spans="1:10">
      <c r="A4162" s="2" t="s">
        <v>141</v>
      </c>
      <c r="B4162" s="2">
        <v>8.6999999999999993</v>
      </c>
      <c r="C4162" s="2">
        <v>20.126000000000001</v>
      </c>
      <c r="D4162" s="60" t="s">
        <v>152</v>
      </c>
    </row>
    <row r="4163" spans="1:10">
      <c r="A4163" s="2" t="s">
        <v>148</v>
      </c>
      <c r="B4163" s="2" t="s">
        <v>99</v>
      </c>
      <c r="C4163" s="2">
        <v>4.24695E-2</v>
      </c>
      <c r="D4163" s="60">
        <v>0</v>
      </c>
      <c r="E4163" s="2">
        <v>0</v>
      </c>
      <c r="F4163" s="2">
        <v>0.3</v>
      </c>
      <c r="G4163" s="2">
        <v>41.409700000000001</v>
      </c>
      <c r="H4163" s="2">
        <v>43.587400000000002</v>
      </c>
      <c r="I4163" s="2">
        <v>0</v>
      </c>
      <c r="J4163" s="2">
        <v>0</v>
      </c>
    </row>
    <row r="4164" spans="1:10">
      <c r="A4164" s="2" t="s">
        <v>148</v>
      </c>
      <c r="B4164" s="2" t="s">
        <v>64</v>
      </c>
      <c r="C4164" s="2">
        <v>0.28187800000000002</v>
      </c>
      <c r="D4164" s="60">
        <v>8.4563500000000005</v>
      </c>
      <c r="E4164" s="2">
        <v>6.3</v>
      </c>
      <c r="F4164" s="2">
        <v>4.4000000000000004</v>
      </c>
      <c r="G4164" s="2">
        <v>25.8188</v>
      </c>
      <c r="H4164" s="2">
        <v>30.974299999999999</v>
      </c>
      <c r="I4164" s="2">
        <v>0</v>
      </c>
      <c r="J4164" s="2">
        <v>0</v>
      </c>
    </row>
    <row r="4165" spans="1:10">
      <c r="A4165" s="2" t="s">
        <v>148</v>
      </c>
      <c r="B4165" s="2" t="s">
        <v>59</v>
      </c>
      <c r="C4165" s="2">
        <v>0.56361499999999998</v>
      </c>
      <c r="D4165" s="60">
        <v>56.361499999999999</v>
      </c>
      <c r="E4165" s="2">
        <v>0.3</v>
      </c>
      <c r="F4165" s="2">
        <v>6</v>
      </c>
      <c r="G4165" s="2">
        <v>30.974299999999999</v>
      </c>
      <c r="H4165" s="2">
        <v>41.409700000000001</v>
      </c>
      <c r="I4165" s="2">
        <v>0</v>
      </c>
      <c r="J4165" s="2">
        <v>0</v>
      </c>
    </row>
    <row r="4166" spans="1:10">
      <c r="A4166" s="2" t="s">
        <v>138</v>
      </c>
      <c r="B4166" s="2">
        <v>17</v>
      </c>
      <c r="C4166" s="2">
        <v>19.634799999999998</v>
      </c>
      <c r="D4166" s="60" t="s">
        <v>129</v>
      </c>
      <c r="E4166" s="2" t="s">
        <v>139</v>
      </c>
    </row>
    <row r="4167" spans="1:10">
      <c r="A4167" s="2" t="s">
        <v>140</v>
      </c>
      <c r="B4167" s="2">
        <v>0</v>
      </c>
      <c r="C4167" s="2">
        <v>55.694000000000003</v>
      </c>
      <c r="D4167" s="60">
        <v>26.4023</v>
      </c>
    </row>
    <row r="4168" spans="1:10">
      <c r="A4168" s="2" t="s">
        <v>141</v>
      </c>
      <c r="B4168" s="2">
        <v>0</v>
      </c>
      <c r="C4168" s="2">
        <v>6.2</v>
      </c>
      <c r="D4168" s="60" t="s">
        <v>142</v>
      </c>
    </row>
    <row r="4169" spans="1:10">
      <c r="A4169" s="2" t="s">
        <v>141</v>
      </c>
      <c r="B4169" s="2">
        <v>0</v>
      </c>
      <c r="C4169" s="2">
        <v>9</v>
      </c>
      <c r="D4169" s="60" t="s">
        <v>146</v>
      </c>
    </row>
    <row r="4170" spans="1:10">
      <c r="A4170" s="2" t="s">
        <v>141</v>
      </c>
      <c r="B4170" s="2">
        <v>6.2</v>
      </c>
      <c r="C4170" s="2">
        <v>7.5</v>
      </c>
      <c r="D4170" s="60" t="s">
        <v>144</v>
      </c>
    </row>
    <row r="4171" spans="1:10">
      <c r="A4171" s="2" t="s">
        <v>141</v>
      </c>
      <c r="B4171" s="2">
        <v>7.5</v>
      </c>
      <c r="C4171" s="2">
        <v>8.6999999999999993</v>
      </c>
      <c r="D4171" s="60" t="s">
        <v>145</v>
      </c>
    </row>
    <row r="4172" spans="1:10">
      <c r="A4172" s="2" t="s">
        <v>141</v>
      </c>
      <c r="B4172" s="2">
        <v>8.6999999999999993</v>
      </c>
      <c r="C4172" s="2">
        <v>9</v>
      </c>
      <c r="D4172" s="60" t="s">
        <v>151</v>
      </c>
    </row>
    <row r="4173" spans="1:10">
      <c r="A4173" s="2" t="s">
        <v>141</v>
      </c>
      <c r="B4173" s="2">
        <v>9</v>
      </c>
      <c r="C4173" s="2">
        <v>9.3000000000000007</v>
      </c>
      <c r="D4173" s="60" t="s">
        <v>159</v>
      </c>
    </row>
    <row r="4174" spans="1:10">
      <c r="A4174" s="2" t="s">
        <v>141</v>
      </c>
      <c r="B4174" s="2">
        <v>9</v>
      </c>
      <c r="C4174" s="2">
        <v>12.2</v>
      </c>
      <c r="D4174" s="60" t="s">
        <v>147</v>
      </c>
    </row>
    <row r="4175" spans="1:10">
      <c r="A4175" s="2" t="s">
        <v>141</v>
      </c>
      <c r="B4175" s="2">
        <v>9.3000000000000007</v>
      </c>
      <c r="C4175" s="2">
        <v>12.2</v>
      </c>
      <c r="D4175" s="60" t="s">
        <v>146</v>
      </c>
    </row>
    <row r="4176" spans="1:10">
      <c r="A4176" s="2" t="s">
        <v>141</v>
      </c>
      <c r="B4176" s="2">
        <v>12.2</v>
      </c>
      <c r="C4176" s="2">
        <v>12.5</v>
      </c>
      <c r="D4176" s="60" t="s">
        <v>159</v>
      </c>
    </row>
    <row r="4177" spans="1:10">
      <c r="A4177" s="2" t="s">
        <v>141</v>
      </c>
      <c r="B4177" s="2">
        <v>12.2</v>
      </c>
      <c r="C4177" s="2">
        <v>21</v>
      </c>
      <c r="D4177" s="60" t="s">
        <v>144</v>
      </c>
    </row>
    <row r="4178" spans="1:10">
      <c r="A4178" s="2" t="s">
        <v>141</v>
      </c>
      <c r="B4178" s="2">
        <v>12.5</v>
      </c>
      <c r="C4178" s="2">
        <v>16.5</v>
      </c>
      <c r="D4178" s="60" t="s">
        <v>146</v>
      </c>
    </row>
    <row r="4179" spans="1:10">
      <c r="A4179" s="2" t="s">
        <v>141</v>
      </c>
      <c r="B4179" s="2">
        <v>16.5</v>
      </c>
      <c r="C4179" s="2">
        <v>21</v>
      </c>
      <c r="D4179" s="60" t="s">
        <v>161</v>
      </c>
    </row>
    <row r="4180" spans="1:10">
      <c r="A4180" s="2" t="s">
        <v>148</v>
      </c>
      <c r="B4180" s="2" t="s">
        <v>99</v>
      </c>
      <c r="C4180" s="2">
        <v>7.2938799999999998E-2</v>
      </c>
      <c r="D4180" s="60">
        <v>0</v>
      </c>
      <c r="E4180" s="2">
        <v>0</v>
      </c>
      <c r="F4180" s="2">
        <v>0.3</v>
      </c>
      <c r="G4180" s="2">
        <v>54.319200000000002</v>
      </c>
      <c r="H4180" s="2">
        <v>57.061300000000003</v>
      </c>
      <c r="I4180" s="2">
        <v>0</v>
      </c>
      <c r="J4180" s="2">
        <v>0</v>
      </c>
    </row>
    <row r="4181" spans="1:10">
      <c r="A4181" s="2" t="s">
        <v>148</v>
      </c>
      <c r="B4181" s="2" t="s">
        <v>100</v>
      </c>
      <c r="C4181" s="2">
        <v>1.2295499999999999E-2</v>
      </c>
      <c r="D4181" s="60">
        <v>0</v>
      </c>
      <c r="E4181" s="2">
        <v>22.857199999999999</v>
      </c>
      <c r="F4181" s="2">
        <v>3.54508</v>
      </c>
      <c r="G4181" s="2">
        <v>0</v>
      </c>
      <c r="H4181" s="2">
        <v>10</v>
      </c>
      <c r="I4181" s="2">
        <v>0</v>
      </c>
      <c r="J4181" s="2">
        <v>0</v>
      </c>
    </row>
    <row r="4182" spans="1:10">
      <c r="A4182" s="2" t="s">
        <v>148</v>
      </c>
      <c r="B4182" s="2" t="s">
        <v>98</v>
      </c>
      <c r="C4182" s="2">
        <v>0.13606199999999999</v>
      </c>
      <c r="D4182" s="60">
        <v>0</v>
      </c>
      <c r="E4182" s="2">
        <v>16.764900000000001</v>
      </c>
      <c r="F4182" s="2">
        <v>6.0922700000000001</v>
      </c>
      <c r="G4182" s="2">
        <v>10</v>
      </c>
      <c r="H4182" s="2">
        <v>22.9937</v>
      </c>
      <c r="I4182" s="2">
        <v>0</v>
      </c>
      <c r="J4182" s="2">
        <v>0</v>
      </c>
    </row>
    <row r="4183" spans="1:10">
      <c r="A4183" s="2" t="s">
        <v>148</v>
      </c>
      <c r="B4183" s="2" t="s">
        <v>101</v>
      </c>
      <c r="C4183" s="2">
        <v>1.1273E-2</v>
      </c>
      <c r="D4183" s="60">
        <v>0</v>
      </c>
      <c r="E4183" s="2">
        <v>16.5</v>
      </c>
      <c r="F4183" s="2">
        <v>0.264934</v>
      </c>
      <c r="G4183" s="2">
        <v>22.9937</v>
      </c>
      <c r="H4183" s="2">
        <v>23.5564</v>
      </c>
      <c r="I4183" s="2">
        <v>0</v>
      </c>
      <c r="J4183" s="2">
        <v>0</v>
      </c>
    </row>
    <row r="4184" spans="1:10">
      <c r="A4184" s="2" t="s">
        <v>148</v>
      </c>
      <c r="B4184" s="2" t="s">
        <v>60</v>
      </c>
      <c r="C4184" s="2">
        <v>0.24141699999999999</v>
      </c>
      <c r="D4184" s="60">
        <v>21.727499999999999</v>
      </c>
      <c r="E4184" s="2">
        <v>12.5</v>
      </c>
      <c r="F4184" s="2">
        <v>4</v>
      </c>
      <c r="G4184" s="2">
        <v>23.5564</v>
      </c>
      <c r="H4184" s="2">
        <v>31.493600000000001</v>
      </c>
      <c r="I4184" s="2">
        <v>0</v>
      </c>
      <c r="J4184" s="2">
        <v>0</v>
      </c>
    </row>
    <row r="4185" spans="1:10">
      <c r="A4185" s="2" t="s">
        <v>148</v>
      </c>
      <c r="B4185" s="2" t="s">
        <v>101</v>
      </c>
      <c r="C4185" s="2">
        <v>0.40587499999999999</v>
      </c>
      <c r="D4185" s="60">
        <v>0</v>
      </c>
      <c r="E4185" s="2">
        <v>8.3000000000000007</v>
      </c>
      <c r="F4185" s="2">
        <v>4.2</v>
      </c>
      <c r="G4185" s="2">
        <v>31.493600000000001</v>
      </c>
      <c r="H4185" s="2">
        <v>38.2605</v>
      </c>
      <c r="I4185" s="2">
        <v>0</v>
      </c>
      <c r="J4185" s="2">
        <v>0</v>
      </c>
    </row>
    <row r="4186" spans="1:10">
      <c r="A4186" s="2" t="s">
        <v>148</v>
      </c>
      <c r="B4186" s="2" t="s">
        <v>59</v>
      </c>
      <c r="C4186" s="2">
        <v>0.52553799999999995</v>
      </c>
      <c r="D4186" s="60">
        <v>52.553800000000003</v>
      </c>
      <c r="E4186" s="2">
        <v>4.3</v>
      </c>
      <c r="F4186" s="2">
        <v>4</v>
      </c>
      <c r="G4186" s="2">
        <v>38.2605</v>
      </c>
      <c r="H4186" s="2">
        <v>43.354199999999999</v>
      </c>
      <c r="I4186" s="2">
        <v>0</v>
      </c>
      <c r="J4186" s="2">
        <v>0</v>
      </c>
    </row>
    <row r="4187" spans="1:10">
      <c r="A4187" s="2" t="s">
        <v>148</v>
      </c>
      <c r="B4187" s="2" t="s">
        <v>55</v>
      </c>
      <c r="C4187" s="2">
        <v>0.69667599999999996</v>
      </c>
      <c r="D4187" s="60">
        <v>101.018</v>
      </c>
      <c r="E4187" s="2">
        <v>0.3</v>
      </c>
      <c r="F4187" s="2">
        <v>4</v>
      </c>
      <c r="G4187" s="2">
        <v>43.354199999999999</v>
      </c>
      <c r="H4187" s="2">
        <v>54.319200000000002</v>
      </c>
      <c r="I4187" s="2">
        <v>0</v>
      </c>
      <c r="J4187" s="2">
        <v>0</v>
      </c>
    </row>
    <row r="4188" spans="1:10">
      <c r="A4188" s="2" t="s">
        <v>272</v>
      </c>
    </row>
    <row r="4189" spans="1:10">
      <c r="A4189" s="2" t="s">
        <v>127</v>
      </c>
      <c r="B4189" s="2" t="s">
        <v>105</v>
      </c>
      <c r="C4189" s="2">
        <v>13.4</v>
      </c>
      <c r="D4189" s="60" t="s">
        <v>129</v>
      </c>
      <c r="E4189" s="2" t="s">
        <v>273</v>
      </c>
    </row>
    <row r="4190" spans="1:10">
      <c r="A4190" s="2" t="s">
        <v>130</v>
      </c>
      <c r="B4190" s="2" t="s">
        <v>131</v>
      </c>
      <c r="C4190" s="2" t="s">
        <v>274</v>
      </c>
      <c r="D4190" s="60" t="s">
        <v>133</v>
      </c>
      <c r="E4190" s="2">
        <v>12</v>
      </c>
      <c r="F4190" s="2">
        <v>2016</v>
      </c>
    </row>
    <row r="4191" spans="1:10">
      <c r="A4191" s="2" t="s">
        <v>275</v>
      </c>
      <c r="B4191" s="2" t="s">
        <v>276</v>
      </c>
      <c r="C4191" s="2" t="s">
        <v>277</v>
      </c>
    </row>
    <row r="4192" spans="1:10">
      <c r="A4192" s="2" t="s">
        <v>278</v>
      </c>
      <c r="B4192" s="2" t="s">
        <v>279</v>
      </c>
      <c r="C4192" s="2" t="s">
        <v>280</v>
      </c>
      <c r="D4192" s="60" t="s">
        <v>281</v>
      </c>
      <c r="E4192" s="2" t="s">
        <v>282</v>
      </c>
      <c r="F4192" s="2" t="s">
        <v>283</v>
      </c>
      <c r="G4192" s="2" t="s">
        <v>284</v>
      </c>
      <c r="H4192" s="2" t="s">
        <v>285</v>
      </c>
      <c r="I4192" s="2" t="s">
        <v>197</v>
      </c>
      <c r="J4192" s="2" t="s">
        <v>286</v>
      </c>
    </row>
    <row r="4193" spans="1:10">
      <c r="A4193" s="2" t="s">
        <v>134</v>
      </c>
      <c r="B4193" s="2" t="s">
        <v>76</v>
      </c>
      <c r="C4193" s="2">
        <v>28</v>
      </c>
      <c r="D4193" s="60" t="s">
        <v>287</v>
      </c>
      <c r="E4193" s="2" t="s">
        <v>187</v>
      </c>
      <c r="F4193" s="2" t="s">
        <v>233</v>
      </c>
      <c r="G4193" s="2" t="s">
        <v>172</v>
      </c>
    </row>
    <row r="4194" spans="1:10">
      <c r="A4194" s="2" t="s">
        <v>138</v>
      </c>
      <c r="B4194" s="2">
        <v>1</v>
      </c>
      <c r="C4194" s="2">
        <v>19.807500000000001</v>
      </c>
      <c r="D4194" s="60" t="s">
        <v>149</v>
      </c>
    </row>
    <row r="4195" spans="1:10">
      <c r="A4195" s="2" t="s">
        <v>140</v>
      </c>
      <c r="B4195" s="2">
        <v>0</v>
      </c>
      <c r="C4195" s="2">
        <v>56.336799999999997</v>
      </c>
      <c r="D4195" s="60">
        <v>28.051200000000001</v>
      </c>
    </row>
    <row r="4196" spans="1:10">
      <c r="A4196" s="2" t="s">
        <v>141</v>
      </c>
      <c r="B4196" s="2">
        <v>0</v>
      </c>
      <c r="C4196" s="2">
        <v>5</v>
      </c>
      <c r="D4196" s="60" t="s">
        <v>142</v>
      </c>
    </row>
    <row r="4197" spans="1:10">
      <c r="A4197" s="2" t="s">
        <v>141</v>
      </c>
      <c r="B4197" s="2">
        <v>0</v>
      </c>
      <c r="C4197" s="2">
        <v>5</v>
      </c>
      <c r="D4197" s="60" t="s">
        <v>146</v>
      </c>
    </row>
    <row r="4198" spans="1:10">
      <c r="A4198" s="2" t="s">
        <v>141</v>
      </c>
      <c r="B4198" s="2">
        <v>5</v>
      </c>
      <c r="C4198" s="2">
        <v>5.5</v>
      </c>
      <c r="D4198" s="60" t="s">
        <v>151</v>
      </c>
    </row>
    <row r="4199" spans="1:10">
      <c r="A4199" s="2" t="s">
        <v>141</v>
      </c>
      <c r="B4199" s="2">
        <v>5</v>
      </c>
      <c r="C4199" s="2">
        <v>5.5</v>
      </c>
      <c r="D4199" s="60" t="s">
        <v>159</v>
      </c>
    </row>
    <row r="4200" spans="1:10">
      <c r="A4200" s="2" t="s">
        <v>141</v>
      </c>
      <c r="B4200" s="2">
        <v>5.5</v>
      </c>
      <c r="C4200" s="2">
        <v>14.2</v>
      </c>
      <c r="D4200" s="60" t="s">
        <v>147</v>
      </c>
    </row>
    <row r="4201" spans="1:10">
      <c r="A4201" s="2" t="s">
        <v>141</v>
      </c>
      <c r="B4201" s="2">
        <v>5.5</v>
      </c>
      <c r="C4201" s="2">
        <v>21.358000000000001</v>
      </c>
      <c r="D4201" s="60" t="s">
        <v>155</v>
      </c>
    </row>
    <row r="4202" spans="1:10">
      <c r="A4202" s="2" t="s">
        <v>141</v>
      </c>
      <c r="B4202" s="2">
        <v>14.2</v>
      </c>
      <c r="C4202" s="2">
        <v>21.358000000000001</v>
      </c>
      <c r="D4202" s="60" t="s">
        <v>144</v>
      </c>
    </row>
    <row r="4203" spans="1:10">
      <c r="A4203" s="2" t="s">
        <v>148</v>
      </c>
      <c r="B4203" s="2" t="s">
        <v>99</v>
      </c>
      <c r="C4203" s="2">
        <v>7.4733800000000003E-2</v>
      </c>
      <c r="D4203" s="60">
        <v>0</v>
      </c>
      <c r="E4203" s="2">
        <v>0</v>
      </c>
      <c r="F4203" s="2">
        <v>0.3</v>
      </c>
      <c r="G4203" s="2">
        <v>55.0518</v>
      </c>
      <c r="H4203" s="2">
        <v>57.679299999999998</v>
      </c>
      <c r="I4203" s="2">
        <v>0</v>
      </c>
      <c r="J4203" s="2">
        <v>0</v>
      </c>
    </row>
    <row r="4204" spans="1:10">
      <c r="A4204" s="2" t="s">
        <v>148</v>
      </c>
      <c r="B4204" s="2" t="s">
        <v>100</v>
      </c>
      <c r="C4204" s="2">
        <v>1.29009E-2</v>
      </c>
      <c r="D4204" s="60">
        <v>0</v>
      </c>
      <c r="E4204" s="2">
        <v>24.341000000000001</v>
      </c>
      <c r="F4204" s="2">
        <v>3.7101899999999999</v>
      </c>
      <c r="G4204" s="2">
        <v>0</v>
      </c>
      <c r="H4204" s="2">
        <v>10</v>
      </c>
      <c r="I4204" s="2">
        <v>0</v>
      </c>
      <c r="J4204" s="2">
        <v>0</v>
      </c>
    </row>
    <row r="4205" spans="1:10">
      <c r="A4205" s="2" t="s">
        <v>148</v>
      </c>
      <c r="B4205" s="2" t="s">
        <v>98</v>
      </c>
      <c r="C4205" s="2">
        <v>0.12854699999999999</v>
      </c>
      <c r="D4205" s="60">
        <v>0</v>
      </c>
      <c r="E4205" s="2">
        <v>18.2941</v>
      </c>
      <c r="F4205" s="2">
        <v>6.0468900000000003</v>
      </c>
      <c r="G4205" s="2">
        <v>10</v>
      </c>
      <c r="H4205" s="2">
        <v>22.261600000000001</v>
      </c>
      <c r="I4205" s="2">
        <v>0</v>
      </c>
      <c r="J4205" s="2">
        <v>0</v>
      </c>
    </row>
    <row r="4206" spans="1:10">
      <c r="A4206" s="2" t="s">
        <v>148</v>
      </c>
      <c r="B4206" s="2" t="s">
        <v>101</v>
      </c>
      <c r="C4206" s="2">
        <v>3.3206800000000002E-2</v>
      </c>
      <c r="D4206" s="60">
        <v>0</v>
      </c>
      <c r="E4206" s="2">
        <v>17.5</v>
      </c>
      <c r="F4206" s="2">
        <v>0.79413699999999998</v>
      </c>
      <c r="G4206" s="2">
        <v>22.261600000000001</v>
      </c>
      <c r="H4206" s="2">
        <v>23.873000000000001</v>
      </c>
      <c r="I4206" s="2">
        <v>0</v>
      </c>
      <c r="J4206" s="2">
        <v>0</v>
      </c>
    </row>
    <row r="4207" spans="1:10">
      <c r="A4207" s="2" t="s">
        <v>148</v>
      </c>
      <c r="B4207" s="2" t="s">
        <v>63</v>
      </c>
      <c r="C4207" s="2">
        <v>0.24346999999999999</v>
      </c>
      <c r="D4207" s="60">
        <v>17.042899999999999</v>
      </c>
      <c r="E4207" s="2">
        <v>13.5</v>
      </c>
      <c r="F4207" s="2">
        <v>4</v>
      </c>
      <c r="G4207" s="2">
        <v>23.873000000000001</v>
      </c>
      <c r="H4207" s="2">
        <v>31.453199999999999</v>
      </c>
      <c r="I4207" s="2">
        <v>0</v>
      </c>
      <c r="J4207" s="2">
        <v>0</v>
      </c>
    </row>
    <row r="4208" spans="1:10">
      <c r="A4208" s="2" t="s">
        <v>148</v>
      </c>
      <c r="B4208" s="2" t="s">
        <v>62</v>
      </c>
      <c r="C4208" s="2">
        <v>0.379689</v>
      </c>
      <c r="D4208" s="60">
        <v>30.3752</v>
      </c>
      <c r="E4208" s="2">
        <v>9.5</v>
      </c>
      <c r="F4208" s="2">
        <v>4</v>
      </c>
      <c r="G4208" s="2">
        <v>31.453199999999999</v>
      </c>
      <c r="H4208" s="2">
        <v>37.743499999999997</v>
      </c>
      <c r="I4208" s="2">
        <v>0</v>
      </c>
      <c r="J4208" s="2">
        <v>0</v>
      </c>
    </row>
    <row r="4209" spans="1:10">
      <c r="A4209" s="2" t="s">
        <v>148</v>
      </c>
      <c r="B4209" s="2" t="s">
        <v>62</v>
      </c>
      <c r="C4209" s="2">
        <v>0.51162700000000005</v>
      </c>
      <c r="D4209" s="60">
        <v>40.930100000000003</v>
      </c>
      <c r="E4209" s="2">
        <v>5.5</v>
      </c>
      <c r="F4209" s="2">
        <v>4</v>
      </c>
      <c r="G4209" s="2">
        <v>37.743499999999997</v>
      </c>
      <c r="H4209" s="2">
        <v>42.747999999999998</v>
      </c>
      <c r="I4209" s="2">
        <v>0</v>
      </c>
      <c r="J4209" s="2">
        <v>0</v>
      </c>
    </row>
    <row r="4210" spans="1:10">
      <c r="A4210" s="2" t="s">
        <v>148</v>
      </c>
      <c r="B4210" s="2" t="s">
        <v>101</v>
      </c>
      <c r="C4210" s="2">
        <v>0.177869</v>
      </c>
      <c r="D4210" s="60">
        <v>0</v>
      </c>
      <c r="E4210" s="2">
        <v>4.3</v>
      </c>
      <c r="F4210" s="2">
        <v>1.2</v>
      </c>
      <c r="G4210" s="2">
        <v>42.747999999999998</v>
      </c>
      <c r="H4210" s="2">
        <v>44.139800000000001</v>
      </c>
      <c r="I4210" s="2">
        <v>0</v>
      </c>
      <c r="J4210" s="2">
        <v>0</v>
      </c>
    </row>
    <row r="4211" spans="1:10">
      <c r="A4211" s="2" t="s">
        <v>148</v>
      </c>
      <c r="B4211" s="2" t="s">
        <v>55</v>
      </c>
      <c r="C4211" s="2">
        <v>0.71995500000000001</v>
      </c>
      <c r="D4211" s="60">
        <v>104.393</v>
      </c>
      <c r="E4211" s="2">
        <v>0.3</v>
      </c>
      <c r="F4211" s="2">
        <v>4</v>
      </c>
      <c r="G4211" s="2">
        <v>44.139800000000001</v>
      </c>
      <c r="H4211" s="2">
        <v>55.0518</v>
      </c>
      <c r="I4211" s="2">
        <v>0</v>
      </c>
      <c r="J4211" s="2">
        <v>0</v>
      </c>
    </row>
    <row r="4212" spans="1:10">
      <c r="A4212" s="2" t="s">
        <v>138</v>
      </c>
      <c r="B4212" s="2">
        <v>2</v>
      </c>
      <c r="C4212" s="2">
        <v>19.796700000000001</v>
      </c>
      <c r="D4212" s="60" t="s">
        <v>149</v>
      </c>
    </row>
    <row r="4213" spans="1:10">
      <c r="A4213" s="2" t="s">
        <v>140</v>
      </c>
      <c r="B4213" s="2">
        <v>0</v>
      </c>
      <c r="C4213" s="2">
        <v>55.485799999999998</v>
      </c>
      <c r="D4213" s="60">
        <v>27.9361</v>
      </c>
    </row>
    <row r="4214" spans="1:10">
      <c r="A4214" s="2" t="s">
        <v>141</v>
      </c>
      <c r="B4214" s="2">
        <v>0</v>
      </c>
      <c r="C4214" s="2">
        <v>6.5</v>
      </c>
      <c r="D4214" s="60" t="s">
        <v>142</v>
      </c>
    </row>
    <row r="4215" spans="1:10">
      <c r="A4215" s="2" t="s">
        <v>141</v>
      </c>
      <c r="B4215" s="2">
        <v>0</v>
      </c>
      <c r="C4215" s="2">
        <v>21.269300000000001</v>
      </c>
      <c r="D4215" s="60" t="s">
        <v>155</v>
      </c>
    </row>
    <row r="4216" spans="1:10">
      <c r="A4216" s="2" t="s">
        <v>141</v>
      </c>
      <c r="B4216" s="2">
        <v>6.5</v>
      </c>
      <c r="C4216" s="2">
        <v>10.5</v>
      </c>
      <c r="D4216" s="60" t="s">
        <v>147</v>
      </c>
    </row>
    <row r="4217" spans="1:10">
      <c r="A4217" s="2" t="s">
        <v>141</v>
      </c>
      <c r="B4217" s="2">
        <v>10.5</v>
      </c>
      <c r="C4217" s="2">
        <v>21.269300000000001</v>
      </c>
      <c r="D4217" s="60" t="s">
        <v>144</v>
      </c>
    </row>
    <row r="4218" spans="1:10">
      <c r="A4218" s="2" t="s">
        <v>148</v>
      </c>
      <c r="B4218" s="2" t="s">
        <v>99</v>
      </c>
      <c r="C4218" s="2">
        <v>7.2705599999999995E-2</v>
      </c>
      <c r="D4218" s="60">
        <v>0</v>
      </c>
      <c r="E4218" s="2">
        <v>0</v>
      </c>
      <c r="F4218" s="2">
        <v>0.3</v>
      </c>
      <c r="G4218" s="2">
        <v>54.295200000000001</v>
      </c>
      <c r="H4218" s="2">
        <v>56.896500000000003</v>
      </c>
      <c r="I4218" s="2">
        <v>0</v>
      </c>
      <c r="J4218" s="2">
        <v>0</v>
      </c>
    </row>
    <row r="4219" spans="1:10">
      <c r="A4219" s="2" t="s">
        <v>148</v>
      </c>
      <c r="B4219" s="2" t="s">
        <v>100</v>
      </c>
      <c r="C4219" s="2">
        <v>1.30533E-2</v>
      </c>
      <c r="D4219" s="60">
        <v>0</v>
      </c>
      <c r="E4219" s="2">
        <v>24.169899999999998</v>
      </c>
      <c r="F4219" s="2">
        <v>3.7661699999999998</v>
      </c>
      <c r="G4219" s="2">
        <v>0</v>
      </c>
      <c r="H4219" s="2">
        <v>10</v>
      </c>
      <c r="I4219" s="2">
        <v>0</v>
      </c>
      <c r="J4219" s="2">
        <v>0</v>
      </c>
    </row>
    <row r="4220" spans="1:10">
      <c r="A4220" s="2" t="s">
        <v>148</v>
      </c>
      <c r="B4220" s="2" t="s">
        <v>98</v>
      </c>
      <c r="C4220" s="2">
        <v>7.7907599999999994E-2</v>
      </c>
      <c r="D4220" s="60">
        <v>0</v>
      </c>
      <c r="E4220" s="2">
        <v>19.607399999999998</v>
      </c>
      <c r="F4220" s="2">
        <v>4.5624700000000002</v>
      </c>
      <c r="G4220" s="2">
        <v>10</v>
      </c>
      <c r="H4220" s="2">
        <v>19.128599999999999</v>
      </c>
      <c r="I4220" s="2">
        <v>0</v>
      </c>
      <c r="J4220" s="2">
        <v>0</v>
      </c>
    </row>
    <row r="4221" spans="1:10">
      <c r="A4221" s="2" t="s">
        <v>148</v>
      </c>
      <c r="B4221" s="2" t="s">
        <v>101</v>
      </c>
      <c r="C4221" s="2">
        <v>4.3065699999999998E-2</v>
      </c>
      <c r="D4221" s="60">
        <v>0</v>
      </c>
      <c r="E4221" s="2">
        <v>18.3</v>
      </c>
      <c r="F4221" s="2">
        <v>1.3074399999999999</v>
      </c>
      <c r="G4221" s="2">
        <v>19.128599999999999</v>
      </c>
      <c r="H4221" s="2">
        <v>21.795500000000001</v>
      </c>
      <c r="I4221" s="2">
        <v>0</v>
      </c>
      <c r="J4221" s="2">
        <v>0</v>
      </c>
    </row>
    <row r="4222" spans="1:10">
      <c r="A4222" s="2" t="s">
        <v>148</v>
      </c>
      <c r="B4222" s="2" t="s">
        <v>63</v>
      </c>
      <c r="C4222" s="2">
        <v>0.209562</v>
      </c>
      <c r="D4222" s="60">
        <v>14.6693</v>
      </c>
      <c r="E4222" s="2">
        <v>14.3</v>
      </c>
      <c r="F4222" s="2">
        <v>4</v>
      </c>
      <c r="G4222" s="2">
        <v>21.795500000000001</v>
      </c>
      <c r="H4222" s="2">
        <v>29.514700000000001</v>
      </c>
      <c r="I4222" s="2">
        <v>0</v>
      </c>
      <c r="J4222" s="2">
        <v>0</v>
      </c>
    </row>
    <row r="4223" spans="1:10">
      <c r="A4223" s="2" t="s">
        <v>148</v>
      </c>
      <c r="B4223" s="2" t="s">
        <v>62</v>
      </c>
      <c r="C4223" s="2">
        <v>0.341053</v>
      </c>
      <c r="D4223" s="60">
        <v>27.284199999999998</v>
      </c>
      <c r="E4223" s="2">
        <v>10.3</v>
      </c>
      <c r="F4223" s="2">
        <v>4</v>
      </c>
      <c r="G4223" s="2">
        <v>29.514700000000001</v>
      </c>
      <c r="H4223" s="2">
        <v>36.041499999999999</v>
      </c>
      <c r="I4223" s="2">
        <v>0</v>
      </c>
      <c r="J4223" s="2">
        <v>0</v>
      </c>
    </row>
    <row r="4224" spans="1:10">
      <c r="A4224" s="2" t="s">
        <v>148</v>
      </c>
      <c r="B4224" s="2" t="s">
        <v>62</v>
      </c>
      <c r="C4224" s="2">
        <v>0.47194199999999997</v>
      </c>
      <c r="D4224" s="60">
        <v>37.755400000000002</v>
      </c>
      <c r="E4224" s="2">
        <v>6.3</v>
      </c>
      <c r="F4224" s="2">
        <v>4</v>
      </c>
      <c r="G4224" s="2">
        <v>36.041499999999999</v>
      </c>
      <c r="H4224" s="2">
        <v>41.221200000000003</v>
      </c>
      <c r="I4224" s="2">
        <v>0</v>
      </c>
      <c r="J4224" s="2">
        <v>0</v>
      </c>
    </row>
    <row r="4225" spans="1:10">
      <c r="A4225" s="2" t="s">
        <v>148</v>
      </c>
      <c r="B4225" s="2" t="s">
        <v>62</v>
      </c>
      <c r="C4225" s="2">
        <v>0.98207100000000003</v>
      </c>
      <c r="D4225" s="60">
        <v>78.565700000000007</v>
      </c>
      <c r="E4225" s="2">
        <v>0.3</v>
      </c>
      <c r="F4225" s="2">
        <v>6</v>
      </c>
      <c r="G4225" s="2">
        <v>41.221200000000003</v>
      </c>
      <c r="H4225" s="2">
        <v>54.295200000000001</v>
      </c>
      <c r="I4225" s="2">
        <v>0</v>
      </c>
      <c r="J4225" s="2">
        <v>0</v>
      </c>
    </row>
    <row r="4226" spans="1:10">
      <c r="A4226" s="2" t="s">
        <v>138</v>
      </c>
      <c r="B4226" s="2">
        <v>3</v>
      </c>
      <c r="C4226" s="2">
        <v>19.685099999999998</v>
      </c>
      <c r="D4226" s="60" t="s">
        <v>139</v>
      </c>
    </row>
    <row r="4227" spans="1:10">
      <c r="A4227" s="2" t="s">
        <v>140</v>
      </c>
      <c r="B4227" s="2">
        <v>0</v>
      </c>
      <c r="C4227" s="2">
        <v>51.778599999999997</v>
      </c>
      <c r="D4227" s="60">
        <v>24.4712</v>
      </c>
    </row>
    <row r="4228" spans="1:10">
      <c r="A4228" s="2" t="s">
        <v>141</v>
      </c>
      <c r="B4228" s="2">
        <v>0</v>
      </c>
      <c r="C4228" s="2">
        <v>6.8</v>
      </c>
      <c r="D4228" s="60" t="s">
        <v>142</v>
      </c>
    </row>
    <row r="4229" spans="1:10">
      <c r="A4229" s="2" t="s">
        <v>141</v>
      </c>
      <c r="B4229" s="2">
        <v>0</v>
      </c>
      <c r="C4229" s="2">
        <v>18.600000000000001</v>
      </c>
      <c r="D4229" s="60" t="s">
        <v>155</v>
      </c>
    </row>
    <row r="4230" spans="1:10">
      <c r="A4230" s="2" t="s">
        <v>141</v>
      </c>
      <c r="B4230" s="2">
        <v>6.8</v>
      </c>
      <c r="C4230" s="2">
        <v>12</v>
      </c>
      <c r="D4230" s="60" t="s">
        <v>145</v>
      </c>
    </row>
    <row r="4231" spans="1:10">
      <c r="A4231" s="2" t="s">
        <v>141</v>
      </c>
      <c r="B4231" s="2">
        <v>12</v>
      </c>
      <c r="C4231" s="2">
        <v>12.3</v>
      </c>
      <c r="D4231" s="60" t="s">
        <v>147</v>
      </c>
    </row>
    <row r="4232" spans="1:10">
      <c r="A4232" s="2" t="s">
        <v>141</v>
      </c>
      <c r="B4232" s="2">
        <v>12.3</v>
      </c>
      <c r="C4232" s="2">
        <v>18.600000000000001</v>
      </c>
      <c r="D4232" s="60" t="s">
        <v>144</v>
      </c>
    </row>
    <row r="4233" spans="1:10">
      <c r="A4233" s="2" t="s">
        <v>148</v>
      </c>
      <c r="B4233" s="2" t="s">
        <v>99</v>
      </c>
      <c r="C4233" s="2">
        <v>6.3719899999999996E-2</v>
      </c>
      <c r="D4233" s="60">
        <v>0</v>
      </c>
      <c r="E4233" s="2">
        <v>0</v>
      </c>
      <c r="F4233" s="2">
        <v>0.3</v>
      </c>
      <c r="G4233" s="2">
        <v>50.6875</v>
      </c>
      <c r="H4233" s="2">
        <v>53.431600000000003</v>
      </c>
      <c r="I4233" s="2">
        <v>0</v>
      </c>
      <c r="J4233" s="2">
        <v>0</v>
      </c>
    </row>
    <row r="4234" spans="1:10">
      <c r="A4234" s="2" t="s">
        <v>148</v>
      </c>
      <c r="B4234" s="2" t="s">
        <v>100</v>
      </c>
      <c r="C4234" s="2">
        <v>1.2274800000000001E-2</v>
      </c>
      <c r="D4234" s="60">
        <v>0</v>
      </c>
      <c r="E4234" s="2">
        <v>20.875499999999999</v>
      </c>
      <c r="F4234" s="2">
        <v>3.59571</v>
      </c>
      <c r="G4234" s="2">
        <v>0</v>
      </c>
      <c r="H4234" s="2">
        <v>10</v>
      </c>
      <c r="I4234" s="2">
        <v>0</v>
      </c>
      <c r="J4234" s="2">
        <v>0</v>
      </c>
    </row>
    <row r="4235" spans="1:10">
      <c r="A4235" s="2" t="s">
        <v>148</v>
      </c>
      <c r="B4235" s="2" t="s">
        <v>98</v>
      </c>
      <c r="C4235" s="2">
        <v>0.280024</v>
      </c>
      <c r="D4235" s="60">
        <v>0</v>
      </c>
      <c r="E4235" s="2">
        <v>12.094200000000001</v>
      </c>
      <c r="F4235" s="2">
        <v>8.7812999999999999</v>
      </c>
      <c r="G4235" s="2">
        <v>10</v>
      </c>
      <c r="H4235" s="2">
        <v>28.542899999999999</v>
      </c>
      <c r="I4235" s="2">
        <v>0</v>
      </c>
      <c r="J4235" s="2">
        <v>0</v>
      </c>
    </row>
    <row r="4236" spans="1:10">
      <c r="A4236" s="2" t="s">
        <v>148</v>
      </c>
      <c r="B4236" s="2" t="s">
        <v>101</v>
      </c>
      <c r="C4236" s="2">
        <v>0.12848899999999999</v>
      </c>
      <c r="D4236" s="60">
        <v>0</v>
      </c>
      <c r="E4236" s="2">
        <v>10.3</v>
      </c>
      <c r="F4236" s="2">
        <v>1.7941499999999999</v>
      </c>
      <c r="G4236" s="2">
        <v>28.542899999999999</v>
      </c>
      <c r="H4236" s="2">
        <v>31.764900000000001</v>
      </c>
      <c r="I4236" s="2">
        <v>0</v>
      </c>
      <c r="J4236" s="2">
        <v>0</v>
      </c>
    </row>
    <row r="4237" spans="1:10">
      <c r="A4237" s="2" t="s">
        <v>148</v>
      </c>
      <c r="B4237" s="2" t="s">
        <v>62</v>
      </c>
      <c r="C4237" s="2">
        <v>0.38306600000000002</v>
      </c>
      <c r="D4237" s="60">
        <v>30.645299999999999</v>
      </c>
      <c r="E4237" s="2">
        <v>6.3</v>
      </c>
      <c r="F4237" s="2">
        <v>4</v>
      </c>
      <c r="G4237" s="2">
        <v>31.764900000000001</v>
      </c>
      <c r="H4237" s="2">
        <v>37.716999999999999</v>
      </c>
      <c r="I4237" s="2">
        <v>0</v>
      </c>
      <c r="J4237" s="2">
        <v>0</v>
      </c>
    </row>
    <row r="4238" spans="1:10">
      <c r="A4238" s="2" t="s">
        <v>148</v>
      </c>
      <c r="B4238" s="2" t="s">
        <v>62</v>
      </c>
      <c r="C4238" s="2">
        <v>0.84076499999999998</v>
      </c>
      <c r="D4238" s="60">
        <v>67.261200000000002</v>
      </c>
      <c r="E4238" s="2">
        <v>0.3</v>
      </c>
      <c r="F4238" s="2">
        <v>6</v>
      </c>
      <c r="G4238" s="2">
        <v>37.716999999999999</v>
      </c>
      <c r="H4238" s="2">
        <v>50.6875</v>
      </c>
      <c r="I4238" s="2">
        <v>0</v>
      </c>
      <c r="J4238" s="2">
        <v>0</v>
      </c>
    </row>
    <row r="4239" spans="1:10">
      <c r="A4239" s="2" t="s">
        <v>138</v>
      </c>
      <c r="B4239" s="2">
        <v>4</v>
      </c>
      <c r="C4239" s="2">
        <v>19.806100000000001</v>
      </c>
      <c r="D4239" s="60" t="s">
        <v>139</v>
      </c>
    </row>
    <row r="4240" spans="1:10">
      <c r="A4240" s="2" t="s">
        <v>140</v>
      </c>
      <c r="B4240" s="2">
        <v>0</v>
      </c>
      <c r="C4240" s="2">
        <v>61.132399999999997</v>
      </c>
      <c r="D4240" s="60">
        <v>23.951899999999998</v>
      </c>
    </row>
    <row r="4241" spans="1:10">
      <c r="A4241" s="2" t="s">
        <v>141</v>
      </c>
      <c r="B4241" s="2">
        <v>0</v>
      </c>
      <c r="C4241" s="2">
        <v>5.0999999999999996</v>
      </c>
      <c r="D4241" s="60" t="s">
        <v>142</v>
      </c>
    </row>
    <row r="4242" spans="1:10">
      <c r="A4242" s="2" t="s">
        <v>141</v>
      </c>
      <c r="B4242" s="2">
        <v>0</v>
      </c>
      <c r="C4242" s="2">
        <v>5.0999999999999996</v>
      </c>
      <c r="D4242" s="60" t="s">
        <v>158</v>
      </c>
    </row>
    <row r="4243" spans="1:10">
      <c r="A4243" s="2" t="s">
        <v>141</v>
      </c>
      <c r="B4243" s="2">
        <v>0</v>
      </c>
      <c r="C4243" s="2">
        <v>8.9</v>
      </c>
      <c r="D4243" s="60" t="s">
        <v>146</v>
      </c>
    </row>
    <row r="4244" spans="1:10">
      <c r="A4244" s="2" t="s">
        <v>141</v>
      </c>
      <c r="B4244" s="2">
        <v>5.0999999999999996</v>
      </c>
      <c r="C4244" s="2">
        <v>5.6</v>
      </c>
      <c r="D4244" s="60" t="s">
        <v>151</v>
      </c>
    </row>
    <row r="4245" spans="1:10">
      <c r="A4245" s="2" t="s">
        <v>141</v>
      </c>
      <c r="B4245" s="2">
        <v>5.0999999999999996</v>
      </c>
      <c r="C4245" s="2">
        <v>5.6</v>
      </c>
      <c r="D4245" s="60" t="s">
        <v>178</v>
      </c>
    </row>
    <row r="4246" spans="1:10">
      <c r="A4246" s="2" t="s">
        <v>141</v>
      </c>
      <c r="B4246" s="2">
        <v>5.6</v>
      </c>
      <c r="C4246" s="2">
        <v>8.9</v>
      </c>
      <c r="D4246" s="60" t="s">
        <v>147</v>
      </c>
    </row>
    <row r="4247" spans="1:10">
      <c r="A4247" s="2" t="s">
        <v>141</v>
      </c>
      <c r="B4247" s="2">
        <v>8.9</v>
      </c>
      <c r="C4247" s="2">
        <v>9.4</v>
      </c>
      <c r="D4247" s="60" t="s">
        <v>151</v>
      </c>
    </row>
    <row r="4248" spans="1:10">
      <c r="A4248" s="2" t="s">
        <v>141</v>
      </c>
      <c r="B4248" s="2">
        <v>8.9</v>
      </c>
      <c r="C4248" s="2">
        <v>9.4</v>
      </c>
      <c r="D4248" s="60" t="s">
        <v>161</v>
      </c>
    </row>
    <row r="4249" spans="1:10">
      <c r="A4249" s="2" t="s">
        <v>141</v>
      </c>
      <c r="B4249" s="2">
        <v>9.4</v>
      </c>
      <c r="C4249" s="2">
        <v>9.6999999999999993</v>
      </c>
      <c r="D4249" s="60" t="s">
        <v>154</v>
      </c>
    </row>
    <row r="4250" spans="1:10">
      <c r="A4250" s="2" t="s">
        <v>141</v>
      </c>
      <c r="B4250" s="2">
        <v>9.4</v>
      </c>
      <c r="C4250" s="2">
        <v>18.2</v>
      </c>
      <c r="D4250" s="60" t="s">
        <v>144</v>
      </c>
    </row>
    <row r="4251" spans="1:10">
      <c r="A4251" s="2" t="s">
        <v>141</v>
      </c>
      <c r="B4251" s="2">
        <v>9.4</v>
      </c>
      <c r="C4251" s="2">
        <v>18.2</v>
      </c>
      <c r="D4251" s="60" t="s">
        <v>155</v>
      </c>
    </row>
    <row r="4252" spans="1:10">
      <c r="A4252" s="2" t="s">
        <v>156</v>
      </c>
      <c r="B4252" s="2">
        <v>9.4</v>
      </c>
      <c r="C4252" s="2">
        <v>37.033299999999997</v>
      </c>
    </row>
    <row r="4253" spans="1:10">
      <c r="A4253" s="2" t="s">
        <v>148</v>
      </c>
      <c r="B4253" s="2" t="s">
        <v>99</v>
      </c>
      <c r="C4253" s="2">
        <v>8.5678000000000004E-2</v>
      </c>
      <c r="D4253" s="60">
        <v>0</v>
      </c>
      <c r="E4253" s="2">
        <v>0</v>
      </c>
      <c r="F4253" s="2">
        <v>0.3</v>
      </c>
      <c r="G4253" s="2">
        <v>58.747599999999998</v>
      </c>
      <c r="H4253" s="2">
        <v>61.991199999999999</v>
      </c>
      <c r="I4253" s="2">
        <v>0</v>
      </c>
      <c r="J4253" s="2">
        <v>0</v>
      </c>
    </row>
    <row r="4254" spans="1:10">
      <c r="A4254" s="2" t="s">
        <v>148</v>
      </c>
      <c r="B4254" s="2" t="s">
        <v>100</v>
      </c>
      <c r="C4254" s="2">
        <v>1.6296999999999999E-2</v>
      </c>
      <c r="D4254" s="60">
        <v>0</v>
      </c>
      <c r="E4254" s="2">
        <v>18.8094</v>
      </c>
      <c r="F4254" s="2">
        <v>5.1424899999999996</v>
      </c>
      <c r="G4254" s="2">
        <v>0</v>
      </c>
      <c r="H4254" s="2">
        <v>10</v>
      </c>
      <c r="I4254" s="2">
        <v>0</v>
      </c>
      <c r="J4254" s="2">
        <v>0</v>
      </c>
    </row>
    <row r="4255" spans="1:10">
      <c r="A4255" s="2" t="s">
        <v>148</v>
      </c>
      <c r="B4255" s="2" t="s">
        <v>98</v>
      </c>
      <c r="C4255" s="2">
        <v>8.6124999999999993E-2</v>
      </c>
      <c r="D4255" s="60">
        <v>0</v>
      </c>
      <c r="E4255" s="2">
        <v>13.598100000000001</v>
      </c>
      <c r="F4255" s="2">
        <v>5.2113800000000001</v>
      </c>
      <c r="G4255" s="2">
        <v>10</v>
      </c>
      <c r="H4255" s="2">
        <v>18.513500000000001</v>
      </c>
      <c r="I4255" s="2">
        <v>0</v>
      </c>
      <c r="J4255" s="2">
        <v>0</v>
      </c>
    </row>
    <row r="4256" spans="1:10">
      <c r="A4256" s="2" t="s">
        <v>148</v>
      </c>
      <c r="B4256" s="2" t="s">
        <v>101</v>
      </c>
      <c r="C4256" s="2">
        <v>2.6616600000000002E-3</v>
      </c>
      <c r="D4256" s="60">
        <v>0</v>
      </c>
      <c r="E4256" s="2">
        <v>13.5</v>
      </c>
      <c r="F4256" s="2">
        <v>9.80679E-2</v>
      </c>
      <c r="G4256" s="2">
        <v>18.513500000000001</v>
      </c>
      <c r="H4256" s="2">
        <v>18.665299999999998</v>
      </c>
      <c r="I4256" s="2">
        <v>0</v>
      </c>
      <c r="J4256" s="2">
        <v>0</v>
      </c>
    </row>
    <row r="4257" spans="1:10">
      <c r="A4257" s="2" t="s">
        <v>148</v>
      </c>
      <c r="B4257" s="2" t="s">
        <v>64</v>
      </c>
      <c r="C4257" s="2">
        <v>0.13780000000000001</v>
      </c>
      <c r="D4257" s="60">
        <v>4.1339899999999998</v>
      </c>
      <c r="E4257" s="2">
        <v>9.6999999999999993</v>
      </c>
      <c r="F4257" s="2">
        <v>3.8</v>
      </c>
      <c r="G4257" s="2">
        <v>18.665299999999998</v>
      </c>
      <c r="H4257" s="2">
        <v>24.0123</v>
      </c>
      <c r="I4257" s="2">
        <v>0</v>
      </c>
      <c r="J4257" s="2">
        <v>0</v>
      </c>
    </row>
    <row r="4258" spans="1:10">
      <c r="A4258" s="2" t="s">
        <v>148</v>
      </c>
      <c r="B4258" s="2" t="s">
        <v>101</v>
      </c>
      <c r="C4258" s="2">
        <v>0.14676800000000001</v>
      </c>
      <c r="D4258" s="60">
        <v>0</v>
      </c>
      <c r="E4258" s="2">
        <v>8.3000000000000007</v>
      </c>
      <c r="F4258" s="2">
        <v>1.4</v>
      </c>
      <c r="G4258" s="2">
        <v>24.0123</v>
      </c>
      <c r="H4258" s="2">
        <v>40.232199999999999</v>
      </c>
      <c r="I4258" s="2">
        <v>0</v>
      </c>
      <c r="J4258" s="2">
        <v>0</v>
      </c>
    </row>
    <row r="4259" spans="1:10">
      <c r="A4259" s="2" t="s">
        <v>148</v>
      </c>
      <c r="B4259" s="2" t="s">
        <v>62</v>
      </c>
      <c r="C4259" s="2">
        <v>0.59526900000000005</v>
      </c>
      <c r="D4259" s="60">
        <v>47.621600000000001</v>
      </c>
      <c r="E4259" s="2">
        <v>4.3</v>
      </c>
      <c r="F4259" s="2">
        <v>4</v>
      </c>
      <c r="G4259" s="2">
        <v>40.232199999999999</v>
      </c>
      <c r="H4259" s="2">
        <v>46.517800000000001</v>
      </c>
      <c r="I4259" s="2">
        <v>0</v>
      </c>
      <c r="J4259" s="2">
        <v>0</v>
      </c>
    </row>
    <row r="4260" spans="1:10">
      <c r="A4260" s="2" t="s">
        <v>148</v>
      </c>
      <c r="B4260" s="2" t="s">
        <v>55</v>
      </c>
      <c r="C4260" s="2">
        <v>0.80703800000000003</v>
      </c>
      <c r="D4260" s="60">
        <v>117.02</v>
      </c>
      <c r="E4260" s="2">
        <v>0.3</v>
      </c>
      <c r="F4260" s="2">
        <v>4</v>
      </c>
      <c r="G4260" s="2">
        <v>46.517800000000001</v>
      </c>
      <c r="H4260" s="2">
        <v>58.747599999999998</v>
      </c>
      <c r="I4260" s="2">
        <v>0</v>
      </c>
      <c r="J4260" s="2">
        <v>0</v>
      </c>
    </row>
    <row r="4261" spans="1:10">
      <c r="A4261" s="2" t="s">
        <v>138</v>
      </c>
      <c r="B4261" s="2">
        <v>5</v>
      </c>
      <c r="C4261" s="2">
        <v>19.893000000000001</v>
      </c>
      <c r="D4261" s="60" t="s">
        <v>175</v>
      </c>
    </row>
    <row r="4262" spans="1:10">
      <c r="A4262" s="2" t="s">
        <v>140</v>
      </c>
      <c r="B4262" s="2">
        <v>0</v>
      </c>
      <c r="C4262" s="2">
        <v>66.307699999999997</v>
      </c>
      <c r="D4262" s="60">
        <v>29.2547</v>
      </c>
      <c r="E4262" s="2">
        <v>0</v>
      </c>
      <c r="F4262" s="2">
        <v>3.9</v>
      </c>
    </row>
    <row r="4263" spans="1:10">
      <c r="A4263" s="2" t="s">
        <v>141</v>
      </c>
      <c r="B4263" s="2">
        <v>0</v>
      </c>
      <c r="C4263" s="2">
        <v>22.2851</v>
      </c>
      <c r="D4263" s="60" t="s">
        <v>147</v>
      </c>
    </row>
    <row r="4264" spans="1:10">
      <c r="A4264" s="2" t="s">
        <v>141</v>
      </c>
      <c r="B4264" s="2">
        <v>0</v>
      </c>
      <c r="C4264" s="2">
        <v>22.2851</v>
      </c>
      <c r="D4264" s="60" t="s">
        <v>155</v>
      </c>
    </row>
    <row r="4265" spans="1:10">
      <c r="A4265" s="2" t="s">
        <v>148</v>
      </c>
      <c r="B4265" s="2" t="s">
        <v>99</v>
      </c>
      <c r="C4265" s="2">
        <v>0.100323</v>
      </c>
      <c r="D4265" s="60">
        <v>0</v>
      </c>
      <c r="E4265" s="2">
        <v>0</v>
      </c>
      <c r="F4265" s="2">
        <v>0.3</v>
      </c>
      <c r="G4265" s="2">
        <v>63.8371</v>
      </c>
      <c r="H4265" s="2">
        <v>66.767200000000003</v>
      </c>
      <c r="I4265" s="2">
        <v>0</v>
      </c>
      <c r="J4265" s="2">
        <v>0</v>
      </c>
    </row>
    <row r="4266" spans="1:10">
      <c r="A4266" s="2" t="s">
        <v>148</v>
      </c>
      <c r="B4266" s="2" t="s">
        <v>101</v>
      </c>
      <c r="C4266" s="2">
        <v>0.88850799999999996</v>
      </c>
      <c r="D4266" s="60">
        <v>0</v>
      </c>
      <c r="E4266" s="2">
        <v>0.3</v>
      </c>
      <c r="F4266" s="2">
        <v>3.6</v>
      </c>
      <c r="G4266" s="2">
        <v>51.886200000000002</v>
      </c>
      <c r="H4266" s="2">
        <v>63.8371</v>
      </c>
      <c r="I4266" s="2">
        <v>0</v>
      </c>
      <c r="J4266" s="2">
        <v>0</v>
      </c>
    </row>
    <row r="4267" spans="1:10">
      <c r="A4267" s="2" t="s">
        <v>138</v>
      </c>
      <c r="B4267" s="2">
        <v>6</v>
      </c>
      <c r="C4267" s="2">
        <v>19.367100000000001</v>
      </c>
      <c r="D4267" s="60" t="s">
        <v>139</v>
      </c>
    </row>
    <row r="4268" spans="1:10">
      <c r="A4268" s="2" t="s">
        <v>140</v>
      </c>
      <c r="B4268" s="2">
        <v>0</v>
      </c>
      <c r="C4268" s="2">
        <v>44.097000000000001</v>
      </c>
      <c r="D4268" s="60">
        <v>21.615400000000001</v>
      </c>
    </row>
    <row r="4269" spans="1:10">
      <c r="A4269" s="2" t="s">
        <v>141</v>
      </c>
      <c r="B4269" s="2">
        <v>0</v>
      </c>
      <c r="C4269" s="2">
        <v>6.4</v>
      </c>
      <c r="D4269" s="60" t="s">
        <v>142</v>
      </c>
    </row>
    <row r="4270" spans="1:10">
      <c r="A4270" s="2" t="s">
        <v>141</v>
      </c>
      <c r="B4270" s="2">
        <v>0</v>
      </c>
      <c r="C4270" s="2">
        <v>16.399999999999999</v>
      </c>
      <c r="D4270" s="60" t="s">
        <v>146</v>
      </c>
    </row>
    <row r="4271" spans="1:10">
      <c r="A4271" s="2" t="s">
        <v>141</v>
      </c>
      <c r="B4271" s="2">
        <v>6.4</v>
      </c>
      <c r="C4271" s="2">
        <v>9.3000000000000007</v>
      </c>
      <c r="D4271" s="60" t="s">
        <v>147</v>
      </c>
    </row>
    <row r="4272" spans="1:10">
      <c r="A4272" s="2" t="s">
        <v>141</v>
      </c>
      <c r="B4272" s="2">
        <v>9.3000000000000007</v>
      </c>
      <c r="C4272" s="2">
        <v>16.399999999999999</v>
      </c>
      <c r="D4272" s="60" t="s">
        <v>144</v>
      </c>
    </row>
    <row r="4273" spans="1:10">
      <c r="A4273" s="2" t="s">
        <v>148</v>
      </c>
      <c r="B4273" s="2" t="s">
        <v>99</v>
      </c>
      <c r="C4273" s="2">
        <v>4.7455200000000003E-2</v>
      </c>
      <c r="D4273" s="60">
        <v>0</v>
      </c>
      <c r="E4273" s="2">
        <v>0</v>
      </c>
      <c r="F4273" s="2">
        <v>0.3</v>
      </c>
      <c r="G4273" s="2">
        <v>43.6175</v>
      </c>
      <c r="H4273" s="2">
        <v>46.261600000000001</v>
      </c>
      <c r="I4273" s="2">
        <v>0</v>
      </c>
      <c r="J4273" s="2">
        <v>0</v>
      </c>
    </row>
    <row r="4274" spans="1:10">
      <c r="A4274" s="2" t="s">
        <v>148</v>
      </c>
      <c r="B4274" s="2" t="s">
        <v>100</v>
      </c>
      <c r="C4274" s="2">
        <v>1.26231E-2</v>
      </c>
      <c r="D4274" s="60">
        <v>0</v>
      </c>
      <c r="E4274" s="2">
        <v>17.782499999999999</v>
      </c>
      <c r="F4274" s="2">
        <v>3.83297</v>
      </c>
      <c r="G4274" s="2">
        <v>0</v>
      </c>
      <c r="H4274" s="2">
        <v>10</v>
      </c>
      <c r="I4274" s="2">
        <v>0</v>
      </c>
      <c r="J4274" s="2">
        <v>0</v>
      </c>
    </row>
    <row r="4275" spans="1:10">
      <c r="A4275" s="2" t="s">
        <v>148</v>
      </c>
      <c r="B4275" s="2" t="s">
        <v>98</v>
      </c>
      <c r="C4275" s="2">
        <v>0.40446199999999999</v>
      </c>
      <c r="D4275" s="60">
        <v>0</v>
      </c>
      <c r="E4275" s="2">
        <v>7.0243200000000003</v>
      </c>
      <c r="F4275" s="2">
        <v>10.758100000000001</v>
      </c>
      <c r="G4275" s="2">
        <v>10</v>
      </c>
      <c r="H4275" s="2">
        <v>30.697099999999999</v>
      </c>
      <c r="I4275" s="2">
        <v>0</v>
      </c>
      <c r="J4275" s="2">
        <v>0</v>
      </c>
    </row>
    <row r="4276" spans="1:10">
      <c r="A4276" s="2" t="s">
        <v>148</v>
      </c>
      <c r="B4276" s="2" t="s">
        <v>101</v>
      </c>
      <c r="C4276" s="2">
        <v>5.53856E-2</v>
      </c>
      <c r="D4276" s="60">
        <v>0</v>
      </c>
      <c r="E4276" s="2">
        <v>6.3</v>
      </c>
      <c r="F4276" s="2">
        <v>0.72431699999999999</v>
      </c>
      <c r="G4276" s="2">
        <v>30.697099999999999</v>
      </c>
      <c r="H4276" s="2">
        <v>31.695900000000002</v>
      </c>
      <c r="I4276" s="2">
        <v>0</v>
      </c>
      <c r="J4276" s="2">
        <v>0</v>
      </c>
    </row>
    <row r="4277" spans="1:10">
      <c r="A4277" s="2" t="s">
        <v>148</v>
      </c>
      <c r="B4277" s="2" t="s">
        <v>59</v>
      </c>
      <c r="C4277" s="2">
        <v>0.61124800000000001</v>
      </c>
      <c r="D4277" s="60">
        <v>61.1248</v>
      </c>
      <c r="E4277" s="2">
        <v>0.3</v>
      </c>
      <c r="F4277" s="2">
        <v>6</v>
      </c>
      <c r="G4277" s="2">
        <v>31.695900000000002</v>
      </c>
      <c r="H4277" s="2">
        <v>43.6175</v>
      </c>
      <c r="I4277" s="2">
        <v>0</v>
      </c>
      <c r="J4277" s="2">
        <v>0</v>
      </c>
    </row>
    <row r="4278" spans="1:10">
      <c r="A4278" s="2" t="s">
        <v>138</v>
      </c>
      <c r="B4278" s="2">
        <v>7</v>
      </c>
      <c r="C4278" s="2">
        <v>19.7471</v>
      </c>
      <c r="D4278" s="60" t="s">
        <v>149</v>
      </c>
    </row>
    <row r="4279" spans="1:10">
      <c r="A4279" s="2" t="s">
        <v>140</v>
      </c>
      <c r="B4279" s="2">
        <v>0</v>
      </c>
      <c r="C4279" s="2">
        <v>52.208100000000002</v>
      </c>
      <c r="D4279" s="60">
        <v>27.471599999999999</v>
      </c>
    </row>
    <row r="4280" spans="1:10">
      <c r="A4280" s="2" t="s">
        <v>141</v>
      </c>
      <c r="B4280" s="2">
        <v>0</v>
      </c>
      <c r="C4280" s="2">
        <v>5.5</v>
      </c>
      <c r="D4280" s="60" t="s">
        <v>142</v>
      </c>
    </row>
    <row r="4281" spans="1:10">
      <c r="A4281" s="2" t="s">
        <v>141</v>
      </c>
      <c r="B4281" s="2">
        <v>0</v>
      </c>
      <c r="C4281" s="2">
        <v>20.9115</v>
      </c>
      <c r="D4281" s="60" t="s">
        <v>146</v>
      </c>
    </row>
    <row r="4282" spans="1:10">
      <c r="A4282" s="2" t="s">
        <v>141</v>
      </c>
      <c r="B4282" s="2">
        <v>5.5</v>
      </c>
      <c r="C4282" s="2">
        <v>8.5</v>
      </c>
      <c r="D4282" s="60" t="s">
        <v>144</v>
      </c>
    </row>
    <row r="4283" spans="1:10">
      <c r="A4283" s="2" t="s">
        <v>141</v>
      </c>
      <c r="B4283" s="2">
        <v>8.5</v>
      </c>
      <c r="C4283" s="2">
        <v>9</v>
      </c>
      <c r="D4283" s="60" t="s">
        <v>145</v>
      </c>
    </row>
    <row r="4284" spans="1:10">
      <c r="A4284" s="2" t="s">
        <v>141</v>
      </c>
      <c r="B4284" s="2">
        <v>9</v>
      </c>
      <c r="C4284" s="2">
        <v>20.9115</v>
      </c>
      <c r="D4284" s="60" t="s">
        <v>144</v>
      </c>
    </row>
    <row r="4285" spans="1:10">
      <c r="A4285" s="2" t="s">
        <v>148</v>
      </c>
      <c r="B4285" s="2" t="s">
        <v>99</v>
      </c>
      <c r="C4285" s="2">
        <v>6.5126900000000001E-2</v>
      </c>
      <c r="D4285" s="60">
        <v>0</v>
      </c>
      <c r="E4285" s="2">
        <v>0</v>
      </c>
      <c r="F4285" s="2">
        <v>0.3</v>
      </c>
      <c r="G4285" s="2">
        <v>51.370100000000001</v>
      </c>
      <c r="H4285" s="2">
        <v>53.869799999999998</v>
      </c>
      <c r="I4285" s="2">
        <v>0</v>
      </c>
      <c r="J4285" s="2">
        <v>0</v>
      </c>
    </row>
    <row r="4286" spans="1:10">
      <c r="A4286" s="2" t="s">
        <v>148</v>
      </c>
      <c r="B4286" s="2" t="s">
        <v>100</v>
      </c>
      <c r="C4286" s="2">
        <v>1.3655799999999999E-2</v>
      </c>
      <c r="D4286" s="60">
        <v>0</v>
      </c>
      <c r="E4286" s="2">
        <v>23.479399999999998</v>
      </c>
      <c r="F4286" s="2">
        <v>3.9922599999999999</v>
      </c>
      <c r="G4286" s="2">
        <v>0</v>
      </c>
      <c r="H4286" s="2">
        <v>10</v>
      </c>
      <c r="I4286" s="2">
        <v>0</v>
      </c>
      <c r="J4286" s="2">
        <v>0</v>
      </c>
    </row>
    <row r="4287" spans="1:10">
      <c r="A4287" s="2" t="s">
        <v>148</v>
      </c>
      <c r="B4287" s="2" t="s">
        <v>98</v>
      </c>
      <c r="C4287" s="2">
        <v>0.29911199999999999</v>
      </c>
      <c r="D4287" s="60">
        <v>0</v>
      </c>
      <c r="E4287" s="2">
        <v>13.902699999999999</v>
      </c>
      <c r="F4287" s="2">
        <v>9.57667</v>
      </c>
      <c r="G4287" s="2">
        <v>10</v>
      </c>
      <c r="H4287" s="2">
        <v>28.220400000000001</v>
      </c>
      <c r="I4287" s="2">
        <v>0</v>
      </c>
      <c r="J4287" s="2">
        <v>0</v>
      </c>
    </row>
    <row r="4288" spans="1:10">
      <c r="A4288" s="2" t="s">
        <v>148</v>
      </c>
      <c r="B4288" s="2" t="s">
        <v>101</v>
      </c>
      <c r="C4288" s="2">
        <v>2.5808500000000002E-2</v>
      </c>
      <c r="D4288" s="60">
        <v>0</v>
      </c>
      <c r="E4288" s="2">
        <v>13.5</v>
      </c>
      <c r="F4288" s="2">
        <v>0.402702</v>
      </c>
      <c r="G4288" s="2">
        <v>28.220400000000001</v>
      </c>
      <c r="H4288" s="2">
        <v>28.907499999999999</v>
      </c>
      <c r="I4288" s="2">
        <v>0</v>
      </c>
      <c r="J4288" s="2">
        <v>0</v>
      </c>
    </row>
    <row r="4289" spans="1:10">
      <c r="A4289" s="2" t="s">
        <v>148</v>
      </c>
      <c r="B4289" s="2" t="s">
        <v>60</v>
      </c>
      <c r="C4289" s="2">
        <v>0.32393899999999998</v>
      </c>
      <c r="D4289" s="60">
        <v>29.154599999999999</v>
      </c>
      <c r="E4289" s="2">
        <v>9.5</v>
      </c>
      <c r="F4289" s="2">
        <v>4</v>
      </c>
      <c r="G4289" s="2">
        <v>28.907499999999999</v>
      </c>
      <c r="H4289" s="2">
        <v>34.987900000000003</v>
      </c>
      <c r="I4289" s="2">
        <v>0</v>
      </c>
      <c r="J4289" s="2">
        <v>0</v>
      </c>
    </row>
    <row r="4290" spans="1:10">
      <c r="A4290" s="2" t="s">
        <v>148</v>
      </c>
      <c r="B4290" s="2" t="s">
        <v>59</v>
      </c>
      <c r="C4290" s="2">
        <v>0.44188699999999997</v>
      </c>
      <c r="D4290" s="60">
        <v>44.188699999999997</v>
      </c>
      <c r="E4290" s="2">
        <v>5.5</v>
      </c>
      <c r="F4290" s="2">
        <v>4</v>
      </c>
      <c r="G4290" s="2">
        <v>34.987900000000003</v>
      </c>
      <c r="H4290" s="2">
        <v>39.799700000000001</v>
      </c>
      <c r="I4290" s="2">
        <v>0</v>
      </c>
      <c r="J4290" s="2">
        <v>0</v>
      </c>
    </row>
    <row r="4291" spans="1:10">
      <c r="A4291" s="2" t="s">
        <v>148</v>
      </c>
      <c r="B4291" s="2" t="s">
        <v>56</v>
      </c>
      <c r="C4291" s="2">
        <v>0.77985800000000005</v>
      </c>
      <c r="D4291" s="60">
        <v>109.18</v>
      </c>
      <c r="E4291" s="2">
        <v>0.3</v>
      </c>
      <c r="F4291" s="2">
        <v>5.2</v>
      </c>
      <c r="G4291" s="2">
        <v>39.799700000000001</v>
      </c>
      <c r="H4291" s="2">
        <v>51.370100000000001</v>
      </c>
      <c r="I4291" s="2">
        <v>0</v>
      </c>
      <c r="J4291" s="2">
        <v>0</v>
      </c>
    </row>
    <row r="4292" spans="1:10">
      <c r="A4292" s="2" t="s">
        <v>138</v>
      </c>
      <c r="B4292" s="2">
        <v>8</v>
      </c>
      <c r="C4292" s="2">
        <v>19.666899999999998</v>
      </c>
      <c r="D4292" s="60" t="s">
        <v>149</v>
      </c>
    </row>
    <row r="4293" spans="1:10">
      <c r="A4293" s="2" t="s">
        <v>140</v>
      </c>
      <c r="B4293" s="2">
        <v>0</v>
      </c>
      <c r="C4293" s="2">
        <v>48.323999999999998</v>
      </c>
      <c r="D4293" s="60">
        <v>26.875</v>
      </c>
    </row>
    <row r="4294" spans="1:10">
      <c r="A4294" s="2" t="s">
        <v>141</v>
      </c>
      <c r="B4294" s="2">
        <v>0</v>
      </c>
      <c r="C4294" s="2">
        <v>6.3</v>
      </c>
      <c r="D4294" s="60" t="s">
        <v>142</v>
      </c>
    </row>
    <row r="4295" spans="1:10">
      <c r="A4295" s="2" t="s">
        <v>141</v>
      </c>
      <c r="B4295" s="2">
        <v>0</v>
      </c>
      <c r="C4295" s="2">
        <v>20.451899999999998</v>
      </c>
      <c r="D4295" s="60" t="s">
        <v>146</v>
      </c>
    </row>
    <row r="4296" spans="1:10">
      <c r="A4296" s="2" t="s">
        <v>141</v>
      </c>
      <c r="B4296" s="2">
        <v>6.3</v>
      </c>
      <c r="C4296" s="2">
        <v>7.8</v>
      </c>
      <c r="D4296" s="60" t="s">
        <v>144</v>
      </c>
    </row>
    <row r="4297" spans="1:10">
      <c r="A4297" s="2" t="s">
        <v>141</v>
      </c>
      <c r="B4297" s="2">
        <v>7.8</v>
      </c>
      <c r="C4297" s="2">
        <v>9</v>
      </c>
      <c r="D4297" s="60" t="s">
        <v>147</v>
      </c>
    </row>
    <row r="4298" spans="1:10">
      <c r="A4298" s="2" t="s">
        <v>141</v>
      </c>
      <c r="B4298" s="2">
        <v>9</v>
      </c>
      <c r="C4298" s="2">
        <v>10.5</v>
      </c>
      <c r="D4298" s="60" t="s">
        <v>145</v>
      </c>
    </row>
    <row r="4299" spans="1:10">
      <c r="A4299" s="2" t="s">
        <v>141</v>
      </c>
      <c r="B4299" s="2">
        <v>10.5</v>
      </c>
      <c r="C4299" s="2">
        <v>20.451899999999998</v>
      </c>
      <c r="D4299" s="60" t="s">
        <v>144</v>
      </c>
    </row>
    <row r="4300" spans="1:10">
      <c r="A4300" s="2" t="s">
        <v>148</v>
      </c>
      <c r="B4300" s="2" t="s">
        <v>99</v>
      </c>
      <c r="C4300" s="2">
        <v>5.6629899999999997E-2</v>
      </c>
      <c r="D4300" s="60">
        <v>0</v>
      </c>
      <c r="E4300" s="2">
        <v>0</v>
      </c>
      <c r="F4300" s="2">
        <v>0.3</v>
      </c>
      <c r="G4300" s="2">
        <v>47.880299999999998</v>
      </c>
      <c r="H4300" s="2">
        <v>50.258099999999999</v>
      </c>
      <c r="I4300" s="2">
        <v>0</v>
      </c>
      <c r="J4300" s="2">
        <v>0</v>
      </c>
    </row>
    <row r="4301" spans="1:10">
      <c r="A4301" s="2" t="s">
        <v>148</v>
      </c>
      <c r="B4301" s="2" t="s">
        <v>100</v>
      </c>
      <c r="C4301" s="2">
        <v>1.4404E-2</v>
      </c>
      <c r="D4301" s="60">
        <v>0</v>
      </c>
      <c r="E4301" s="2">
        <v>22.591200000000001</v>
      </c>
      <c r="F4301" s="2">
        <v>4.2838599999999998</v>
      </c>
      <c r="G4301" s="2">
        <v>0</v>
      </c>
      <c r="H4301" s="2">
        <v>10</v>
      </c>
      <c r="I4301" s="2">
        <v>0</v>
      </c>
      <c r="J4301" s="2">
        <v>0</v>
      </c>
    </row>
    <row r="4302" spans="1:10">
      <c r="A4302" s="2" t="s">
        <v>148</v>
      </c>
      <c r="B4302" s="2" t="s">
        <v>98</v>
      </c>
      <c r="C4302" s="2">
        <v>0.226498</v>
      </c>
      <c r="D4302" s="60">
        <v>0</v>
      </c>
      <c r="E4302" s="2">
        <v>14.082100000000001</v>
      </c>
      <c r="F4302" s="2">
        <v>8.5090800000000009</v>
      </c>
      <c r="G4302" s="2">
        <v>10</v>
      </c>
      <c r="H4302" s="2">
        <v>25.529299999999999</v>
      </c>
      <c r="I4302" s="2">
        <v>0</v>
      </c>
      <c r="J4302" s="2">
        <v>0</v>
      </c>
    </row>
    <row r="4303" spans="1:10">
      <c r="A4303" s="2" t="s">
        <v>148</v>
      </c>
      <c r="B4303" s="2" t="s">
        <v>101</v>
      </c>
      <c r="C4303" s="2">
        <v>3.09416E-2</v>
      </c>
      <c r="D4303" s="60">
        <v>0</v>
      </c>
      <c r="E4303" s="2">
        <v>13.5</v>
      </c>
      <c r="F4303" s="2">
        <v>0.58211199999999996</v>
      </c>
      <c r="G4303" s="2">
        <v>25.529299999999999</v>
      </c>
      <c r="H4303" s="2">
        <v>26.493500000000001</v>
      </c>
      <c r="I4303" s="2">
        <v>0</v>
      </c>
      <c r="J4303" s="2">
        <v>0</v>
      </c>
    </row>
    <row r="4304" spans="1:10">
      <c r="A4304" s="2" t="s">
        <v>148</v>
      </c>
      <c r="B4304" s="2" t="s">
        <v>60</v>
      </c>
      <c r="C4304" s="2">
        <v>0.27516600000000002</v>
      </c>
      <c r="D4304" s="60">
        <v>24.764900000000001</v>
      </c>
      <c r="E4304" s="2">
        <v>9.5</v>
      </c>
      <c r="F4304" s="2">
        <v>4</v>
      </c>
      <c r="G4304" s="2">
        <v>26.493500000000001</v>
      </c>
      <c r="H4304" s="2">
        <v>32.375399999999999</v>
      </c>
      <c r="I4304" s="2">
        <v>0</v>
      </c>
      <c r="J4304" s="2">
        <v>0</v>
      </c>
    </row>
    <row r="4305" spans="1:10">
      <c r="A4305" s="2" t="s">
        <v>148</v>
      </c>
      <c r="B4305" s="2" t="s">
        <v>59</v>
      </c>
      <c r="C4305" s="2">
        <v>0.38050299999999998</v>
      </c>
      <c r="D4305" s="60">
        <v>38.0503</v>
      </c>
      <c r="E4305" s="2">
        <v>5.5</v>
      </c>
      <c r="F4305" s="2">
        <v>4</v>
      </c>
      <c r="G4305" s="2">
        <v>32.375399999999999</v>
      </c>
      <c r="H4305" s="2">
        <v>37.005899999999997</v>
      </c>
      <c r="I4305" s="2">
        <v>0</v>
      </c>
      <c r="J4305" s="2">
        <v>0</v>
      </c>
    </row>
    <row r="4306" spans="1:10">
      <c r="A4306" s="2" t="s">
        <v>148</v>
      </c>
      <c r="B4306" s="2" t="s">
        <v>56</v>
      </c>
      <c r="C4306" s="2">
        <v>0.67576800000000004</v>
      </c>
      <c r="D4306" s="60">
        <v>94.607500000000002</v>
      </c>
      <c r="E4306" s="2">
        <v>0.3</v>
      </c>
      <c r="F4306" s="2">
        <v>5.2</v>
      </c>
      <c r="G4306" s="2">
        <v>37.005899999999997</v>
      </c>
      <c r="H4306" s="2">
        <v>47.880299999999998</v>
      </c>
      <c r="I4306" s="2">
        <v>0</v>
      </c>
      <c r="J4306" s="2">
        <v>0</v>
      </c>
    </row>
    <row r="4307" spans="1:10">
      <c r="A4307" s="2" t="s">
        <v>138</v>
      </c>
      <c r="B4307" s="2">
        <v>9</v>
      </c>
      <c r="C4307" s="2">
        <v>19.552600000000002</v>
      </c>
      <c r="D4307" s="60" t="s">
        <v>139</v>
      </c>
    </row>
    <row r="4308" spans="1:10">
      <c r="A4308" s="2" t="s">
        <v>140</v>
      </c>
      <c r="B4308" s="2">
        <v>0</v>
      </c>
      <c r="C4308" s="2">
        <v>49.911700000000003</v>
      </c>
      <c r="D4308" s="60">
        <v>21.225999999999999</v>
      </c>
    </row>
    <row r="4309" spans="1:10">
      <c r="A4309" s="2" t="s">
        <v>141</v>
      </c>
      <c r="B4309" s="2">
        <v>0</v>
      </c>
      <c r="C4309" s="2">
        <v>5.3</v>
      </c>
      <c r="D4309" s="60" t="s">
        <v>142</v>
      </c>
    </row>
    <row r="4310" spans="1:10">
      <c r="A4310" s="2" t="s">
        <v>141</v>
      </c>
      <c r="B4310" s="2">
        <v>0</v>
      </c>
      <c r="C4310" s="2">
        <v>8.1</v>
      </c>
      <c r="D4310" s="60" t="s">
        <v>146</v>
      </c>
    </row>
    <row r="4311" spans="1:10">
      <c r="A4311" s="2" t="s">
        <v>141</v>
      </c>
      <c r="B4311" s="2">
        <v>5.3</v>
      </c>
      <c r="C4311" s="2">
        <v>8.1</v>
      </c>
      <c r="D4311" s="60" t="s">
        <v>147</v>
      </c>
    </row>
    <row r="4312" spans="1:10">
      <c r="A4312" s="2" t="s">
        <v>141</v>
      </c>
      <c r="B4312" s="2">
        <v>8.1</v>
      </c>
      <c r="C4312" s="2">
        <v>16.100000000000001</v>
      </c>
      <c r="D4312" s="60" t="s">
        <v>144</v>
      </c>
    </row>
    <row r="4313" spans="1:10">
      <c r="A4313" s="2" t="s">
        <v>141</v>
      </c>
      <c r="B4313" s="2">
        <v>8.1</v>
      </c>
      <c r="C4313" s="2">
        <v>16.100000000000001</v>
      </c>
      <c r="D4313" s="60" t="s">
        <v>161</v>
      </c>
    </row>
    <row r="4314" spans="1:10">
      <c r="A4314" s="2" t="s">
        <v>148</v>
      </c>
      <c r="B4314" s="2" t="s">
        <v>99</v>
      </c>
      <c r="C4314" s="2">
        <v>5.9179599999999999E-2</v>
      </c>
      <c r="D4314" s="60">
        <v>0</v>
      </c>
      <c r="E4314" s="2">
        <v>0</v>
      </c>
      <c r="F4314" s="2">
        <v>0.3</v>
      </c>
      <c r="G4314" s="2">
        <v>48.687100000000001</v>
      </c>
      <c r="H4314" s="2">
        <v>51.6875</v>
      </c>
      <c r="I4314" s="2">
        <v>0</v>
      </c>
      <c r="J4314" s="2">
        <v>0</v>
      </c>
    </row>
    <row r="4315" spans="1:10">
      <c r="A4315" s="2" t="s">
        <v>148</v>
      </c>
      <c r="B4315" s="2" t="s">
        <v>100</v>
      </c>
      <c r="C4315" s="2">
        <v>1.10399E-2</v>
      </c>
      <c r="D4315" s="60">
        <v>0</v>
      </c>
      <c r="E4315" s="2">
        <v>17.965499999999999</v>
      </c>
      <c r="F4315" s="2">
        <v>3.2605300000000002</v>
      </c>
      <c r="G4315" s="2">
        <v>0</v>
      </c>
      <c r="H4315" s="2">
        <v>10</v>
      </c>
      <c r="I4315" s="2">
        <v>0</v>
      </c>
      <c r="J4315" s="2">
        <v>0</v>
      </c>
    </row>
    <row r="4316" spans="1:10">
      <c r="A4316" s="2" t="s">
        <v>148</v>
      </c>
      <c r="B4316" s="2" t="s">
        <v>98</v>
      </c>
      <c r="C4316" s="2">
        <v>9.4060199999999993E-3</v>
      </c>
      <c r="D4316" s="60">
        <v>0</v>
      </c>
      <c r="E4316" s="2">
        <v>17.001300000000001</v>
      </c>
      <c r="F4316" s="2">
        <v>0.96416599999999997</v>
      </c>
      <c r="G4316" s="2">
        <v>10</v>
      </c>
      <c r="H4316" s="2">
        <v>12.2638</v>
      </c>
      <c r="I4316" s="2">
        <v>0</v>
      </c>
      <c r="J4316" s="2">
        <v>0</v>
      </c>
    </row>
    <row r="4317" spans="1:10">
      <c r="A4317" s="2" t="s">
        <v>148</v>
      </c>
      <c r="B4317" s="2" t="s">
        <v>101</v>
      </c>
      <c r="C4317" s="2">
        <v>0.38611099999999998</v>
      </c>
      <c r="D4317" s="60">
        <v>0</v>
      </c>
      <c r="E4317" s="2">
        <v>8.1</v>
      </c>
      <c r="F4317" s="2">
        <v>8.9</v>
      </c>
      <c r="G4317" s="2">
        <v>12.2669</v>
      </c>
      <c r="H4317" s="2">
        <v>32.26</v>
      </c>
      <c r="I4317" s="2">
        <v>0</v>
      </c>
      <c r="J4317" s="2">
        <v>0</v>
      </c>
    </row>
    <row r="4318" spans="1:10">
      <c r="A4318" s="2" t="s">
        <v>148</v>
      </c>
      <c r="B4318" s="2" t="s">
        <v>64</v>
      </c>
      <c r="C4318" s="2">
        <v>0.373247</v>
      </c>
      <c r="D4318" s="60">
        <v>11.1974</v>
      </c>
      <c r="E4318" s="2">
        <v>4.3</v>
      </c>
      <c r="F4318" s="2">
        <v>3.8</v>
      </c>
      <c r="G4318" s="2">
        <v>32.26</v>
      </c>
      <c r="H4318" s="2">
        <v>38.118499999999997</v>
      </c>
      <c r="I4318" s="2">
        <v>0</v>
      </c>
      <c r="J4318" s="2">
        <v>0</v>
      </c>
    </row>
    <row r="4319" spans="1:10">
      <c r="A4319" s="2" t="s">
        <v>148</v>
      </c>
      <c r="B4319" s="2" t="s">
        <v>56</v>
      </c>
      <c r="C4319" s="2">
        <v>0.54763799999999996</v>
      </c>
      <c r="D4319" s="60">
        <v>76.669300000000007</v>
      </c>
      <c r="E4319" s="2">
        <v>0.3</v>
      </c>
      <c r="F4319" s="2">
        <v>4</v>
      </c>
      <c r="G4319" s="2">
        <v>38.118499999999997</v>
      </c>
      <c r="H4319" s="2">
        <v>48.687100000000001</v>
      </c>
      <c r="I4319" s="2">
        <v>0</v>
      </c>
      <c r="J4319" s="2">
        <v>0</v>
      </c>
    </row>
    <row r="4320" spans="1:10">
      <c r="A4320" s="2" t="s">
        <v>138</v>
      </c>
      <c r="B4320" s="2">
        <v>10</v>
      </c>
      <c r="C4320" s="2">
        <v>19.511700000000001</v>
      </c>
      <c r="D4320" s="60" t="s">
        <v>149</v>
      </c>
    </row>
    <row r="4321" spans="1:10">
      <c r="A4321" s="2" t="s">
        <v>140</v>
      </c>
      <c r="B4321" s="2">
        <v>0</v>
      </c>
      <c r="C4321" s="2">
        <v>43.3613</v>
      </c>
      <c r="D4321" s="60">
        <v>26.0322</v>
      </c>
    </row>
    <row r="4322" spans="1:10">
      <c r="A4322" s="2" t="s">
        <v>141</v>
      </c>
      <c r="B4322" s="2">
        <v>0</v>
      </c>
      <c r="C4322" s="2">
        <v>0.9</v>
      </c>
      <c r="D4322" s="60" t="s">
        <v>157</v>
      </c>
    </row>
    <row r="4323" spans="1:10">
      <c r="A4323" s="2" t="s">
        <v>141</v>
      </c>
      <c r="B4323" s="2">
        <v>0</v>
      </c>
      <c r="C4323" s="2">
        <v>5.5</v>
      </c>
      <c r="D4323" s="60" t="s">
        <v>142</v>
      </c>
    </row>
    <row r="4324" spans="1:10">
      <c r="A4324" s="2" t="s">
        <v>141</v>
      </c>
      <c r="B4324" s="2">
        <v>0</v>
      </c>
      <c r="C4324" s="2">
        <v>9.4</v>
      </c>
      <c r="D4324" s="60" t="s">
        <v>146</v>
      </c>
    </row>
    <row r="4325" spans="1:10">
      <c r="A4325" s="2" t="s">
        <v>141</v>
      </c>
      <c r="B4325" s="2">
        <v>5.5</v>
      </c>
      <c r="C4325" s="2">
        <v>9.4</v>
      </c>
      <c r="D4325" s="60" t="s">
        <v>145</v>
      </c>
    </row>
    <row r="4326" spans="1:10">
      <c r="A4326" s="2" t="s">
        <v>141</v>
      </c>
      <c r="B4326" s="2">
        <v>9.4</v>
      </c>
      <c r="C4326" s="2">
        <v>9.9</v>
      </c>
      <c r="D4326" s="60" t="s">
        <v>159</v>
      </c>
    </row>
    <row r="4327" spans="1:10">
      <c r="A4327" s="2" t="s">
        <v>141</v>
      </c>
      <c r="B4327" s="2">
        <v>9.4</v>
      </c>
      <c r="C4327" s="2">
        <v>19.802600000000002</v>
      </c>
      <c r="D4327" s="60" t="s">
        <v>144</v>
      </c>
    </row>
    <row r="4328" spans="1:10">
      <c r="A4328" s="2" t="s">
        <v>141</v>
      </c>
      <c r="B4328" s="2">
        <v>9.9</v>
      </c>
      <c r="C4328" s="2">
        <v>19.802600000000002</v>
      </c>
      <c r="D4328" s="60" t="s">
        <v>152</v>
      </c>
    </row>
    <row r="4329" spans="1:10">
      <c r="A4329" s="2" t="s">
        <v>148</v>
      </c>
      <c r="B4329" s="2" t="s">
        <v>99</v>
      </c>
      <c r="C4329" s="2">
        <v>4.65507E-2</v>
      </c>
      <c r="D4329" s="60">
        <v>0</v>
      </c>
      <c r="E4329" s="2">
        <v>0</v>
      </c>
      <c r="F4329" s="2">
        <v>0.3</v>
      </c>
      <c r="G4329" s="2">
        <v>43.381799999999998</v>
      </c>
      <c r="H4329" s="2">
        <v>45.600499999999997</v>
      </c>
      <c r="I4329" s="2">
        <v>0</v>
      </c>
      <c r="J4329" s="2">
        <v>0</v>
      </c>
    </row>
    <row r="4330" spans="1:10">
      <c r="A4330" s="2" t="s">
        <v>148</v>
      </c>
      <c r="B4330" s="2" t="s">
        <v>100</v>
      </c>
      <c r="C4330" s="2">
        <v>1.5424800000000001E-2</v>
      </c>
      <c r="D4330" s="60">
        <v>0</v>
      </c>
      <c r="E4330" s="2">
        <v>21.331600000000002</v>
      </c>
      <c r="F4330" s="2">
        <v>4.7006100000000002</v>
      </c>
      <c r="G4330" s="2">
        <v>0</v>
      </c>
      <c r="H4330" s="2">
        <v>10</v>
      </c>
      <c r="I4330" s="2">
        <v>0</v>
      </c>
      <c r="J4330" s="2">
        <v>0</v>
      </c>
    </row>
    <row r="4331" spans="1:10">
      <c r="A4331" s="2" t="s">
        <v>148</v>
      </c>
      <c r="B4331" s="2" t="s">
        <v>101</v>
      </c>
      <c r="C4331" s="2">
        <v>2.4951200000000002E-4</v>
      </c>
      <c r="D4331" s="60">
        <v>0</v>
      </c>
      <c r="E4331" s="2">
        <v>21.3</v>
      </c>
      <c r="F4331" s="2">
        <v>3.1599299999999997E-2</v>
      </c>
      <c r="G4331" s="2">
        <v>10</v>
      </c>
      <c r="H4331" s="2">
        <v>10.053599999999999</v>
      </c>
      <c r="I4331" s="2">
        <v>0</v>
      </c>
      <c r="J4331" s="2">
        <v>0</v>
      </c>
    </row>
    <row r="4332" spans="1:10">
      <c r="A4332" s="2" t="s">
        <v>148</v>
      </c>
      <c r="B4332" s="2" t="s">
        <v>64</v>
      </c>
      <c r="C4332" s="2">
        <v>9.5453899999999994E-2</v>
      </c>
      <c r="D4332" s="60">
        <v>2.8636200000000001</v>
      </c>
      <c r="E4332" s="2">
        <v>15.9</v>
      </c>
      <c r="F4332" s="2">
        <v>5.4</v>
      </c>
      <c r="G4332" s="2">
        <v>10.053599999999999</v>
      </c>
      <c r="H4332" s="2">
        <v>19.455300000000001</v>
      </c>
      <c r="I4332" s="2">
        <v>0</v>
      </c>
      <c r="J4332" s="2">
        <v>0</v>
      </c>
    </row>
    <row r="4333" spans="1:10">
      <c r="A4333" s="2" t="s">
        <v>148</v>
      </c>
      <c r="B4333" s="2" t="s">
        <v>64</v>
      </c>
      <c r="C4333" s="2">
        <v>0.27914800000000001</v>
      </c>
      <c r="D4333" s="60">
        <v>8.3744499999999995</v>
      </c>
      <c r="E4333" s="2">
        <v>9.9</v>
      </c>
      <c r="F4333" s="2">
        <v>6</v>
      </c>
      <c r="G4333" s="2">
        <v>19.455300000000001</v>
      </c>
      <c r="H4333" s="2">
        <v>28.5044</v>
      </c>
      <c r="I4333" s="2">
        <v>0</v>
      </c>
      <c r="J4333" s="2">
        <v>0</v>
      </c>
    </row>
    <row r="4334" spans="1:10">
      <c r="A4334" s="2" t="s">
        <v>148</v>
      </c>
      <c r="B4334" s="2" t="s">
        <v>101</v>
      </c>
      <c r="C4334" s="2">
        <v>0.10932799999999999</v>
      </c>
      <c r="D4334" s="60">
        <v>0</v>
      </c>
      <c r="E4334" s="2">
        <v>8.3000000000000007</v>
      </c>
      <c r="F4334" s="2">
        <v>1.6</v>
      </c>
      <c r="G4334" s="2">
        <v>28.5044</v>
      </c>
      <c r="H4334" s="2">
        <v>30.442699999999999</v>
      </c>
      <c r="I4334" s="2">
        <v>0</v>
      </c>
      <c r="J4334" s="2">
        <v>0</v>
      </c>
    </row>
    <row r="4335" spans="1:10">
      <c r="A4335" s="2" t="s">
        <v>148</v>
      </c>
      <c r="B4335" s="2" t="s">
        <v>59</v>
      </c>
      <c r="C4335" s="2">
        <v>0.333758</v>
      </c>
      <c r="D4335" s="60">
        <v>33.375799999999998</v>
      </c>
      <c r="E4335" s="2">
        <v>4.3</v>
      </c>
      <c r="F4335" s="2">
        <v>4</v>
      </c>
      <c r="G4335" s="2">
        <v>30.442699999999999</v>
      </c>
      <c r="H4335" s="2">
        <v>34.586599999999997</v>
      </c>
      <c r="I4335" s="2">
        <v>0</v>
      </c>
      <c r="J4335" s="2">
        <v>0</v>
      </c>
    </row>
    <row r="4336" spans="1:10">
      <c r="A4336" s="2" t="s">
        <v>148</v>
      </c>
      <c r="B4336" s="2" t="s">
        <v>59</v>
      </c>
      <c r="C4336" s="2">
        <v>0.44373899999999999</v>
      </c>
      <c r="D4336" s="60">
        <v>44.373899999999999</v>
      </c>
      <c r="E4336" s="2">
        <v>0.3</v>
      </c>
      <c r="F4336" s="2">
        <v>4</v>
      </c>
      <c r="G4336" s="2">
        <v>34.586599999999997</v>
      </c>
      <c r="H4336" s="2">
        <v>43.381799999999998</v>
      </c>
      <c r="I4336" s="2">
        <v>0</v>
      </c>
      <c r="J4336" s="2">
        <v>0</v>
      </c>
    </row>
    <row r="4337" spans="1:10">
      <c r="A4337" s="2" t="s">
        <v>138</v>
      </c>
      <c r="B4337" s="2">
        <v>11</v>
      </c>
      <c r="C4337" s="2">
        <v>19.6633</v>
      </c>
      <c r="D4337" s="60" t="s">
        <v>149</v>
      </c>
    </row>
    <row r="4338" spans="1:10">
      <c r="A4338" s="2" t="s">
        <v>140</v>
      </c>
      <c r="B4338" s="2">
        <v>0</v>
      </c>
      <c r="C4338" s="2">
        <v>48.179200000000002</v>
      </c>
      <c r="D4338" s="60">
        <v>26.851800000000001</v>
      </c>
    </row>
    <row r="4339" spans="1:10">
      <c r="A4339" s="2" t="s">
        <v>141</v>
      </c>
      <c r="B4339" s="2">
        <v>0</v>
      </c>
      <c r="C4339" s="2">
        <v>0.5</v>
      </c>
      <c r="D4339" s="60" t="s">
        <v>157</v>
      </c>
    </row>
    <row r="4340" spans="1:10">
      <c r="A4340" s="2" t="s">
        <v>141</v>
      </c>
      <c r="B4340" s="2">
        <v>0</v>
      </c>
      <c r="C4340" s="2">
        <v>5.6</v>
      </c>
      <c r="D4340" s="60" t="s">
        <v>146</v>
      </c>
    </row>
    <row r="4341" spans="1:10">
      <c r="A4341" s="2" t="s">
        <v>141</v>
      </c>
      <c r="B4341" s="2">
        <v>0</v>
      </c>
      <c r="C4341" s="2">
        <v>7.1</v>
      </c>
      <c r="D4341" s="60" t="s">
        <v>142</v>
      </c>
    </row>
    <row r="4342" spans="1:10">
      <c r="A4342" s="2" t="s">
        <v>141</v>
      </c>
      <c r="B4342" s="2">
        <v>5.6</v>
      </c>
      <c r="C4342" s="2">
        <v>20.434000000000001</v>
      </c>
      <c r="D4342" s="60" t="s">
        <v>155</v>
      </c>
    </row>
    <row r="4343" spans="1:10">
      <c r="A4343" s="2" t="s">
        <v>141</v>
      </c>
      <c r="B4343" s="2">
        <v>7.1</v>
      </c>
      <c r="C4343" s="2">
        <v>8.5</v>
      </c>
      <c r="D4343" s="60" t="s">
        <v>145</v>
      </c>
    </row>
    <row r="4344" spans="1:10">
      <c r="A4344" s="2" t="s">
        <v>141</v>
      </c>
      <c r="B4344" s="2">
        <v>8.5</v>
      </c>
      <c r="C4344" s="2">
        <v>11.6</v>
      </c>
      <c r="D4344" s="60" t="s">
        <v>147</v>
      </c>
    </row>
    <row r="4345" spans="1:10">
      <c r="A4345" s="2" t="s">
        <v>141</v>
      </c>
      <c r="B4345" s="2">
        <v>11.6</v>
      </c>
      <c r="C4345" s="2">
        <v>20.434000000000001</v>
      </c>
      <c r="D4345" s="60" t="s">
        <v>144</v>
      </c>
    </row>
    <row r="4346" spans="1:10">
      <c r="A4346" s="2" t="s">
        <v>148</v>
      </c>
      <c r="B4346" s="2" t="s">
        <v>99</v>
      </c>
      <c r="C4346" s="2">
        <v>5.6323600000000001E-2</v>
      </c>
      <c r="D4346" s="60">
        <v>0</v>
      </c>
      <c r="E4346" s="2">
        <v>0</v>
      </c>
      <c r="F4346" s="2">
        <v>0.3</v>
      </c>
      <c r="G4346" s="2">
        <v>47.7498</v>
      </c>
      <c r="H4346" s="2">
        <v>50.122999999999998</v>
      </c>
      <c r="I4346" s="2">
        <v>0</v>
      </c>
      <c r="J4346" s="2">
        <v>0</v>
      </c>
    </row>
    <row r="4347" spans="1:10">
      <c r="A4347" s="2" t="s">
        <v>148</v>
      </c>
      <c r="B4347" s="2" t="s">
        <v>100</v>
      </c>
      <c r="C4347" s="2">
        <v>1.44327E-2</v>
      </c>
      <c r="D4347" s="60">
        <v>0</v>
      </c>
      <c r="E4347" s="2">
        <v>22.5565</v>
      </c>
      <c r="F4347" s="2">
        <v>4.2952700000000004</v>
      </c>
      <c r="G4347" s="2">
        <v>0</v>
      </c>
      <c r="H4347" s="2">
        <v>10</v>
      </c>
      <c r="I4347" s="2">
        <v>0</v>
      </c>
      <c r="J4347" s="2">
        <v>0</v>
      </c>
    </row>
    <row r="4348" spans="1:10">
      <c r="A4348" s="2" t="s">
        <v>148</v>
      </c>
      <c r="B4348" s="2" t="s">
        <v>98</v>
      </c>
      <c r="C4348" s="2">
        <v>9.0707500000000007E-3</v>
      </c>
      <c r="D4348" s="60">
        <v>0</v>
      </c>
      <c r="E4348" s="2">
        <v>21.582000000000001</v>
      </c>
      <c r="F4348" s="2">
        <v>0.97453299999999998</v>
      </c>
      <c r="G4348" s="2">
        <v>10</v>
      </c>
      <c r="H4348" s="2">
        <v>11.7563</v>
      </c>
      <c r="I4348" s="2">
        <v>0</v>
      </c>
      <c r="J4348" s="2">
        <v>0</v>
      </c>
    </row>
    <row r="4349" spans="1:10">
      <c r="A4349" s="2" t="s">
        <v>148</v>
      </c>
      <c r="B4349" s="2" t="s">
        <v>101</v>
      </c>
      <c r="C4349" s="2">
        <v>3.0808800000000001E-2</v>
      </c>
      <c r="D4349" s="60">
        <v>0</v>
      </c>
      <c r="E4349" s="2">
        <v>19.5</v>
      </c>
      <c r="F4349" s="2">
        <v>2.0820099999999999</v>
      </c>
      <c r="G4349" s="2">
        <v>11.7563</v>
      </c>
      <c r="H4349" s="2">
        <v>15.6236</v>
      </c>
      <c r="I4349" s="2">
        <v>0</v>
      </c>
      <c r="J4349" s="2">
        <v>0</v>
      </c>
    </row>
    <row r="4350" spans="1:10">
      <c r="A4350" s="2" t="s">
        <v>148</v>
      </c>
      <c r="B4350" s="2" t="s">
        <v>63</v>
      </c>
      <c r="C4350" s="2">
        <v>0.215199</v>
      </c>
      <c r="D4350" s="60">
        <v>15.0639</v>
      </c>
      <c r="E4350" s="2">
        <v>13.5</v>
      </c>
      <c r="F4350" s="2">
        <v>6</v>
      </c>
      <c r="G4350" s="2">
        <v>15.6236</v>
      </c>
      <c r="H4350" s="2">
        <v>26.403199999999998</v>
      </c>
      <c r="I4350" s="2">
        <v>0</v>
      </c>
      <c r="J4350" s="2">
        <v>0</v>
      </c>
    </row>
    <row r="4351" spans="1:10">
      <c r="A4351" s="2" t="s">
        <v>148</v>
      </c>
      <c r="B4351" s="2" t="s">
        <v>62</v>
      </c>
      <c r="C4351" s="2">
        <v>0.27341900000000002</v>
      </c>
      <c r="D4351" s="60">
        <v>21.8735</v>
      </c>
      <c r="E4351" s="2">
        <v>9.5</v>
      </c>
      <c r="F4351" s="2">
        <v>4</v>
      </c>
      <c r="G4351" s="2">
        <v>26.403199999999998</v>
      </c>
      <c r="H4351" s="2">
        <v>32.277700000000003</v>
      </c>
      <c r="I4351" s="2">
        <v>0</v>
      </c>
      <c r="J4351" s="2">
        <v>0</v>
      </c>
    </row>
    <row r="4352" spans="1:10">
      <c r="A4352" s="2" t="s">
        <v>148</v>
      </c>
      <c r="B4352" s="2" t="s">
        <v>62</v>
      </c>
      <c r="C4352" s="2">
        <v>0.37829600000000002</v>
      </c>
      <c r="D4352" s="60">
        <v>30.2637</v>
      </c>
      <c r="E4352" s="2">
        <v>5.5</v>
      </c>
      <c r="F4352" s="2">
        <v>4</v>
      </c>
      <c r="G4352" s="2">
        <v>32.277700000000003</v>
      </c>
      <c r="H4352" s="2">
        <v>36.901400000000002</v>
      </c>
      <c r="I4352" s="2">
        <v>0</v>
      </c>
      <c r="J4352" s="2">
        <v>0</v>
      </c>
    </row>
    <row r="4353" spans="1:10">
      <c r="A4353" s="2" t="s">
        <v>148</v>
      </c>
      <c r="B4353" s="2" t="s">
        <v>56</v>
      </c>
      <c r="C4353" s="2">
        <v>0.67201999999999995</v>
      </c>
      <c r="D4353" s="60">
        <v>94.082800000000006</v>
      </c>
      <c r="E4353" s="2">
        <v>0.3</v>
      </c>
      <c r="F4353" s="2">
        <v>5.2</v>
      </c>
      <c r="G4353" s="2">
        <v>36.901400000000002</v>
      </c>
      <c r="H4353" s="2">
        <v>47.7498</v>
      </c>
      <c r="I4353" s="2">
        <v>0</v>
      </c>
      <c r="J4353" s="2">
        <v>0</v>
      </c>
    </row>
    <row r="4354" spans="1:10">
      <c r="A4354" s="2" t="s">
        <v>138</v>
      </c>
      <c r="B4354" s="2">
        <v>12</v>
      </c>
      <c r="C4354" s="2">
        <v>19.623200000000001</v>
      </c>
      <c r="D4354" s="60" t="s">
        <v>139</v>
      </c>
    </row>
    <row r="4355" spans="1:10">
      <c r="A4355" s="2" t="s">
        <v>140</v>
      </c>
      <c r="B4355" s="2">
        <v>0</v>
      </c>
      <c r="C4355" s="2">
        <v>46.728200000000001</v>
      </c>
      <c r="D4355" s="60">
        <v>26.548100000000002</v>
      </c>
    </row>
    <row r="4356" spans="1:10">
      <c r="A4356" s="2" t="s">
        <v>141</v>
      </c>
      <c r="B4356" s="2">
        <v>0</v>
      </c>
      <c r="C4356" s="2">
        <v>6</v>
      </c>
      <c r="D4356" s="60" t="s">
        <v>142</v>
      </c>
    </row>
    <row r="4357" spans="1:10">
      <c r="A4357" s="2" t="s">
        <v>141</v>
      </c>
      <c r="B4357" s="2">
        <v>0</v>
      </c>
      <c r="C4357" s="2">
        <v>20.2</v>
      </c>
      <c r="D4357" s="60" t="s">
        <v>146</v>
      </c>
    </row>
    <row r="4358" spans="1:10">
      <c r="A4358" s="2" t="s">
        <v>141</v>
      </c>
      <c r="B4358" s="2">
        <v>6</v>
      </c>
      <c r="C4358" s="2">
        <v>9</v>
      </c>
      <c r="D4358" s="60" t="s">
        <v>145</v>
      </c>
    </row>
    <row r="4359" spans="1:10">
      <c r="A4359" s="2" t="s">
        <v>141</v>
      </c>
      <c r="B4359" s="2">
        <v>9</v>
      </c>
      <c r="C4359" s="2">
        <v>11</v>
      </c>
      <c r="D4359" s="60" t="s">
        <v>147</v>
      </c>
    </row>
    <row r="4360" spans="1:10">
      <c r="A4360" s="2" t="s">
        <v>141</v>
      </c>
      <c r="B4360" s="2">
        <v>11</v>
      </c>
      <c r="C4360" s="2">
        <v>20.2</v>
      </c>
      <c r="D4360" s="60" t="s">
        <v>144</v>
      </c>
    </row>
    <row r="4361" spans="1:10">
      <c r="A4361" s="2" t="s">
        <v>148</v>
      </c>
      <c r="B4361" s="2" t="s">
        <v>99</v>
      </c>
      <c r="C4361" s="2">
        <v>5.32848E-2</v>
      </c>
      <c r="D4361" s="60">
        <v>0</v>
      </c>
      <c r="E4361" s="2">
        <v>0</v>
      </c>
      <c r="F4361" s="2">
        <v>0.3</v>
      </c>
      <c r="G4361" s="2">
        <v>46.4328</v>
      </c>
      <c r="H4361" s="2">
        <v>48.765000000000001</v>
      </c>
      <c r="I4361" s="2">
        <v>0</v>
      </c>
      <c r="J4361" s="2">
        <v>0</v>
      </c>
    </row>
    <row r="4362" spans="1:10">
      <c r="A4362" s="2" t="s">
        <v>148</v>
      </c>
      <c r="B4362" s="2" t="s">
        <v>100</v>
      </c>
      <c r="C4362" s="2">
        <v>1.46871E-2</v>
      </c>
      <c r="D4362" s="60">
        <v>0</v>
      </c>
      <c r="E4362" s="2">
        <v>22.146899999999999</v>
      </c>
      <c r="F4362" s="2">
        <v>4.4011300000000002</v>
      </c>
      <c r="G4362" s="2">
        <v>0</v>
      </c>
      <c r="H4362" s="2">
        <v>10</v>
      </c>
      <c r="I4362" s="2">
        <v>0</v>
      </c>
      <c r="J4362" s="2">
        <v>0</v>
      </c>
    </row>
    <row r="4363" spans="1:10">
      <c r="A4363" s="2" t="s">
        <v>148</v>
      </c>
      <c r="B4363" s="2" t="s">
        <v>98</v>
      </c>
      <c r="C4363" s="2">
        <v>0.34718700000000002</v>
      </c>
      <c r="D4363" s="60">
        <v>0</v>
      </c>
      <c r="E4363" s="2">
        <v>11.4564</v>
      </c>
      <c r="F4363" s="2">
        <v>10.6906</v>
      </c>
      <c r="G4363" s="2">
        <v>10</v>
      </c>
      <c r="H4363" s="2">
        <v>28.5838</v>
      </c>
      <c r="I4363" s="2">
        <v>0</v>
      </c>
      <c r="J4363" s="2">
        <v>0</v>
      </c>
    </row>
    <row r="4364" spans="1:10">
      <c r="A4364" s="2" t="s">
        <v>148</v>
      </c>
      <c r="B4364" s="2" t="s">
        <v>101</v>
      </c>
      <c r="C4364" s="2">
        <v>7.8550599999999998E-2</v>
      </c>
      <c r="D4364" s="60">
        <v>0</v>
      </c>
      <c r="E4364" s="2">
        <v>10.3</v>
      </c>
      <c r="F4364" s="2">
        <v>1.1563699999999999</v>
      </c>
      <c r="G4364" s="2">
        <v>28.5838</v>
      </c>
      <c r="H4364" s="2">
        <v>30.207999999999998</v>
      </c>
      <c r="I4364" s="2">
        <v>0</v>
      </c>
      <c r="J4364" s="2">
        <v>0</v>
      </c>
    </row>
    <row r="4365" spans="1:10">
      <c r="A4365" s="2" t="s">
        <v>148</v>
      </c>
      <c r="B4365" s="2" t="s">
        <v>59</v>
      </c>
      <c r="C4365" s="2">
        <v>0.54067500000000002</v>
      </c>
      <c r="D4365" s="60">
        <v>54.067500000000003</v>
      </c>
      <c r="E4365" s="2">
        <v>4.3</v>
      </c>
      <c r="F4365" s="2">
        <v>6</v>
      </c>
      <c r="G4365" s="2">
        <v>30.207999999999998</v>
      </c>
      <c r="H4365" s="2">
        <v>37.075499999999998</v>
      </c>
      <c r="I4365" s="2">
        <v>0</v>
      </c>
      <c r="J4365" s="2">
        <v>0</v>
      </c>
    </row>
    <row r="4366" spans="1:10">
      <c r="A4366" s="2" t="s">
        <v>148</v>
      </c>
      <c r="B4366" s="2" t="s">
        <v>56</v>
      </c>
      <c r="C4366" s="2">
        <v>0.50934699999999999</v>
      </c>
      <c r="D4366" s="60">
        <v>71.308599999999998</v>
      </c>
      <c r="E4366" s="2">
        <v>0.3</v>
      </c>
      <c r="F4366" s="2">
        <v>4</v>
      </c>
      <c r="G4366" s="2">
        <v>37.075499999999998</v>
      </c>
      <c r="H4366" s="2">
        <v>46.4328</v>
      </c>
      <c r="I4366" s="2">
        <v>0</v>
      </c>
      <c r="J4366" s="2">
        <v>0</v>
      </c>
    </row>
    <row r="4367" spans="1:10">
      <c r="A4367" s="2" t="s">
        <v>130</v>
      </c>
      <c r="B4367" s="2" t="s">
        <v>131</v>
      </c>
      <c r="C4367" s="2" t="s">
        <v>162</v>
      </c>
      <c r="D4367" s="60" t="s">
        <v>133</v>
      </c>
      <c r="E4367" s="2">
        <v>11</v>
      </c>
      <c r="F4367" s="2">
        <v>2016</v>
      </c>
    </row>
    <row r="4368" spans="1:10">
      <c r="A4368" s="2" t="s">
        <v>275</v>
      </c>
      <c r="B4368" s="2" t="s">
        <v>183</v>
      </c>
      <c r="C4368" s="2" t="s">
        <v>277</v>
      </c>
    </row>
    <row r="4369" spans="1:10">
      <c r="A4369" s="2" t="s">
        <v>288</v>
      </c>
      <c r="B4369" s="2" t="s">
        <v>279</v>
      </c>
      <c r="C4369" s="2" t="s">
        <v>281</v>
      </c>
      <c r="D4369" s="60" t="s">
        <v>282</v>
      </c>
      <c r="E4369" s="2" t="s">
        <v>283</v>
      </c>
      <c r="F4369" s="2" t="s">
        <v>285</v>
      </c>
      <c r="G4369" s="2" t="s">
        <v>197</v>
      </c>
      <c r="H4369" s="2" t="s">
        <v>286</v>
      </c>
    </row>
    <row r="4370" spans="1:10">
      <c r="A4370" s="2" t="s">
        <v>134</v>
      </c>
      <c r="B4370" s="2" t="s">
        <v>77</v>
      </c>
      <c r="C4370" s="2">
        <v>28</v>
      </c>
      <c r="D4370" s="60" t="s">
        <v>289</v>
      </c>
      <c r="E4370" s="2" t="s">
        <v>136</v>
      </c>
      <c r="F4370" s="2" t="s">
        <v>137</v>
      </c>
      <c r="G4370" s="2" t="s">
        <v>172</v>
      </c>
    </row>
    <row r="4371" spans="1:10">
      <c r="A4371" s="2" t="s">
        <v>138</v>
      </c>
      <c r="B4371" s="2">
        <v>1</v>
      </c>
      <c r="C4371" s="2">
        <v>19.866399999999999</v>
      </c>
      <c r="D4371" s="60" t="s">
        <v>149</v>
      </c>
    </row>
    <row r="4372" spans="1:10">
      <c r="A4372" s="2" t="s">
        <v>140</v>
      </c>
      <c r="B4372" s="2">
        <v>0</v>
      </c>
      <c r="C4372" s="2">
        <v>73.358699999999999</v>
      </c>
      <c r="D4372" s="60">
        <v>30.2376</v>
      </c>
    </row>
    <row r="4373" spans="1:10">
      <c r="A4373" s="2" t="s">
        <v>141</v>
      </c>
      <c r="B4373" s="2">
        <v>0</v>
      </c>
      <c r="C4373" s="2">
        <v>6.5</v>
      </c>
      <c r="D4373" s="60" t="s">
        <v>142</v>
      </c>
    </row>
    <row r="4374" spans="1:10">
      <c r="A4374" s="2" t="s">
        <v>141</v>
      </c>
      <c r="B4374" s="2">
        <v>0</v>
      </c>
      <c r="C4374" s="2">
        <v>10.7</v>
      </c>
      <c r="D4374" s="60" t="s">
        <v>143</v>
      </c>
    </row>
    <row r="4375" spans="1:10">
      <c r="A4375" s="2" t="s">
        <v>141</v>
      </c>
      <c r="B4375" s="2">
        <v>6.5</v>
      </c>
      <c r="C4375" s="2">
        <v>10.7</v>
      </c>
      <c r="D4375" s="60" t="s">
        <v>147</v>
      </c>
    </row>
    <row r="4376" spans="1:10">
      <c r="A4376" s="2" t="s">
        <v>141</v>
      </c>
      <c r="B4376" s="2">
        <v>10.7</v>
      </c>
      <c r="C4376" s="2">
        <v>11.2</v>
      </c>
      <c r="D4376" s="60" t="s">
        <v>151</v>
      </c>
    </row>
    <row r="4377" spans="1:10">
      <c r="A4377" s="2" t="s">
        <v>141</v>
      </c>
      <c r="B4377" s="2">
        <v>10.7</v>
      </c>
      <c r="C4377" s="2">
        <v>23.049900000000001</v>
      </c>
      <c r="D4377" s="60" t="s">
        <v>146</v>
      </c>
    </row>
    <row r="4378" spans="1:10">
      <c r="A4378" s="2" t="s">
        <v>141</v>
      </c>
      <c r="B4378" s="2">
        <v>11.2</v>
      </c>
      <c r="C4378" s="2">
        <v>13.4</v>
      </c>
      <c r="D4378" s="60" t="s">
        <v>147</v>
      </c>
    </row>
    <row r="4379" spans="1:10">
      <c r="A4379" s="2" t="s">
        <v>141</v>
      </c>
      <c r="B4379" s="2">
        <v>13.4</v>
      </c>
      <c r="C4379" s="2">
        <v>14.8</v>
      </c>
      <c r="D4379" s="60" t="s">
        <v>145</v>
      </c>
    </row>
    <row r="4380" spans="1:10">
      <c r="A4380" s="2" t="s">
        <v>141</v>
      </c>
      <c r="B4380" s="2">
        <v>14.8</v>
      </c>
      <c r="C4380" s="2">
        <v>23.049900000000001</v>
      </c>
      <c r="D4380" s="60" t="s">
        <v>144</v>
      </c>
    </row>
    <row r="4381" spans="1:10">
      <c r="A4381" s="2" t="s">
        <v>148</v>
      </c>
      <c r="B4381" s="2" t="s">
        <v>99</v>
      </c>
      <c r="C4381" s="2">
        <v>0.120477</v>
      </c>
      <c r="D4381" s="60">
        <v>0</v>
      </c>
      <c r="E4381" s="2">
        <v>0</v>
      </c>
      <c r="F4381" s="2">
        <v>0.3</v>
      </c>
      <c r="G4381" s="2">
        <v>70.000500000000002</v>
      </c>
      <c r="H4381" s="2">
        <v>73.116</v>
      </c>
      <c r="I4381" s="2">
        <v>0</v>
      </c>
      <c r="J4381" s="2">
        <v>0</v>
      </c>
    </row>
    <row r="4382" spans="1:10">
      <c r="A4382" s="2" t="s">
        <v>148</v>
      </c>
      <c r="B4382" s="2" t="s">
        <v>100</v>
      </c>
      <c r="C4382" s="2">
        <v>1.02664E-2</v>
      </c>
      <c r="D4382" s="60">
        <v>0</v>
      </c>
      <c r="E4382" s="2">
        <v>27.429400000000001</v>
      </c>
      <c r="F4382" s="2">
        <v>2.8081900000000002</v>
      </c>
      <c r="G4382" s="2">
        <v>0</v>
      </c>
      <c r="H4382" s="2">
        <v>10.0001</v>
      </c>
      <c r="I4382" s="2">
        <v>0</v>
      </c>
      <c r="J4382" s="2">
        <v>0</v>
      </c>
    </row>
    <row r="4383" spans="1:10">
      <c r="A4383" s="2" t="s">
        <v>148</v>
      </c>
      <c r="B4383" s="2" t="s">
        <v>98</v>
      </c>
      <c r="C4383" s="2">
        <v>0.67194600000000004</v>
      </c>
      <c r="D4383" s="60">
        <v>0</v>
      </c>
      <c r="E4383" s="2">
        <v>14.895</v>
      </c>
      <c r="F4383" s="2">
        <v>12.5345</v>
      </c>
      <c r="G4383" s="2">
        <v>10.0001</v>
      </c>
      <c r="H4383" s="2">
        <v>39.160899999999998</v>
      </c>
      <c r="I4383" s="2">
        <v>0</v>
      </c>
      <c r="J4383" s="2">
        <v>0</v>
      </c>
    </row>
    <row r="4384" spans="1:10">
      <c r="A4384" s="2" t="s">
        <v>148</v>
      </c>
      <c r="B4384" s="2" t="s">
        <v>101</v>
      </c>
      <c r="C4384" s="2">
        <v>6.1190599999999998E-2</v>
      </c>
      <c r="D4384" s="60">
        <v>0</v>
      </c>
      <c r="E4384" s="2">
        <v>14.4</v>
      </c>
      <c r="F4384" s="2">
        <v>0.494952</v>
      </c>
      <c r="G4384" s="2">
        <v>39.160899999999998</v>
      </c>
      <c r="H4384" s="2">
        <v>40.183</v>
      </c>
      <c r="I4384" s="2">
        <v>0</v>
      </c>
      <c r="J4384" s="2">
        <v>0</v>
      </c>
    </row>
    <row r="4385" spans="1:10">
      <c r="A4385" s="2" t="s">
        <v>148</v>
      </c>
      <c r="B4385" s="2" t="s">
        <v>62</v>
      </c>
      <c r="C4385" s="2">
        <v>0.609989</v>
      </c>
      <c r="D4385" s="60">
        <v>48.799100000000003</v>
      </c>
      <c r="E4385" s="2">
        <v>10.4</v>
      </c>
      <c r="F4385" s="2">
        <v>4</v>
      </c>
      <c r="G4385" s="2">
        <v>40.183</v>
      </c>
      <c r="H4385" s="2">
        <v>47.581800000000001</v>
      </c>
      <c r="I4385" s="2">
        <v>0</v>
      </c>
      <c r="J4385" s="2">
        <v>0</v>
      </c>
    </row>
    <row r="4386" spans="1:10">
      <c r="A4386" s="2" t="s">
        <v>148</v>
      </c>
      <c r="B4386" s="2" t="s">
        <v>58</v>
      </c>
      <c r="C4386" s="2">
        <v>0.80731200000000003</v>
      </c>
      <c r="D4386" s="60">
        <v>84.767799999999994</v>
      </c>
      <c r="E4386" s="2">
        <v>6.4</v>
      </c>
      <c r="F4386" s="2">
        <v>4</v>
      </c>
      <c r="G4386" s="2">
        <v>47.581800000000001</v>
      </c>
      <c r="H4386" s="2">
        <v>53.547800000000002</v>
      </c>
      <c r="I4386" s="2">
        <v>0</v>
      </c>
      <c r="J4386" s="2">
        <v>0</v>
      </c>
    </row>
    <row r="4387" spans="1:10">
      <c r="A4387" s="2" t="s">
        <v>148</v>
      </c>
      <c r="B4387" s="2" t="s">
        <v>55</v>
      </c>
      <c r="C4387" s="2">
        <v>1.67154</v>
      </c>
      <c r="D4387" s="60">
        <v>242.37299999999999</v>
      </c>
      <c r="E4387" s="2">
        <v>0.3</v>
      </c>
      <c r="F4387" s="2">
        <v>6.1</v>
      </c>
      <c r="G4387" s="2">
        <v>53.547800000000002</v>
      </c>
      <c r="H4387" s="2">
        <v>70.000500000000002</v>
      </c>
      <c r="I4387" s="2">
        <v>0</v>
      </c>
      <c r="J4387" s="2">
        <v>0</v>
      </c>
    </row>
    <row r="4388" spans="1:10">
      <c r="A4388" s="2" t="s">
        <v>138</v>
      </c>
      <c r="B4388" s="2">
        <v>2</v>
      </c>
      <c r="C4388" s="2">
        <v>19.308399999999999</v>
      </c>
      <c r="D4388" s="60" t="s">
        <v>149</v>
      </c>
    </row>
    <row r="4389" spans="1:10">
      <c r="A4389" s="2" t="s">
        <v>140</v>
      </c>
      <c r="B4389" s="2">
        <v>0</v>
      </c>
      <c r="C4389" s="2">
        <v>45.343000000000004</v>
      </c>
      <c r="D4389" s="60">
        <v>26.849699999999999</v>
      </c>
    </row>
    <row r="4390" spans="1:10">
      <c r="A4390" s="2" t="s">
        <v>141</v>
      </c>
      <c r="B4390" s="2">
        <v>0</v>
      </c>
      <c r="C4390" s="2">
        <v>6.8</v>
      </c>
      <c r="D4390" s="60" t="s">
        <v>142</v>
      </c>
    </row>
    <row r="4391" spans="1:10">
      <c r="A4391" s="2" t="s">
        <v>141</v>
      </c>
      <c r="B4391" s="2">
        <v>0</v>
      </c>
      <c r="C4391" s="2">
        <v>9.9</v>
      </c>
      <c r="D4391" s="60" t="s">
        <v>146</v>
      </c>
    </row>
    <row r="4392" spans="1:10">
      <c r="A4392" s="2" t="s">
        <v>141</v>
      </c>
      <c r="B4392" s="2">
        <v>6.8</v>
      </c>
      <c r="C4392" s="2">
        <v>20.575500000000002</v>
      </c>
      <c r="D4392" s="60" t="s">
        <v>144</v>
      </c>
    </row>
    <row r="4393" spans="1:10">
      <c r="A4393" s="2" t="s">
        <v>141</v>
      </c>
      <c r="B4393" s="2">
        <v>9.9</v>
      </c>
      <c r="C4393" s="2">
        <v>20.575500000000002</v>
      </c>
      <c r="D4393" s="60" t="s">
        <v>161</v>
      </c>
    </row>
    <row r="4394" spans="1:10">
      <c r="A4394" s="2" t="s">
        <v>148</v>
      </c>
      <c r="B4394" s="2" t="s">
        <v>99</v>
      </c>
      <c r="C4394" s="2">
        <v>5.0524800000000002E-2</v>
      </c>
      <c r="D4394" s="60">
        <v>0</v>
      </c>
      <c r="E4394" s="2">
        <v>0</v>
      </c>
      <c r="F4394" s="2">
        <v>0.3</v>
      </c>
      <c r="G4394" s="2">
        <v>45.224899999999998</v>
      </c>
      <c r="H4394" s="2">
        <v>47.472799999999999</v>
      </c>
      <c r="I4394" s="2">
        <v>0</v>
      </c>
      <c r="J4394" s="2">
        <v>0</v>
      </c>
    </row>
    <row r="4395" spans="1:10">
      <c r="A4395" s="2" t="s">
        <v>148</v>
      </c>
      <c r="B4395" s="2" t="s">
        <v>100</v>
      </c>
      <c r="C4395" s="2">
        <v>1.52722E-2</v>
      </c>
      <c r="D4395" s="60">
        <v>0</v>
      </c>
      <c r="E4395" s="2">
        <v>22.2423</v>
      </c>
      <c r="F4395" s="2">
        <v>4.6073899999999997</v>
      </c>
      <c r="G4395" s="2">
        <v>0</v>
      </c>
      <c r="H4395" s="2">
        <v>10</v>
      </c>
      <c r="I4395" s="2">
        <v>0</v>
      </c>
      <c r="J4395" s="2">
        <v>0</v>
      </c>
    </row>
    <row r="4396" spans="1:10">
      <c r="A4396" s="2" t="s">
        <v>148</v>
      </c>
      <c r="B4396" s="2" t="s">
        <v>98</v>
      </c>
      <c r="C4396" s="2">
        <v>9.2248999999999998E-2</v>
      </c>
      <c r="D4396" s="60">
        <v>0</v>
      </c>
      <c r="E4396" s="2">
        <v>16.942399999999999</v>
      </c>
      <c r="F4396" s="2">
        <v>5.2998799999999999</v>
      </c>
      <c r="G4396" s="2">
        <v>10</v>
      </c>
      <c r="H4396" s="2">
        <v>19.3154</v>
      </c>
      <c r="I4396" s="2">
        <v>0</v>
      </c>
      <c r="J4396" s="2">
        <v>0</v>
      </c>
    </row>
    <row r="4397" spans="1:10">
      <c r="A4397" s="2" t="s">
        <v>148</v>
      </c>
      <c r="B4397" s="2" t="s">
        <v>101</v>
      </c>
      <c r="C4397" s="2">
        <v>0.47171200000000002</v>
      </c>
      <c r="D4397" s="60">
        <v>0</v>
      </c>
      <c r="E4397" s="2">
        <v>8.3000000000000007</v>
      </c>
      <c r="F4397" s="2">
        <v>8.6424199999999995</v>
      </c>
      <c r="G4397" s="2">
        <v>19.3154</v>
      </c>
      <c r="H4397" s="2">
        <v>31.9924</v>
      </c>
      <c r="I4397" s="2">
        <v>0</v>
      </c>
      <c r="J4397" s="2">
        <v>0</v>
      </c>
    </row>
    <row r="4398" spans="1:10">
      <c r="A4398" s="2" t="s">
        <v>148</v>
      </c>
      <c r="B4398" s="2" t="s">
        <v>59</v>
      </c>
      <c r="C4398" s="2">
        <v>0.36613099999999998</v>
      </c>
      <c r="D4398" s="60">
        <v>36.613100000000003</v>
      </c>
      <c r="E4398" s="2">
        <v>4.3</v>
      </c>
      <c r="F4398" s="2">
        <v>4</v>
      </c>
      <c r="G4398" s="2">
        <v>31.9924</v>
      </c>
      <c r="H4398" s="2">
        <v>36.142299999999999</v>
      </c>
      <c r="I4398" s="2">
        <v>0</v>
      </c>
      <c r="J4398" s="2">
        <v>0</v>
      </c>
    </row>
    <row r="4399" spans="1:10">
      <c r="A4399" s="2" t="s">
        <v>148</v>
      </c>
      <c r="B4399" s="2" t="s">
        <v>56</v>
      </c>
      <c r="C4399" s="2">
        <v>0.483738</v>
      </c>
      <c r="D4399" s="60">
        <v>67.723299999999995</v>
      </c>
      <c r="E4399" s="2">
        <v>0.3</v>
      </c>
      <c r="F4399" s="2">
        <v>4</v>
      </c>
      <c r="G4399" s="2">
        <v>36.142299999999999</v>
      </c>
      <c r="H4399" s="2">
        <v>45.224899999999998</v>
      </c>
      <c r="I4399" s="2">
        <v>0</v>
      </c>
      <c r="J4399" s="2">
        <v>0</v>
      </c>
    </row>
    <row r="4400" spans="1:10">
      <c r="A4400" s="2" t="s">
        <v>138</v>
      </c>
      <c r="B4400" s="2">
        <v>3</v>
      </c>
      <c r="C4400" s="2">
        <v>19.781199999999998</v>
      </c>
      <c r="D4400" s="60" t="s">
        <v>139</v>
      </c>
    </row>
    <row r="4401" spans="1:10">
      <c r="A4401" s="2" t="s">
        <v>140</v>
      </c>
      <c r="B4401" s="2">
        <v>0</v>
      </c>
      <c r="C4401" s="2">
        <v>64.882499999999993</v>
      </c>
      <c r="D4401" s="60">
        <v>28.252400000000002</v>
      </c>
    </row>
    <row r="4402" spans="1:10">
      <c r="A4402" s="2" t="s">
        <v>141</v>
      </c>
      <c r="B4402" s="2">
        <v>0</v>
      </c>
      <c r="C4402" s="2">
        <v>6.1</v>
      </c>
      <c r="D4402" s="60" t="s">
        <v>142</v>
      </c>
    </row>
    <row r="4403" spans="1:10">
      <c r="A4403" s="2" t="s">
        <v>141</v>
      </c>
      <c r="B4403" s="2">
        <v>0</v>
      </c>
      <c r="C4403" s="2">
        <v>10.8</v>
      </c>
      <c r="D4403" s="60" t="s">
        <v>143</v>
      </c>
    </row>
    <row r="4404" spans="1:10">
      <c r="A4404" s="2" t="s">
        <v>141</v>
      </c>
      <c r="B4404" s="2">
        <v>6.1</v>
      </c>
      <c r="C4404" s="2">
        <v>10.8</v>
      </c>
      <c r="D4404" s="60" t="s">
        <v>144</v>
      </c>
    </row>
    <row r="4405" spans="1:10">
      <c r="A4405" s="2" t="s">
        <v>141</v>
      </c>
      <c r="B4405" s="2">
        <v>10.8</v>
      </c>
      <c r="C4405" s="2">
        <v>12.2</v>
      </c>
      <c r="D4405" s="60" t="s">
        <v>147</v>
      </c>
    </row>
    <row r="4406" spans="1:10">
      <c r="A4406" s="2" t="s">
        <v>141</v>
      </c>
      <c r="B4406" s="2">
        <v>10.8</v>
      </c>
      <c r="C4406" s="2">
        <v>21.6</v>
      </c>
      <c r="D4406" s="60" t="s">
        <v>146</v>
      </c>
    </row>
    <row r="4407" spans="1:10">
      <c r="A4407" s="2" t="s">
        <v>141</v>
      </c>
      <c r="B4407" s="2">
        <v>12.2</v>
      </c>
      <c r="C4407" s="2">
        <v>15.9</v>
      </c>
      <c r="D4407" s="60" t="s">
        <v>145</v>
      </c>
    </row>
    <row r="4408" spans="1:10">
      <c r="A4408" s="2" t="s">
        <v>141</v>
      </c>
      <c r="B4408" s="2">
        <v>15.9</v>
      </c>
      <c r="C4408" s="2">
        <v>21.6</v>
      </c>
      <c r="D4408" s="60" t="s">
        <v>144</v>
      </c>
    </row>
    <row r="4409" spans="1:10">
      <c r="A4409" s="2" t="s">
        <v>148</v>
      </c>
      <c r="B4409" s="2" t="s">
        <v>99</v>
      </c>
      <c r="C4409" s="2">
        <v>9.6282000000000006E-2</v>
      </c>
      <c r="D4409" s="60">
        <v>0</v>
      </c>
      <c r="E4409" s="2">
        <v>0</v>
      </c>
      <c r="F4409" s="2">
        <v>0.3</v>
      </c>
      <c r="G4409" s="2">
        <v>62.4953</v>
      </c>
      <c r="H4409" s="2">
        <v>65.458399999999997</v>
      </c>
      <c r="I4409" s="2">
        <v>0</v>
      </c>
      <c r="J4409" s="2">
        <v>0</v>
      </c>
    </row>
    <row r="4410" spans="1:10">
      <c r="A4410" s="2" t="s">
        <v>148</v>
      </c>
      <c r="B4410" s="2" t="s">
        <v>100</v>
      </c>
      <c r="C4410" s="2">
        <v>1.1129699999999999E-2</v>
      </c>
      <c r="D4410" s="60">
        <v>0</v>
      </c>
      <c r="E4410" s="2">
        <v>25.141200000000001</v>
      </c>
      <c r="F4410" s="2">
        <v>3.1112199999999999</v>
      </c>
      <c r="G4410" s="2">
        <v>0</v>
      </c>
      <c r="H4410" s="2">
        <v>10.000299999999999</v>
      </c>
      <c r="I4410" s="2">
        <v>0</v>
      </c>
      <c r="J4410" s="2">
        <v>0</v>
      </c>
    </row>
    <row r="4411" spans="1:10">
      <c r="A4411" s="2" t="s">
        <v>148</v>
      </c>
      <c r="B4411" s="2" t="s">
        <v>98</v>
      </c>
      <c r="C4411" s="2">
        <v>0.27313500000000002</v>
      </c>
      <c r="D4411" s="60">
        <v>0</v>
      </c>
      <c r="E4411" s="2">
        <v>16.697900000000001</v>
      </c>
      <c r="F4411" s="2">
        <v>8.4433100000000003</v>
      </c>
      <c r="G4411" s="2">
        <v>10.000299999999999</v>
      </c>
      <c r="H4411" s="2">
        <v>29.174900000000001</v>
      </c>
      <c r="I4411" s="2">
        <v>0</v>
      </c>
      <c r="J4411" s="2">
        <v>0</v>
      </c>
    </row>
    <row r="4412" spans="1:10">
      <c r="A4412" s="2" t="s">
        <v>148</v>
      </c>
      <c r="B4412" s="2" t="s">
        <v>101</v>
      </c>
      <c r="C4412" s="2">
        <v>8.7503399999999995E-2</v>
      </c>
      <c r="D4412" s="60">
        <v>0</v>
      </c>
      <c r="E4412" s="2">
        <v>15.5</v>
      </c>
      <c r="F4412" s="2">
        <v>1.1979</v>
      </c>
      <c r="G4412" s="2">
        <v>29.174900000000001</v>
      </c>
      <c r="H4412" s="2">
        <v>31.783799999999999</v>
      </c>
      <c r="I4412" s="2">
        <v>0</v>
      </c>
      <c r="J4412" s="2">
        <v>0</v>
      </c>
    </row>
    <row r="4413" spans="1:10">
      <c r="A4413" s="2" t="s">
        <v>148</v>
      </c>
      <c r="B4413" s="2" t="s">
        <v>59</v>
      </c>
      <c r="C4413" s="2">
        <v>0.67297099999999999</v>
      </c>
      <c r="D4413" s="60">
        <v>67.2971</v>
      </c>
      <c r="E4413" s="2">
        <v>9.5</v>
      </c>
      <c r="F4413" s="2">
        <v>6</v>
      </c>
      <c r="G4413" s="2">
        <v>31.783799999999999</v>
      </c>
      <c r="H4413" s="2">
        <v>42.9407</v>
      </c>
      <c r="I4413" s="2">
        <v>0</v>
      </c>
      <c r="J4413" s="2">
        <v>0</v>
      </c>
    </row>
    <row r="4414" spans="1:10">
      <c r="A4414" s="2" t="s">
        <v>148</v>
      </c>
      <c r="B4414" s="2" t="s">
        <v>58</v>
      </c>
      <c r="C4414" s="2">
        <v>0.66111900000000001</v>
      </c>
      <c r="D4414" s="60">
        <v>69.417500000000004</v>
      </c>
      <c r="E4414" s="2">
        <v>5.5</v>
      </c>
      <c r="F4414" s="2">
        <v>4</v>
      </c>
      <c r="G4414" s="2">
        <v>42.9407</v>
      </c>
      <c r="H4414" s="2">
        <v>48.564500000000002</v>
      </c>
      <c r="I4414" s="2">
        <v>0</v>
      </c>
      <c r="J4414" s="2">
        <v>0</v>
      </c>
    </row>
    <row r="4415" spans="1:10">
      <c r="A4415" s="2" t="s">
        <v>148</v>
      </c>
      <c r="B4415" s="2" t="s">
        <v>55</v>
      </c>
      <c r="C4415" s="2">
        <v>1.15798</v>
      </c>
      <c r="D4415" s="60">
        <v>167.90700000000001</v>
      </c>
      <c r="E4415" s="2">
        <v>0.3</v>
      </c>
      <c r="F4415" s="2">
        <v>5.2</v>
      </c>
      <c r="G4415" s="2">
        <v>48.564500000000002</v>
      </c>
      <c r="H4415" s="2">
        <v>62.4953</v>
      </c>
      <c r="I4415" s="2">
        <v>0</v>
      </c>
      <c r="J4415" s="2">
        <v>0</v>
      </c>
    </row>
    <row r="4416" spans="1:10">
      <c r="A4416" s="2" t="s">
        <v>138</v>
      </c>
      <c r="B4416" s="2">
        <v>4</v>
      </c>
      <c r="C4416" s="2">
        <v>19.491</v>
      </c>
      <c r="D4416" s="60" t="s">
        <v>149</v>
      </c>
    </row>
    <row r="4417" spans="1:10">
      <c r="A4417" s="2" t="s">
        <v>140</v>
      </c>
      <c r="B4417" s="2">
        <v>0</v>
      </c>
      <c r="C4417" s="2">
        <v>49.734099999999998</v>
      </c>
      <c r="D4417" s="60">
        <v>27.5061</v>
      </c>
    </row>
    <row r="4418" spans="1:10">
      <c r="A4418" s="2" t="s">
        <v>141</v>
      </c>
      <c r="B4418" s="2">
        <v>0</v>
      </c>
      <c r="C4418" s="2">
        <v>2.4</v>
      </c>
      <c r="D4418" s="60" t="s">
        <v>144</v>
      </c>
    </row>
    <row r="4419" spans="1:10">
      <c r="A4419" s="2" t="s">
        <v>141</v>
      </c>
      <c r="B4419" s="2">
        <v>0</v>
      </c>
      <c r="C4419" s="2">
        <v>2.4</v>
      </c>
      <c r="D4419" s="60" t="s">
        <v>158</v>
      </c>
    </row>
    <row r="4420" spans="1:10">
      <c r="A4420" s="2" t="s">
        <v>141</v>
      </c>
      <c r="B4420" s="2">
        <v>0</v>
      </c>
      <c r="C4420" s="2">
        <v>12.5</v>
      </c>
      <c r="D4420" s="60" t="s">
        <v>155</v>
      </c>
    </row>
    <row r="4421" spans="1:10">
      <c r="A4421" s="2" t="s">
        <v>141</v>
      </c>
      <c r="B4421" s="2">
        <v>2.4</v>
      </c>
      <c r="C4421" s="2">
        <v>2.7</v>
      </c>
      <c r="D4421" s="60" t="s">
        <v>145</v>
      </c>
    </row>
    <row r="4422" spans="1:10">
      <c r="A4422" s="2" t="s">
        <v>141</v>
      </c>
      <c r="B4422" s="2">
        <v>2.4</v>
      </c>
      <c r="C4422" s="2">
        <v>2.7</v>
      </c>
      <c r="D4422" s="60" t="s">
        <v>160</v>
      </c>
    </row>
    <row r="4423" spans="1:10">
      <c r="A4423" s="2" t="s">
        <v>141</v>
      </c>
      <c r="B4423" s="2">
        <v>2.7</v>
      </c>
      <c r="C4423" s="2">
        <v>5.5</v>
      </c>
      <c r="D4423" s="60" t="s">
        <v>144</v>
      </c>
    </row>
    <row r="4424" spans="1:10">
      <c r="A4424" s="2" t="s">
        <v>141</v>
      </c>
      <c r="B4424" s="2">
        <v>5.5</v>
      </c>
      <c r="C4424" s="2">
        <v>5.8</v>
      </c>
      <c r="D4424" s="60" t="s">
        <v>145</v>
      </c>
    </row>
    <row r="4425" spans="1:10">
      <c r="A4425" s="2" t="s">
        <v>141</v>
      </c>
      <c r="B4425" s="2">
        <v>5.8</v>
      </c>
      <c r="C4425" s="2">
        <v>8.5</v>
      </c>
      <c r="D4425" s="60" t="s">
        <v>144</v>
      </c>
    </row>
    <row r="4426" spans="1:10">
      <c r="A4426" s="2" t="s">
        <v>141</v>
      </c>
      <c r="B4426" s="2">
        <v>8.5</v>
      </c>
      <c r="C4426" s="2">
        <v>10.3</v>
      </c>
      <c r="D4426" s="60" t="s">
        <v>145</v>
      </c>
    </row>
    <row r="4427" spans="1:10">
      <c r="A4427" s="2" t="s">
        <v>141</v>
      </c>
      <c r="B4427" s="2">
        <v>10.3</v>
      </c>
      <c r="C4427" s="2">
        <v>21.0549</v>
      </c>
      <c r="D4427" s="60" t="s">
        <v>144</v>
      </c>
    </row>
    <row r="4428" spans="1:10">
      <c r="A4428" s="2" t="s">
        <v>141</v>
      </c>
      <c r="B4428" s="2">
        <v>12.5</v>
      </c>
      <c r="C4428" s="2">
        <v>21.0549</v>
      </c>
      <c r="D4428" s="60" t="s">
        <v>161</v>
      </c>
    </row>
    <row r="4429" spans="1:10">
      <c r="A4429" s="2" t="s">
        <v>148</v>
      </c>
      <c r="B4429" s="2" t="s">
        <v>99</v>
      </c>
      <c r="C4429" s="2">
        <v>5.9709100000000001E-2</v>
      </c>
      <c r="D4429" s="60">
        <v>0</v>
      </c>
      <c r="E4429" s="2">
        <v>0</v>
      </c>
      <c r="F4429" s="2">
        <v>0.3</v>
      </c>
      <c r="G4429" s="2">
        <v>49.188200000000002</v>
      </c>
      <c r="H4429" s="2">
        <v>51.579000000000001</v>
      </c>
      <c r="I4429" s="2">
        <v>0</v>
      </c>
      <c r="J4429" s="2">
        <v>0</v>
      </c>
    </row>
    <row r="4430" spans="1:10">
      <c r="A4430" s="2" t="s">
        <v>148</v>
      </c>
      <c r="B4430" s="2" t="s">
        <v>100</v>
      </c>
      <c r="C4430" s="2">
        <v>1.4338800000000001E-2</v>
      </c>
      <c r="D4430" s="60">
        <v>0</v>
      </c>
      <c r="E4430" s="2">
        <v>23.269100000000002</v>
      </c>
      <c r="F4430" s="2">
        <v>4.2370200000000002</v>
      </c>
      <c r="G4430" s="2">
        <v>0</v>
      </c>
      <c r="H4430" s="2">
        <v>10</v>
      </c>
      <c r="I4430" s="2">
        <v>0</v>
      </c>
      <c r="J4430" s="2">
        <v>0</v>
      </c>
    </row>
    <row r="4431" spans="1:10">
      <c r="A4431" s="2" t="s">
        <v>148</v>
      </c>
      <c r="B4431" s="2" t="s">
        <v>98</v>
      </c>
      <c r="C4431" s="2">
        <v>6.8572599999999997E-2</v>
      </c>
      <c r="D4431" s="60">
        <v>0</v>
      </c>
      <c r="E4431" s="2">
        <v>18.927299999999999</v>
      </c>
      <c r="F4431" s="2">
        <v>4.3417899999999996</v>
      </c>
      <c r="G4431" s="2">
        <v>10</v>
      </c>
      <c r="H4431" s="2">
        <v>18.054099999999998</v>
      </c>
      <c r="I4431" s="2">
        <v>0</v>
      </c>
      <c r="J4431" s="2">
        <v>0</v>
      </c>
    </row>
    <row r="4432" spans="1:10">
      <c r="A4432" s="2" t="s">
        <v>148</v>
      </c>
      <c r="B4432" s="2" t="s">
        <v>101</v>
      </c>
      <c r="C4432" s="2">
        <v>0.306311</v>
      </c>
      <c r="D4432" s="60">
        <v>0</v>
      </c>
      <c r="E4432" s="2">
        <v>12.3</v>
      </c>
      <c r="F4432" s="2">
        <v>6.6272799999999998</v>
      </c>
      <c r="G4432" s="2">
        <v>18.054099999999998</v>
      </c>
      <c r="H4432" s="2">
        <v>29.5871</v>
      </c>
      <c r="I4432" s="2">
        <v>0</v>
      </c>
      <c r="J4432" s="2">
        <v>0</v>
      </c>
    </row>
    <row r="4433" spans="1:10">
      <c r="A4433" s="2" t="s">
        <v>148</v>
      </c>
      <c r="B4433" s="2" t="s">
        <v>62</v>
      </c>
      <c r="C4433" s="2">
        <v>0.53604200000000002</v>
      </c>
      <c r="D4433" s="60">
        <v>42.883400000000002</v>
      </c>
      <c r="E4433" s="2">
        <v>6.3</v>
      </c>
      <c r="F4433" s="2">
        <v>6</v>
      </c>
      <c r="G4433" s="2">
        <v>29.5871</v>
      </c>
      <c r="H4433" s="2">
        <v>37.264600000000002</v>
      </c>
      <c r="I4433" s="2">
        <v>0</v>
      </c>
      <c r="J4433" s="2">
        <v>0</v>
      </c>
    </row>
    <row r="4434" spans="1:10">
      <c r="A4434" s="2" t="s">
        <v>148</v>
      </c>
      <c r="B4434" s="2" t="s">
        <v>62</v>
      </c>
      <c r="C4434" s="2">
        <v>0.80438799999999999</v>
      </c>
      <c r="D4434" s="60">
        <v>64.351100000000002</v>
      </c>
      <c r="E4434" s="2">
        <v>0.3</v>
      </c>
      <c r="F4434" s="2">
        <v>6</v>
      </c>
      <c r="G4434" s="2">
        <v>37.264600000000002</v>
      </c>
      <c r="H4434" s="2">
        <v>49.188200000000002</v>
      </c>
      <c r="I4434" s="2">
        <v>0</v>
      </c>
      <c r="J4434" s="2">
        <v>0</v>
      </c>
    </row>
    <row r="4435" spans="1:10">
      <c r="A4435" s="2" t="s">
        <v>138</v>
      </c>
      <c r="B4435" s="2">
        <v>5</v>
      </c>
      <c r="C4435" s="2">
        <v>19.760200000000001</v>
      </c>
      <c r="D4435" s="60" t="s">
        <v>149</v>
      </c>
    </row>
    <row r="4436" spans="1:10">
      <c r="A4436" s="2" t="s">
        <v>140</v>
      </c>
      <c r="B4436" s="2">
        <v>0</v>
      </c>
      <c r="C4436" s="2">
        <v>62.0227</v>
      </c>
      <c r="D4436" s="60">
        <v>29.0776</v>
      </c>
    </row>
    <row r="4437" spans="1:10">
      <c r="A4437" s="2" t="s">
        <v>141</v>
      </c>
      <c r="B4437" s="2">
        <v>0</v>
      </c>
      <c r="C4437" s="2">
        <v>8</v>
      </c>
      <c r="D4437" s="60" t="s">
        <v>144</v>
      </c>
    </row>
    <row r="4438" spans="1:10">
      <c r="A4438" s="2" t="s">
        <v>141</v>
      </c>
      <c r="B4438" s="2">
        <v>0</v>
      </c>
      <c r="C4438" s="2">
        <v>9.3000000000000007</v>
      </c>
      <c r="D4438" s="60" t="s">
        <v>146</v>
      </c>
    </row>
    <row r="4439" spans="1:10">
      <c r="A4439" s="2" t="s">
        <v>141</v>
      </c>
      <c r="B4439" s="2">
        <v>8</v>
      </c>
      <c r="C4439" s="2">
        <v>9</v>
      </c>
      <c r="D4439" s="60" t="s">
        <v>145</v>
      </c>
    </row>
    <row r="4440" spans="1:10">
      <c r="A4440" s="2" t="s">
        <v>141</v>
      </c>
      <c r="B4440" s="2">
        <v>9</v>
      </c>
      <c r="C4440" s="2">
        <v>22.2027</v>
      </c>
      <c r="D4440" s="60" t="s">
        <v>144</v>
      </c>
    </row>
    <row r="4441" spans="1:10">
      <c r="A4441" s="2" t="s">
        <v>141</v>
      </c>
      <c r="B4441" s="2">
        <v>9.3000000000000007</v>
      </c>
      <c r="C4441" s="2">
        <v>9.6</v>
      </c>
      <c r="D4441" s="60" t="s">
        <v>153</v>
      </c>
    </row>
    <row r="4442" spans="1:10">
      <c r="A4442" s="2" t="s">
        <v>141</v>
      </c>
      <c r="B4442" s="2">
        <v>9.3000000000000007</v>
      </c>
      <c r="C4442" s="2">
        <v>9.6</v>
      </c>
      <c r="D4442" s="60" t="s">
        <v>154</v>
      </c>
    </row>
    <row r="4443" spans="1:10">
      <c r="A4443" s="2" t="s">
        <v>141</v>
      </c>
      <c r="B4443" s="2">
        <v>9.3000000000000007</v>
      </c>
      <c r="C4443" s="2">
        <v>12.7</v>
      </c>
      <c r="D4443" s="60" t="s">
        <v>290</v>
      </c>
    </row>
    <row r="4444" spans="1:10">
      <c r="A4444" s="2" t="s">
        <v>141</v>
      </c>
      <c r="B4444" s="2">
        <v>12.7</v>
      </c>
      <c r="C4444" s="2">
        <v>22.2027</v>
      </c>
      <c r="D4444" s="60" t="s">
        <v>155</v>
      </c>
    </row>
    <row r="4445" spans="1:10">
      <c r="A4445" s="2" t="s">
        <v>156</v>
      </c>
      <c r="B4445" s="2">
        <v>9.3000000000000007</v>
      </c>
      <c r="C4445" s="2">
        <v>46.511000000000003</v>
      </c>
    </row>
    <row r="4446" spans="1:10">
      <c r="A4446" s="2" t="s">
        <v>148</v>
      </c>
      <c r="B4446" s="2" t="s">
        <v>99</v>
      </c>
      <c r="C4446" s="2">
        <v>8.8977100000000003E-2</v>
      </c>
      <c r="D4446" s="60">
        <v>0</v>
      </c>
      <c r="E4446" s="2">
        <v>0</v>
      </c>
      <c r="F4446" s="2">
        <v>0.3</v>
      </c>
      <c r="G4446" s="2">
        <v>60.112000000000002</v>
      </c>
      <c r="H4446" s="2">
        <v>62.886699999999998</v>
      </c>
      <c r="I4446" s="2">
        <v>0</v>
      </c>
      <c r="J4446" s="2">
        <v>0</v>
      </c>
    </row>
    <row r="4447" spans="1:10">
      <c r="A4447" s="2" t="s">
        <v>148</v>
      </c>
      <c r="B4447" s="2" t="s">
        <v>100</v>
      </c>
      <c r="C4447" s="2">
        <v>1.6143000000000001E-2</v>
      </c>
      <c r="D4447" s="60">
        <v>0</v>
      </c>
      <c r="E4447" s="2">
        <v>24.2362</v>
      </c>
      <c r="F4447" s="2">
        <v>4.8414900000000003</v>
      </c>
      <c r="G4447" s="2">
        <v>0</v>
      </c>
      <c r="H4447" s="2">
        <v>10</v>
      </c>
      <c r="I4447" s="2">
        <v>0</v>
      </c>
      <c r="J4447" s="2">
        <v>0</v>
      </c>
    </row>
    <row r="4448" spans="1:10">
      <c r="A4448" s="2" t="s">
        <v>148</v>
      </c>
      <c r="B4448" s="2" t="s">
        <v>101</v>
      </c>
      <c r="C4448" s="2">
        <v>3.7661300000000002E-2</v>
      </c>
      <c r="D4448" s="60">
        <v>0</v>
      </c>
      <c r="E4448" s="2">
        <v>21.2</v>
      </c>
      <c r="F4448" s="2">
        <v>3.0361500000000001</v>
      </c>
      <c r="G4448" s="2">
        <v>10</v>
      </c>
      <c r="H4448" s="2">
        <v>15.008699999999999</v>
      </c>
      <c r="I4448" s="2">
        <v>0</v>
      </c>
      <c r="J4448" s="2">
        <v>0</v>
      </c>
    </row>
    <row r="4449" spans="1:10">
      <c r="A4449" s="2" t="s">
        <v>148</v>
      </c>
      <c r="B4449" s="2" t="s">
        <v>63</v>
      </c>
      <c r="C4449" s="2">
        <v>0.106949</v>
      </c>
      <c r="D4449" s="60">
        <v>7.4864199999999999</v>
      </c>
      <c r="E4449" s="2">
        <v>17.2</v>
      </c>
      <c r="F4449" s="2">
        <v>4</v>
      </c>
      <c r="G4449" s="2">
        <v>15.008699999999999</v>
      </c>
      <c r="H4449" s="2">
        <v>21.638500000000001</v>
      </c>
      <c r="I4449" s="2">
        <v>0</v>
      </c>
      <c r="J4449" s="2">
        <v>0</v>
      </c>
    </row>
    <row r="4450" spans="1:10">
      <c r="A4450" s="2" t="s">
        <v>148</v>
      </c>
      <c r="B4450" s="2" t="s">
        <v>63</v>
      </c>
      <c r="C4450" s="2">
        <v>0.19264200000000001</v>
      </c>
      <c r="D4450" s="60">
        <v>13.4849</v>
      </c>
      <c r="E4450" s="2">
        <v>13.2</v>
      </c>
      <c r="F4450" s="2">
        <v>4</v>
      </c>
      <c r="G4450" s="2">
        <v>21.638500000000001</v>
      </c>
      <c r="H4450" s="2">
        <v>27.610399999999998</v>
      </c>
      <c r="I4450" s="2">
        <v>0</v>
      </c>
      <c r="J4450" s="2">
        <v>0</v>
      </c>
    </row>
    <row r="4451" spans="1:10">
      <c r="A4451" s="2" t="s">
        <v>148</v>
      </c>
      <c r="B4451" s="2" t="s">
        <v>64</v>
      </c>
      <c r="C4451" s="2">
        <v>0.25361400000000001</v>
      </c>
      <c r="D4451" s="60">
        <v>7.6084100000000001</v>
      </c>
      <c r="E4451" s="2">
        <v>9.6</v>
      </c>
      <c r="F4451" s="2">
        <v>3.6</v>
      </c>
      <c r="G4451" s="2">
        <v>27.610399999999998</v>
      </c>
      <c r="H4451" s="2">
        <v>32.081699999999998</v>
      </c>
      <c r="I4451" s="2">
        <v>0</v>
      </c>
      <c r="J4451" s="2">
        <v>0</v>
      </c>
    </row>
    <row r="4452" spans="1:10">
      <c r="A4452" s="2" t="s">
        <v>148</v>
      </c>
      <c r="B4452" s="2" t="s">
        <v>101</v>
      </c>
      <c r="C4452" s="2">
        <v>0.16730500000000001</v>
      </c>
      <c r="D4452" s="60">
        <v>0</v>
      </c>
      <c r="E4452" s="2">
        <v>8.3000000000000007</v>
      </c>
      <c r="F4452" s="2">
        <v>1.3</v>
      </c>
      <c r="G4452" s="2">
        <v>32.081699999999998</v>
      </c>
      <c r="H4452" s="2">
        <v>43.322299999999998</v>
      </c>
      <c r="I4452" s="2">
        <v>0</v>
      </c>
      <c r="J4452" s="2">
        <v>0</v>
      </c>
    </row>
    <row r="4453" spans="1:10">
      <c r="A4453" s="2" t="s">
        <v>148</v>
      </c>
      <c r="B4453" s="2" t="s">
        <v>58</v>
      </c>
      <c r="C4453" s="2">
        <v>0.66129099999999996</v>
      </c>
      <c r="D4453" s="60">
        <v>69.435599999999994</v>
      </c>
      <c r="E4453" s="2">
        <v>4.3</v>
      </c>
      <c r="F4453" s="2">
        <v>4</v>
      </c>
      <c r="G4453" s="2">
        <v>43.322299999999998</v>
      </c>
      <c r="H4453" s="2">
        <v>48.322600000000001</v>
      </c>
      <c r="I4453" s="2">
        <v>0</v>
      </c>
      <c r="J4453" s="2">
        <v>0</v>
      </c>
    </row>
    <row r="4454" spans="1:10">
      <c r="A4454" s="2" t="s">
        <v>148</v>
      </c>
      <c r="B4454" s="2" t="s">
        <v>58</v>
      </c>
      <c r="C4454" s="2">
        <v>0.86150899999999997</v>
      </c>
      <c r="D4454" s="60">
        <v>90.458500000000001</v>
      </c>
      <c r="E4454" s="2">
        <v>0.3</v>
      </c>
      <c r="F4454" s="2">
        <v>4</v>
      </c>
      <c r="G4454" s="2">
        <v>48.322600000000001</v>
      </c>
      <c r="H4454" s="2">
        <v>60.112000000000002</v>
      </c>
      <c r="I4454" s="2">
        <v>0</v>
      </c>
      <c r="J4454" s="2">
        <v>0</v>
      </c>
    </row>
    <row r="4455" spans="1:10">
      <c r="A4455" s="2" t="s">
        <v>140</v>
      </c>
      <c r="B4455" s="2">
        <v>1</v>
      </c>
      <c r="C4455" s="2">
        <v>31.747699999999998</v>
      </c>
      <c r="D4455" s="60">
        <v>29.0776</v>
      </c>
      <c r="E4455" s="2">
        <v>9.3000000000000007</v>
      </c>
    </row>
    <row r="4456" spans="1:10">
      <c r="A4456" s="2" t="s">
        <v>141</v>
      </c>
      <c r="B4456" s="2">
        <v>9.3000000000000007</v>
      </c>
      <c r="C4456" s="2">
        <v>9.6</v>
      </c>
      <c r="D4456" s="60" t="s">
        <v>153</v>
      </c>
    </row>
    <row r="4457" spans="1:10">
      <c r="A4457" s="2" t="s">
        <v>141</v>
      </c>
      <c r="B4457" s="2">
        <v>9.3000000000000007</v>
      </c>
      <c r="C4457" s="2">
        <v>22.2027</v>
      </c>
      <c r="D4457" s="60" t="s">
        <v>144</v>
      </c>
    </row>
    <row r="4458" spans="1:10">
      <c r="A4458" s="2" t="s">
        <v>141</v>
      </c>
      <c r="B4458" s="2">
        <v>9.3000000000000007</v>
      </c>
      <c r="C4458" s="2">
        <v>22.2027</v>
      </c>
      <c r="D4458" s="60" t="s">
        <v>152</v>
      </c>
    </row>
    <row r="4459" spans="1:10">
      <c r="A4459" s="2" t="s">
        <v>148</v>
      </c>
      <c r="B4459" s="2" t="s">
        <v>100</v>
      </c>
      <c r="C4459" s="2">
        <v>2.2495299999999999E-2</v>
      </c>
      <c r="D4459" s="60">
        <v>0</v>
      </c>
      <c r="E4459" s="2">
        <v>21.755600000000001</v>
      </c>
      <c r="F4459" s="2">
        <v>7.3220000000000001</v>
      </c>
      <c r="G4459" s="2">
        <v>0</v>
      </c>
      <c r="H4459" s="2">
        <v>10</v>
      </c>
      <c r="I4459" s="2">
        <v>0</v>
      </c>
      <c r="J4459" s="2">
        <v>0</v>
      </c>
    </row>
    <row r="4460" spans="1:10">
      <c r="A4460" s="2" t="s">
        <v>148</v>
      </c>
      <c r="B4460" s="2" t="s">
        <v>98</v>
      </c>
      <c r="C4460" s="2">
        <v>9.3293799999999996E-2</v>
      </c>
      <c r="D4460" s="60">
        <v>0</v>
      </c>
      <c r="E4460" s="2">
        <v>15.541</v>
      </c>
      <c r="F4460" s="2">
        <v>6.2146800000000004</v>
      </c>
      <c r="G4460" s="2">
        <v>10</v>
      </c>
      <c r="H4460" s="2">
        <v>17.212</v>
      </c>
      <c r="I4460" s="2">
        <v>0</v>
      </c>
      <c r="J4460" s="2">
        <v>0</v>
      </c>
    </row>
    <row r="4461" spans="1:10">
      <c r="A4461" s="2" t="s">
        <v>148</v>
      </c>
      <c r="B4461" s="2" t="s">
        <v>101</v>
      </c>
      <c r="C4461" s="2">
        <v>9.5559699999999998E-4</v>
      </c>
      <c r="D4461" s="60">
        <v>0</v>
      </c>
      <c r="E4461" s="2">
        <v>15.5</v>
      </c>
      <c r="F4461" s="2">
        <v>4.09647E-2</v>
      </c>
      <c r="G4461" s="2">
        <v>17.212</v>
      </c>
      <c r="H4461" s="2">
        <v>17.2561</v>
      </c>
      <c r="I4461" s="2">
        <v>0</v>
      </c>
      <c r="J4461" s="2">
        <v>0</v>
      </c>
    </row>
    <row r="4462" spans="1:10">
      <c r="A4462" s="2" t="s">
        <v>148</v>
      </c>
      <c r="B4462" s="2" t="s">
        <v>64</v>
      </c>
      <c r="C4462" s="2">
        <v>0.189609</v>
      </c>
      <c r="D4462" s="60">
        <v>5.6882599999999996</v>
      </c>
      <c r="E4462" s="2">
        <v>9.6</v>
      </c>
      <c r="F4462" s="2">
        <v>5.9</v>
      </c>
      <c r="G4462" s="2">
        <v>17.2561</v>
      </c>
      <c r="H4462" s="2">
        <v>22.791399999999999</v>
      </c>
      <c r="I4462" s="2">
        <v>0</v>
      </c>
      <c r="J4462" s="2">
        <v>0</v>
      </c>
    </row>
    <row r="4463" spans="1:10">
      <c r="A4463" s="2" t="s">
        <v>148</v>
      </c>
      <c r="B4463" s="2" t="s">
        <v>101</v>
      </c>
      <c r="C4463" s="2">
        <v>1.2366800000000001E-2</v>
      </c>
      <c r="D4463" s="60">
        <v>0</v>
      </c>
      <c r="E4463" s="2">
        <v>9.3000000000000007</v>
      </c>
      <c r="F4463" s="2">
        <v>0.3</v>
      </c>
      <c r="G4463" s="2">
        <v>22.791399999999999</v>
      </c>
      <c r="H4463" s="2">
        <v>23.0275</v>
      </c>
      <c r="I4463" s="2">
        <v>0</v>
      </c>
      <c r="J4463" s="2">
        <v>0</v>
      </c>
    </row>
    <row r="4464" spans="1:10">
      <c r="A4464" s="2" t="s">
        <v>138</v>
      </c>
      <c r="B4464" s="2">
        <v>6</v>
      </c>
      <c r="C4464" s="2">
        <v>19.582100000000001</v>
      </c>
      <c r="D4464" s="60" t="s">
        <v>139</v>
      </c>
    </row>
    <row r="4465" spans="1:10">
      <c r="A4465" s="2" t="s">
        <v>140</v>
      </c>
      <c r="B4465" s="2">
        <v>0</v>
      </c>
      <c r="C4465" s="2">
        <v>55.065300000000001</v>
      </c>
      <c r="D4465" s="60">
        <v>25.7879</v>
      </c>
    </row>
    <row r="4466" spans="1:10">
      <c r="A4466" s="2" t="s">
        <v>141</v>
      </c>
      <c r="B4466" s="2">
        <v>0</v>
      </c>
      <c r="C4466" s="2">
        <v>1.4</v>
      </c>
      <c r="D4466" s="60" t="s">
        <v>155</v>
      </c>
    </row>
    <row r="4467" spans="1:10">
      <c r="A4467" s="2" t="s">
        <v>141</v>
      </c>
      <c r="B4467" s="2">
        <v>0</v>
      </c>
      <c r="C4467" s="2">
        <v>6.5</v>
      </c>
      <c r="D4467" s="60" t="s">
        <v>142</v>
      </c>
    </row>
    <row r="4468" spans="1:10">
      <c r="A4468" s="2" t="s">
        <v>141</v>
      </c>
      <c r="B4468" s="2">
        <v>1.4</v>
      </c>
      <c r="C4468" s="2">
        <v>11.1</v>
      </c>
      <c r="D4468" s="60" t="s">
        <v>146</v>
      </c>
    </row>
    <row r="4469" spans="1:10">
      <c r="A4469" s="2" t="s">
        <v>141</v>
      </c>
      <c r="B4469" s="2">
        <v>6.5</v>
      </c>
      <c r="C4469" s="2">
        <v>11.1</v>
      </c>
      <c r="D4469" s="60" t="s">
        <v>144</v>
      </c>
    </row>
    <row r="4470" spans="1:10">
      <c r="A4470" s="2" t="s">
        <v>141</v>
      </c>
      <c r="B4470" s="2">
        <v>11.1</v>
      </c>
      <c r="C4470" s="2">
        <v>11.5</v>
      </c>
      <c r="D4470" s="60" t="s">
        <v>159</v>
      </c>
    </row>
    <row r="4471" spans="1:10">
      <c r="A4471" s="2" t="s">
        <v>141</v>
      </c>
      <c r="B4471" s="2">
        <v>11.1</v>
      </c>
      <c r="C4471" s="2">
        <v>12.7</v>
      </c>
      <c r="D4471" s="60" t="s">
        <v>145</v>
      </c>
    </row>
    <row r="4472" spans="1:10">
      <c r="A4472" s="2" t="s">
        <v>141</v>
      </c>
      <c r="B4472" s="2">
        <v>11.5</v>
      </c>
      <c r="C4472" s="2">
        <v>19.8</v>
      </c>
      <c r="D4472" s="60" t="s">
        <v>146</v>
      </c>
    </row>
    <row r="4473" spans="1:10">
      <c r="A4473" s="2" t="s">
        <v>141</v>
      </c>
      <c r="B4473" s="2">
        <v>12.7</v>
      </c>
      <c r="C4473" s="2">
        <v>19.8</v>
      </c>
      <c r="D4473" s="60" t="s">
        <v>144</v>
      </c>
    </row>
    <row r="4474" spans="1:10">
      <c r="A4474" s="2" t="s">
        <v>148</v>
      </c>
      <c r="B4474" s="2" t="s">
        <v>99</v>
      </c>
      <c r="C4474" s="2">
        <v>7.1368299999999996E-2</v>
      </c>
      <c r="D4474" s="60">
        <v>0</v>
      </c>
      <c r="E4474" s="2">
        <v>0</v>
      </c>
      <c r="F4474" s="2">
        <v>0.3</v>
      </c>
      <c r="G4474" s="2">
        <v>53.704500000000003</v>
      </c>
      <c r="H4474" s="2">
        <v>56.475099999999998</v>
      </c>
      <c r="I4474" s="2">
        <v>0</v>
      </c>
      <c r="J4474" s="2">
        <v>0</v>
      </c>
    </row>
    <row r="4475" spans="1:10">
      <c r="A4475" s="2" t="s">
        <v>148</v>
      </c>
      <c r="B4475" s="2" t="s">
        <v>100</v>
      </c>
      <c r="C4475" s="2">
        <v>1.2153199999999999E-2</v>
      </c>
      <c r="D4475" s="60">
        <v>0</v>
      </c>
      <c r="E4475" s="2">
        <v>22.275200000000002</v>
      </c>
      <c r="F4475" s="2">
        <v>3.5126599999999999</v>
      </c>
      <c r="G4475" s="2">
        <v>0</v>
      </c>
      <c r="H4475" s="2">
        <v>10</v>
      </c>
      <c r="I4475" s="2">
        <v>0</v>
      </c>
      <c r="J4475" s="2">
        <v>0</v>
      </c>
    </row>
    <row r="4476" spans="1:10">
      <c r="A4476" s="2" t="s">
        <v>148</v>
      </c>
      <c r="B4476" s="2" t="s">
        <v>98</v>
      </c>
      <c r="C4476" s="2">
        <v>0.121723</v>
      </c>
      <c r="D4476" s="60">
        <v>0</v>
      </c>
      <c r="E4476" s="2">
        <v>16.577000000000002</v>
      </c>
      <c r="F4476" s="2">
        <v>5.6982499999999998</v>
      </c>
      <c r="G4476" s="2">
        <v>10</v>
      </c>
      <c r="H4476" s="2">
        <v>22.3203</v>
      </c>
      <c r="I4476" s="2">
        <v>0</v>
      </c>
      <c r="J4476" s="2">
        <v>0</v>
      </c>
    </row>
    <row r="4477" spans="1:10">
      <c r="A4477" s="2" t="s">
        <v>148</v>
      </c>
      <c r="B4477" s="2" t="s">
        <v>101</v>
      </c>
      <c r="C4477" s="2">
        <v>4.6663299999999998E-2</v>
      </c>
      <c r="D4477" s="60">
        <v>0</v>
      </c>
      <c r="E4477" s="2">
        <v>15.5</v>
      </c>
      <c r="F4477" s="2">
        <v>1.07697</v>
      </c>
      <c r="G4477" s="2">
        <v>22.3203</v>
      </c>
      <c r="H4477" s="2">
        <v>24.6265</v>
      </c>
      <c r="I4477" s="2">
        <v>0</v>
      </c>
      <c r="J4477" s="2">
        <v>0</v>
      </c>
    </row>
    <row r="4478" spans="1:10">
      <c r="A4478" s="2" t="s">
        <v>148</v>
      </c>
      <c r="B4478" s="2" t="s">
        <v>60</v>
      </c>
      <c r="C4478" s="2">
        <v>0.25954899999999997</v>
      </c>
      <c r="D4478" s="60">
        <v>23.359400000000001</v>
      </c>
      <c r="E4478" s="2">
        <v>11.5</v>
      </c>
      <c r="F4478" s="2">
        <v>4</v>
      </c>
      <c r="G4478" s="2">
        <v>24.6265</v>
      </c>
      <c r="H4478" s="2">
        <v>32.451799999999999</v>
      </c>
      <c r="I4478" s="2">
        <v>0</v>
      </c>
      <c r="J4478" s="2">
        <v>0</v>
      </c>
    </row>
    <row r="4479" spans="1:10">
      <c r="A4479" s="2" t="s">
        <v>148</v>
      </c>
      <c r="B4479" s="2" t="s">
        <v>101</v>
      </c>
      <c r="C4479" s="2">
        <v>0.19348299999999999</v>
      </c>
      <c r="D4479" s="60">
        <v>0</v>
      </c>
      <c r="E4479" s="2">
        <v>9.4</v>
      </c>
      <c r="F4479" s="2">
        <v>2.1</v>
      </c>
      <c r="G4479" s="2">
        <v>32.451799999999999</v>
      </c>
      <c r="H4479" s="2">
        <v>35.942799999999998</v>
      </c>
      <c r="I4479" s="2">
        <v>0</v>
      </c>
      <c r="J4479" s="2">
        <v>0</v>
      </c>
    </row>
    <row r="4480" spans="1:10">
      <c r="A4480" s="2" t="s">
        <v>148</v>
      </c>
      <c r="B4480" s="2" t="s">
        <v>59</v>
      </c>
      <c r="C4480" s="2">
        <v>0.47365200000000002</v>
      </c>
      <c r="D4480" s="60">
        <v>47.365200000000002</v>
      </c>
      <c r="E4480" s="2">
        <v>5.4</v>
      </c>
      <c r="F4480" s="2">
        <v>4</v>
      </c>
      <c r="G4480" s="2">
        <v>35.942799999999998</v>
      </c>
      <c r="H4480" s="2">
        <v>41.432499999999997</v>
      </c>
      <c r="I4480" s="2">
        <v>0</v>
      </c>
      <c r="J4480" s="2">
        <v>0</v>
      </c>
    </row>
    <row r="4481" spans="1:10">
      <c r="A4481" s="2" t="s">
        <v>148</v>
      </c>
      <c r="B4481" s="2" t="s">
        <v>55</v>
      </c>
      <c r="C4481" s="2">
        <v>0.613178</v>
      </c>
      <c r="D4481" s="60">
        <v>88.910799999999995</v>
      </c>
      <c r="E4481" s="2">
        <v>1.4</v>
      </c>
      <c r="F4481" s="2">
        <v>4</v>
      </c>
      <c r="G4481" s="2">
        <v>41.432499999999997</v>
      </c>
      <c r="H4481" s="2">
        <v>47.9011</v>
      </c>
      <c r="I4481" s="2">
        <v>0</v>
      </c>
      <c r="J4481" s="2">
        <v>0</v>
      </c>
    </row>
    <row r="4482" spans="1:10">
      <c r="A4482" s="2" t="s">
        <v>148</v>
      </c>
      <c r="B4482" s="2" t="s">
        <v>101</v>
      </c>
      <c r="C4482" s="2">
        <v>0.21942</v>
      </c>
      <c r="D4482" s="60">
        <v>0</v>
      </c>
      <c r="E4482" s="2">
        <v>0.3</v>
      </c>
      <c r="F4482" s="2">
        <v>1.1000000000000001</v>
      </c>
      <c r="G4482" s="2">
        <v>47.9011</v>
      </c>
      <c r="H4482" s="2">
        <v>53.704500000000003</v>
      </c>
      <c r="I4482" s="2">
        <v>0</v>
      </c>
      <c r="J4482" s="2">
        <v>0</v>
      </c>
    </row>
    <row r="4483" spans="1:10">
      <c r="A4483" s="2" t="s">
        <v>138</v>
      </c>
      <c r="B4483" s="2">
        <v>7</v>
      </c>
      <c r="C4483" s="2">
        <v>19.0412</v>
      </c>
      <c r="D4483" s="60" t="s">
        <v>149</v>
      </c>
    </row>
    <row r="4484" spans="1:10">
      <c r="A4484" s="2" t="s">
        <v>140</v>
      </c>
      <c r="B4484" s="2">
        <v>0</v>
      </c>
      <c r="C4484" s="2">
        <v>40.993600000000001</v>
      </c>
      <c r="D4484" s="60">
        <v>26.145399999999999</v>
      </c>
    </row>
    <row r="4485" spans="1:10">
      <c r="A4485" s="2" t="s">
        <v>141</v>
      </c>
      <c r="B4485" s="2">
        <v>0</v>
      </c>
      <c r="C4485" s="2">
        <v>5.5</v>
      </c>
      <c r="D4485" s="60" t="s">
        <v>146</v>
      </c>
    </row>
    <row r="4486" spans="1:10">
      <c r="A4486" s="2" t="s">
        <v>141</v>
      </c>
      <c r="B4486" s="2">
        <v>0</v>
      </c>
      <c r="C4486" s="2">
        <v>7</v>
      </c>
      <c r="D4486" s="60" t="s">
        <v>142</v>
      </c>
    </row>
    <row r="4487" spans="1:10">
      <c r="A4487" s="2" t="s">
        <v>141</v>
      </c>
      <c r="B4487" s="2">
        <v>5.5</v>
      </c>
      <c r="C4487" s="2">
        <v>11.3</v>
      </c>
      <c r="D4487" s="60" t="s">
        <v>155</v>
      </c>
    </row>
    <row r="4488" spans="1:10">
      <c r="A4488" s="2" t="s">
        <v>141</v>
      </c>
      <c r="B4488" s="2">
        <v>7</v>
      </c>
      <c r="C4488" s="2">
        <v>11.3</v>
      </c>
      <c r="D4488" s="60" t="s">
        <v>144</v>
      </c>
    </row>
    <row r="4489" spans="1:10">
      <c r="A4489" s="2" t="s">
        <v>141</v>
      </c>
      <c r="B4489" s="2">
        <v>11.3</v>
      </c>
      <c r="C4489" s="2">
        <v>12</v>
      </c>
      <c r="D4489" s="60" t="s">
        <v>145</v>
      </c>
    </row>
    <row r="4490" spans="1:10">
      <c r="A4490" s="2" t="s">
        <v>141</v>
      </c>
      <c r="B4490" s="2">
        <v>11.3</v>
      </c>
      <c r="C4490" s="2">
        <v>20.0611</v>
      </c>
      <c r="D4490" s="60" t="s">
        <v>152</v>
      </c>
    </row>
    <row r="4491" spans="1:10">
      <c r="A4491" s="2" t="s">
        <v>141</v>
      </c>
      <c r="B4491" s="2">
        <v>12</v>
      </c>
      <c r="C4491" s="2">
        <v>20.0611</v>
      </c>
      <c r="D4491" s="60" t="s">
        <v>144</v>
      </c>
    </row>
    <row r="4492" spans="1:10">
      <c r="A4492" s="2" t="s">
        <v>148</v>
      </c>
      <c r="B4492" s="2" t="s">
        <v>99</v>
      </c>
      <c r="C4492" s="2">
        <v>4.2108899999999998E-2</v>
      </c>
      <c r="D4492" s="60">
        <v>0</v>
      </c>
      <c r="E4492" s="2">
        <v>0</v>
      </c>
      <c r="F4492" s="2">
        <v>0.3</v>
      </c>
      <c r="G4492" s="2">
        <v>41.264000000000003</v>
      </c>
      <c r="H4492" s="2">
        <v>43.366</v>
      </c>
      <c r="I4492" s="2">
        <v>0</v>
      </c>
      <c r="J4492" s="2">
        <v>0</v>
      </c>
    </row>
    <row r="4493" spans="1:10">
      <c r="A4493" s="2" t="s">
        <v>148</v>
      </c>
      <c r="B4493" s="2" t="s">
        <v>100</v>
      </c>
      <c r="C4493" s="2">
        <v>1.6284699999999999E-2</v>
      </c>
      <c r="D4493" s="60">
        <v>0</v>
      </c>
      <c r="E4493" s="2">
        <v>21.120100000000001</v>
      </c>
      <c r="F4493" s="2">
        <v>5.0252699999999999</v>
      </c>
      <c r="G4493" s="2">
        <v>0</v>
      </c>
      <c r="H4493" s="2">
        <v>10</v>
      </c>
      <c r="I4493" s="2">
        <v>0</v>
      </c>
      <c r="J4493" s="2">
        <v>0</v>
      </c>
    </row>
    <row r="4494" spans="1:10">
      <c r="A4494" s="2" t="s">
        <v>148</v>
      </c>
      <c r="B4494" s="2" t="s">
        <v>98</v>
      </c>
      <c r="C4494" s="2">
        <v>1.00093E-2</v>
      </c>
      <c r="D4494" s="60">
        <v>0</v>
      </c>
      <c r="E4494" s="2">
        <v>20.045100000000001</v>
      </c>
      <c r="F4494" s="2">
        <v>1.075</v>
      </c>
      <c r="G4494" s="2">
        <v>10</v>
      </c>
      <c r="H4494" s="2">
        <v>11.758800000000001</v>
      </c>
      <c r="I4494" s="2">
        <v>0</v>
      </c>
      <c r="J4494" s="2">
        <v>0</v>
      </c>
    </row>
    <row r="4495" spans="1:10">
      <c r="A4495" s="2" t="s">
        <v>148</v>
      </c>
      <c r="B4495" s="2" t="s">
        <v>101</v>
      </c>
      <c r="C4495" s="2">
        <v>4.9304999999999998E-4</v>
      </c>
      <c r="D4495" s="60">
        <v>0</v>
      </c>
      <c r="E4495" s="2">
        <v>20</v>
      </c>
      <c r="F4495" s="2">
        <v>4.5115299999999997E-2</v>
      </c>
      <c r="G4495" s="2">
        <v>11.758800000000001</v>
      </c>
      <c r="H4495" s="2">
        <v>11.833399999999999</v>
      </c>
      <c r="I4495" s="2">
        <v>0</v>
      </c>
      <c r="J4495" s="2">
        <v>0</v>
      </c>
    </row>
    <row r="4496" spans="1:10">
      <c r="A4496" s="2" t="s">
        <v>148</v>
      </c>
      <c r="B4496" s="2" t="s">
        <v>64</v>
      </c>
      <c r="C4496" s="2">
        <v>6.5512299999999996E-2</v>
      </c>
      <c r="D4496" s="60">
        <v>1.9653700000000001</v>
      </c>
      <c r="E4496" s="2">
        <v>16.3</v>
      </c>
      <c r="F4496" s="2">
        <v>3.7</v>
      </c>
      <c r="G4496" s="2">
        <v>11.833399999999999</v>
      </c>
      <c r="H4496" s="2">
        <v>17.966699999999999</v>
      </c>
      <c r="I4496" s="2">
        <v>0</v>
      </c>
      <c r="J4496" s="2">
        <v>0</v>
      </c>
    </row>
    <row r="4497" spans="1:10">
      <c r="A4497" s="2" t="s">
        <v>148</v>
      </c>
      <c r="B4497" s="2" t="s">
        <v>64</v>
      </c>
      <c r="C4497" s="2">
        <v>0.241927</v>
      </c>
      <c r="D4497" s="60">
        <v>7.2577999999999996</v>
      </c>
      <c r="E4497" s="2">
        <v>10.3</v>
      </c>
      <c r="F4497" s="2">
        <v>6</v>
      </c>
      <c r="G4497" s="2">
        <v>17.966699999999999</v>
      </c>
      <c r="H4497" s="2">
        <v>26.671399999999998</v>
      </c>
      <c r="I4497" s="2">
        <v>0</v>
      </c>
      <c r="J4497" s="2">
        <v>0</v>
      </c>
    </row>
    <row r="4498" spans="1:10">
      <c r="A4498" s="2" t="s">
        <v>148</v>
      </c>
      <c r="B4498" s="2" t="s">
        <v>62</v>
      </c>
      <c r="C4498" s="2">
        <v>0.42432900000000001</v>
      </c>
      <c r="D4498" s="60">
        <v>33.946300000000001</v>
      </c>
      <c r="E4498" s="2">
        <v>4.3</v>
      </c>
      <c r="F4498" s="2">
        <v>6</v>
      </c>
      <c r="G4498" s="2">
        <v>26.671399999999998</v>
      </c>
      <c r="H4498" s="2">
        <v>32.909300000000002</v>
      </c>
      <c r="I4498" s="2">
        <v>0</v>
      </c>
      <c r="J4498" s="2">
        <v>0</v>
      </c>
    </row>
    <row r="4499" spans="1:10">
      <c r="A4499" s="2" t="s">
        <v>148</v>
      </c>
      <c r="B4499" s="2" t="s">
        <v>59</v>
      </c>
      <c r="C4499" s="2">
        <v>0.40164499999999997</v>
      </c>
      <c r="D4499" s="60">
        <v>40.164499999999997</v>
      </c>
      <c r="E4499" s="2">
        <v>0.3</v>
      </c>
      <c r="F4499" s="2">
        <v>4</v>
      </c>
      <c r="G4499" s="2">
        <v>32.909300000000002</v>
      </c>
      <c r="H4499" s="2">
        <v>41.264000000000003</v>
      </c>
      <c r="I4499" s="2">
        <v>0</v>
      </c>
      <c r="J4499" s="2">
        <v>0</v>
      </c>
    </row>
    <row r="4500" spans="1:10">
      <c r="A4500" s="2" t="s">
        <v>138</v>
      </c>
      <c r="B4500" s="2">
        <v>8</v>
      </c>
      <c r="C4500" s="2">
        <v>19.597000000000001</v>
      </c>
      <c r="D4500" s="60" t="s">
        <v>149</v>
      </c>
    </row>
    <row r="4501" spans="1:10">
      <c r="A4501" s="2" t="s">
        <v>140</v>
      </c>
      <c r="B4501" s="2">
        <v>0</v>
      </c>
      <c r="C4501" s="2">
        <v>53.300800000000002</v>
      </c>
      <c r="D4501" s="60">
        <v>28.000800000000002</v>
      </c>
    </row>
    <row r="4502" spans="1:10">
      <c r="A4502" s="2" t="s">
        <v>141</v>
      </c>
      <c r="B4502" s="2">
        <v>0</v>
      </c>
      <c r="C4502" s="2">
        <v>2.4</v>
      </c>
      <c r="D4502" s="60" t="s">
        <v>155</v>
      </c>
    </row>
    <row r="4503" spans="1:10">
      <c r="A4503" s="2" t="s">
        <v>141</v>
      </c>
      <c r="B4503" s="2">
        <v>0</v>
      </c>
      <c r="C4503" s="2">
        <v>6.7</v>
      </c>
      <c r="D4503" s="60" t="s">
        <v>142</v>
      </c>
    </row>
    <row r="4504" spans="1:10">
      <c r="A4504" s="2" t="s">
        <v>141</v>
      </c>
      <c r="B4504" s="2">
        <v>2.4</v>
      </c>
      <c r="C4504" s="2">
        <v>3</v>
      </c>
      <c r="D4504" s="60" t="s">
        <v>159</v>
      </c>
    </row>
    <row r="4505" spans="1:10">
      <c r="A4505" s="2" t="s">
        <v>141</v>
      </c>
      <c r="B4505" s="2">
        <v>3</v>
      </c>
      <c r="C4505" s="2">
        <v>9.3000000000000007</v>
      </c>
      <c r="D4505" s="60" t="s">
        <v>155</v>
      </c>
    </row>
    <row r="4506" spans="1:10">
      <c r="A4506" s="2" t="s">
        <v>141</v>
      </c>
      <c r="B4506" s="2">
        <v>6.7</v>
      </c>
      <c r="C4506" s="2">
        <v>9.3000000000000007</v>
      </c>
      <c r="D4506" s="60" t="s">
        <v>144</v>
      </c>
    </row>
    <row r="4507" spans="1:10">
      <c r="A4507" s="2" t="s">
        <v>141</v>
      </c>
      <c r="B4507" s="2">
        <v>9.3000000000000007</v>
      </c>
      <c r="C4507" s="2">
        <v>12.8</v>
      </c>
      <c r="D4507" s="60" t="s">
        <v>145</v>
      </c>
    </row>
    <row r="4508" spans="1:10">
      <c r="A4508" s="2" t="s">
        <v>141</v>
      </c>
      <c r="B4508" s="2">
        <v>9.3000000000000007</v>
      </c>
      <c r="C4508" s="2">
        <v>21.4162</v>
      </c>
      <c r="D4508" s="60" t="s">
        <v>290</v>
      </c>
    </row>
    <row r="4509" spans="1:10">
      <c r="A4509" s="2" t="s">
        <v>141</v>
      </c>
      <c r="B4509" s="2">
        <v>12.8</v>
      </c>
      <c r="C4509" s="2">
        <v>21.4162</v>
      </c>
      <c r="D4509" s="60" t="s">
        <v>144</v>
      </c>
    </row>
    <row r="4510" spans="1:10">
      <c r="A4510" s="2" t="s">
        <v>148</v>
      </c>
      <c r="B4510" s="2" t="s">
        <v>99</v>
      </c>
      <c r="C4510" s="2">
        <v>6.7668599999999995E-2</v>
      </c>
      <c r="D4510" s="60">
        <v>0</v>
      </c>
      <c r="E4510" s="2">
        <v>0</v>
      </c>
      <c r="F4510" s="2">
        <v>0.3</v>
      </c>
      <c r="G4510" s="2">
        <v>52.383099999999999</v>
      </c>
      <c r="H4510" s="2">
        <v>54.8874</v>
      </c>
      <c r="I4510" s="2">
        <v>0</v>
      </c>
      <c r="J4510" s="2">
        <v>0</v>
      </c>
    </row>
    <row r="4511" spans="1:10">
      <c r="A4511" s="2" t="s">
        <v>148</v>
      </c>
      <c r="B4511" s="2" t="s">
        <v>100</v>
      </c>
      <c r="C4511" s="2">
        <v>1.3630700000000001E-2</v>
      </c>
      <c r="D4511" s="60">
        <v>0</v>
      </c>
      <c r="E4511" s="2">
        <v>24.033899999999999</v>
      </c>
      <c r="F4511" s="2">
        <v>3.9668299999999999</v>
      </c>
      <c r="G4511" s="2">
        <v>0</v>
      </c>
      <c r="H4511" s="2">
        <v>10</v>
      </c>
      <c r="I4511" s="2">
        <v>0</v>
      </c>
      <c r="J4511" s="2">
        <v>0</v>
      </c>
    </row>
    <row r="4512" spans="1:10">
      <c r="A4512" s="2" t="s">
        <v>148</v>
      </c>
      <c r="B4512" s="2" t="s">
        <v>98</v>
      </c>
      <c r="C4512" s="2">
        <v>7.1144499999999999E-2</v>
      </c>
      <c r="D4512" s="60">
        <v>0</v>
      </c>
      <c r="E4512" s="2">
        <v>19.6555</v>
      </c>
      <c r="F4512" s="2">
        <v>4.3784299999999998</v>
      </c>
      <c r="G4512" s="2">
        <v>10</v>
      </c>
      <c r="H4512" s="2">
        <v>18.447900000000001</v>
      </c>
      <c r="I4512" s="2">
        <v>0</v>
      </c>
      <c r="J4512" s="2">
        <v>0</v>
      </c>
    </row>
    <row r="4513" spans="1:10">
      <c r="A4513" s="2" t="s">
        <v>148</v>
      </c>
      <c r="B4513" s="2" t="s">
        <v>101</v>
      </c>
      <c r="C4513" s="2">
        <v>1.4926500000000001E-3</v>
      </c>
      <c r="D4513" s="60">
        <v>0</v>
      </c>
      <c r="E4513" s="2">
        <v>19.600000000000001</v>
      </c>
      <c r="F4513" s="2">
        <v>5.5513699999999999E-2</v>
      </c>
      <c r="G4513" s="2">
        <v>18.447900000000001</v>
      </c>
      <c r="H4513" s="2">
        <v>18.557300000000001</v>
      </c>
      <c r="I4513" s="2">
        <v>0</v>
      </c>
      <c r="J4513" s="2">
        <v>0</v>
      </c>
    </row>
    <row r="4514" spans="1:10">
      <c r="A4514" s="2" t="s">
        <v>148</v>
      </c>
      <c r="B4514" s="2" t="s">
        <v>64</v>
      </c>
      <c r="C4514" s="2">
        <v>0.19348000000000001</v>
      </c>
      <c r="D4514" s="60">
        <v>5.8043899999999997</v>
      </c>
      <c r="E4514" s="2">
        <v>15</v>
      </c>
      <c r="F4514" s="2">
        <v>4.5999999999999996</v>
      </c>
      <c r="G4514" s="2">
        <v>18.557300000000001</v>
      </c>
      <c r="H4514" s="2">
        <v>27.3002</v>
      </c>
      <c r="I4514" s="2">
        <v>0</v>
      </c>
      <c r="J4514" s="2">
        <v>0</v>
      </c>
    </row>
    <row r="4515" spans="1:10">
      <c r="A4515" s="2" t="s">
        <v>148</v>
      </c>
      <c r="B4515" s="2" t="s">
        <v>64</v>
      </c>
      <c r="C4515" s="2">
        <v>0.49120000000000003</v>
      </c>
      <c r="D4515" s="60">
        <v>14.736000000000001</v>
      </c>
      <c r="E4515" s="2">
        <v>9</v>
      </c>
      <c r="F4515" s="2">
        <v>6</v>
      </c>
      <c r="G4515" s="2">
        <v>27.3002</v>
      </c>
      <c r="H4515" s="2">
        <v>36.549399999999999</v>
      </c>
      <c r="I4515" s="2">
        <v>0</v>
      </c>
      <c r="J4515" s="2">
        <v>0</v>
      </c>
    </row>
    <row r="4516" spans="1:10">
      <c r="A4516" s="2" t="s">
        <v>148</v>
      </c>
      <c r="B4516" s="2" t="s">
        <v>62</v>
      </c>
      <c r="C4516" s="2">
        <v>0.75915600000000005</v>
      </c>
      <c r="D4516" s="60">
        <v>60.732500000000002</v>
      </c>
      <c r="E4516" s="2">
        <v>3</v>
      </c>
      <c r="F4516" s="2">
        <v>6</v>
      </c>
      <c r="G4516" s="2">
        <v>36.549399999999999</v>
      </c>
      <c r="H4516" s="2">
        <v>43.6038</v>
      </c>
      <c r="I4516" s="2">
        <v>0</v>
      </c>
      <c r="J4516" s="2">
        <v>0</v>
      </c>
    </row>
    <row r="4517" spans="1:10">
      <c r="A4517" s="2" t="s">
        <v>148</v>
      </c>
      <c r="B4517" s="2" t="s">
        <v>101</v>
      </c>
      <c r="C4517" s="2">
        <v>0.46494000000000002</v>
      </c>
      <c r="D4517" s="60">
        <v>0</v>
      </c>
      <c r="E4517" s="2">
        <v>0.3</v>
      </c>
      <c r="F4517" s="2">
        <v>2.7</v>
      </c>
      <c r="G4517" s="2">
        <v>43.6038</v>
      </c>
      <c r="H4517" s="2">
        <v>52.383099999999999</v>
      </c>
      <c r="I4517" s="2">
        <v>0</v>
      </c>
      <c r="J4517" s="2">
        <v>0</v>
      </c>
    </row>
    <row r="4518" spans="1:10">
      <c r="A4518" s="2" t="s">
        <v>138</v>
      </c>
      <c r="B4518" s="2">
        <v>9</v>
      </c>
      <c r="C4518" s="2">
        <v>19.352499999999999</v>
      </c>
      <c r="D4518" s="60" t="s">
        <v>149</v>
      </c>
    </row>
    <row r="4519" spans="1:10">
      <c r="A4519" s="2" t="s">
        <v>140</v>
      </c>
      <c r="B4519" s="2">
        <v>0</v>
      </c>
      <c r="C4519" s="2">
        <v>46.259900000000002</v>
      </c>
      <c r="D4519" s="60">
        <v>26.991299999999999</v>
      </c>
    </row>
    <row r="4520" spans="1:10">
      <c r="A4520" s="2" t="s">
        <v>141</v>
      </c>
      <c r="B4520" s="2">
        <v>0</v>
      </c>
      <c r="C4520" s="2">
        <v>6.6</v>
      </c>
      <c r="D4520" s="60" t="s">
        <v>142</v>
      </c>
    </row>
    <row r="4521" spans="1:10">
      <c r="A4521" s="2" t="s">
        <v>141</v>
      </c>
      <c r="B4521" s="2">
        <v>0</v>
      </c>
      <c r="C4521" s="2">
        <v>9.9</v>
      </c>
      <c r="D4521" s="60" t="s">
        <v>146</v>
      </c>
    </row>
    <row r="4522" spans="1:10">
      <c r="A4522" s="2" t="s">
        <v>141</v>
      </c>
      <c r="B4522" s="2">
        <v>6.6</v>
      </c>
      <c r="C4522" s="2">
        <v>20.678899999999999</v>
      </c>
      <c r="D4522" s="60" t="s">
        <v>144</v>
      </c>
    </row>
    <row r="4523" spans="1:10">
      <c r="A4523" s="2" t="s">
        <v>141</v>
      </c>
      <c r="B4523" s="2">
        <v>9.9</v>
      </c>
      <c r="C4523" s="2">
        <v>10.199999999999999</v>
      </c>
      <c r="D4523" s="60" t="s">
        <v>153</v>
      </c>
    </row>
    <row r="4524" spans="1:10">
      <c r="A4524" s="2" t="s">
        <v>141</v>
      </c>
      <c r="B4524" s="2">
        <v>9.9</v>
      </c>
      <c r="C4524" s="2">
        <v>10.199999999999999</v>
      </c>
      <c r="D4524" s="60" t="s">
        <v>154</v>
      </c>
    </row>
    <row r="4525" spans="1:10">
      <c r="A4525" s="2" t="s">
        <v>141</v>
      </c>
      <c r="B4525" s="2">
        <v>9.9</v>
      </c>
      <c r="C4525" s="2">
        <v>20.678899999999999</v>
      </c>
      <c r="D4525" s="60" t="s">
        <v>155</v>
      </c>
    </row>
    <row r="4526" spans="1:10">
      <c r="A4526" s="2" t="s">
        <v>156</v>
      </c>
      <c r="B4526" s="2">
        <v>9.9</v>
      </c>
      <c r="C4526" s="2">
        <v>33.3705</v>
      </c>
    </row>
    <row r="4527" spans="1:10">
      <c r="A4527" s="2" t="s">
        <v>148</v>
      </c>
      <c r="B4527" s="2" t="s">
        <v>99</v>
      </c>
      <c r="C4527" s="2">
        <v>5.2386000000000002E-2</v>
      </c>
      <c r="D4527" s="60">
        <v>0</v>
      </c>
      <c r="E4527" s="2">
        <v>0</v>
      </c>
      <c r="F4527" s="2">
        <v>0.3</v>
      </c>
      <c r="G4527" s="2">
        <v>46.055399999999999</v>
      </c>
      <c r="H4527" s="2">
        <v>48.333399999999997</v>
      </c>
      <c r="I4527" s="2">
        <v>0</v>
      </c>
      <c r="J4527" s="2">
        <v>0</v>
      </c>
    </row>
    <row r="4528" spans="1:10">
      <c r="A4528" s="2" t="s">
        <v>148</v>
      </c>
      <c r="B4528" s="2" t="s">
        <v>100</v>
      </c>
      <c r="C4528" s="2">
        <v>2.0040200000000001E-2</v>
      </c>
      <c r="D4528" s="60">
        <v>0</v>
      </c>
      <c r="E4528" s="2">
        <v>20.5307</v>
      </c>
      <c r="F4528" s="2">
        <v>6.4605399999999999</v>
      </c>
      <c r="G4528" s="2">
        <v>0</v>
      </c>
      <c r="H4528" s="2">
        <v>10</v>
      </c>
      <c r="I4528" s="2">
        <v>0</v>
      </c>
      <c r="J4528" s="2">
        <v>0</v>
      </c>
    </row>
    <row r="4529" spans="1:10">
      <c r="A4529" s="2" t="s">
        <v>148</v>
      </c>
      <c r="B4529" s="2" t="s">
        <v>98</v>
      </c>
      <c r="C4529" s="2">
        <v>8.9705099999999996E-2</v>
      </c>
      <c r="D4529" s="60">
        <v>0</v>
      </c>
      <c r="E4529" s="2">
        <v>14.7318</v>
      </c>
      <c r="F4529" s="2">
        <v>5.7988999999999997</v>
      </c>
      <c r="G4529" s="2">
        <v>10</v>
      </c>
      <c r="H4529" s="2">
        <v>17.611999999999998</v>
      </c>
      <c r="I4529" s="2">
        <v>0</v>
      </c>
      <c r="J4529" s="2">
        <v>0</v>
      </c>
    </row>
    <row r="4530" spans="1:10">
      <c r="A4530" s="2" t="s">
        <v>148</v>
      </c>
      <c r="B4530" s="2" t="s">
        <v>101</v>
      </c>
      <c r="C4530" s="2">
        <v>1.34392E-2</v>
      </c>
      <c r="D4530" s="60">
        <v>0</v>
      </c>
      <c r="E4530" s="2">
        <v>14.2</v>
      </c>
      <c r="F4530" s="2">
        <v>0.53182700000000005</v>
      </c>
      <c r="G4530" s="2">
        <v>17.611999999999998</v>
      </c>
      <c r="H4530" s="2">
        <v>18.258299999999998</v>
      </c>
      <c r="I4530" s="2">
        <v>0</v>
      </c>
      <c r="J4530" s="2">
        <v>0</v>
      </c>
    </row>
    <row r="4531" spans="1:10">
      <c r="A4531" s="2" t="s">
        <v>148</v>
      </c>
      <c r="B4531" s="2" t="s">
        <v>63</v>
      </c>
      <c r="C4531" s="2">
        <v>0.132715</v>
      </c>
      <c r="D4531" s="60">
        <v>9.2900399999999994</v>
      </c>
      <c r="E4531" s="2">
        <v>10.199999999999999</v>
      </c>
      <c r="F4531" s="2">
        <v>4</v>
      </c>
      <c r="G4531" s="2">
        <v>18.258299999999998</v>
      </c>
      <c r="H4531" s="2">
        <v>22.615300000000001</v>
      </c>
      <c r="I4531" s="2">
        <v>0</v>
      </c>
      <c r="J4531" s="2">
        <v>0</v>
      </c>
    </row>
    <row r="4532" spans="1:10">
      <c r="A4532" s="2" t="s">
        <v>148</v>
      </c>
      <c r="B4532" s="2" t="s">
        <v>101</v>
      </c>
      <c r="C4532" s="2">
        <v>4.2272299999999999E-2</v>
      </c>
      <c r="D4532" s="60">
        <v>0</v>
      </c>
      <c r="E4532" s="2">
        <v>9.5</v>
      </c>
      <c r="F4532" s="2">
        <v>0.7</v>
      </c>
      <c r="G4532" s="2">
        <v>22.615300000000001</v>
      </c>
      <c r="H4532" s="2">
        <v>31.186699999999998</v>
      </c>
      <c r="I4532" s="2">
        <v>0</v>
      </c>
      <c r="J4532" s="2">
        <v>0</v>
      </c>
    </row>
    <row r="4533" spans="1:10">
      <c r="A4533" s="2" t="s">
        <v>148</v>
      </c>
      <c r="B4533" s="2" t="s">
        <v>59</v>
      </c>
      <c r="C4533" s="2">
        <v>0.35267399999999999</v>
      </c>
      <c r="D4533" s="60">
        <v>35.267400000000002</v>
      </c>
      <c r="E4533" s="2">
        <v>5.5</v>
      </c>
      <c r="F4533" s="2">
        <v>4</v>
      </c>
      <c r="G4533" s="2">
        <v>31.186699999999998</v>
      </c>
      <c r="H4533" s="2">
        <v>35.6126</v>
      </c>
      <c r="I4533" s="2">
        <v>0</v>
      </c>
      <c r="J4533" s="2">
        <v>0</v>
      </c>
    </row>
    <row r="4534" spans="1:10">
      <c r="A4534" s="2" t="s">
        <v>148</v>
      </c>
      <c r="B4534" s="2" t="s">
        <v>56</v>
      </c>
      <c r="C4534" s="2">
        <v>0.625552</v>
      </c>
      <c r="D4534" s="60">
        <v>87.577299999999994</v>
      </c>
      <c r="E4534" s="2">
        <v>0.3</v>
      </c>
      <c r="F4534" s="2">
        <v>5.2</v>
      </c>
      <c r="G4534" s="2">
        <v>35.6126</v>
      </c>
      <c r="H4534" s="2">
        <v>46.055399999999999</v>
      </c>
      <c r="I4534" s="2">
        <v>0</v>
      </c>
      <c r="J4534" s="2">
        <v>0</v>
      </c>
    </row>
    <row r="4535" spans="1:10">
      <c r="A4535" s="2" t="s">
        <v>140</v>
      </c>
      <c r="B4535" s="2">
        <v>1</v>
      </c>
      <c r="C4535" s="2">
        <v>24.732900000000001</v>
      </c>
      <c r="D4535" s="60">
        <v>26.991299999999999</v>
      </c>
      <c r="E4535" s="2">
        <v>9.9</v>
      </c>
    </row>
    <row r="4536" spans="1:10">
      <c r="A4536" s="2" t="s">
        <v>141</v>
      </c>
      <c r="B4536" s="2">
        <v>9.9</v>
      </c>
      <c r="C4536" s="2">
        <v>10.199999999999999</v>
      </c>
      <c r="D4536" s="60" t="s">
        <v>153</v>
      </c>
    </row>
    <row r="4537" spans="1:10">
      <c r="A4537" s="2" t="s">
        <v>141</v>
      </c>
      <c r="B4537" s="2">
        <v>9.9</v>
      </c>
      <c r="C4537" s="2">
        <v>14</v>
      </c>
      <c r="D4537" s="60" t="s">
        <v>152</v>
      </c>
    </row>
    <row r="4538" spans="1:10">
      <c r="A4538" s="2" t="s">
        <v>141</v>
      </c>
      <c r="B4538" s="2">
        <v>9.9</v>
      </c>
      <c r="C4538" s="2">
        <v>20.678899999999999</v>
      </c>
      <c r="D4538" s="60" t="s">
        <v>144</v>
      </c>
    </row>
    <row r="4539" spans="1:10">
      <c r="A4539" s="2" t="s">
        <v>141</v>
      </c>
      <c r="B4539" s="2">
        <v>14</v>
      </c>
      <c r="C4539" s="2">
        <v>20.678899999999999</v>
      </c>
      <c r="D4539" s="60" t="s">
        <v>155</v>
      </c>
    </row>
    <row r="4540" spans="1:10">
      <c r="A4540" s="2" t="s">
        <v>148</v>
      </c>
      <c r="B4540" s="2" t="s">
        <v>100</v>
      </c>
      <c r="C4540" s="2">
        <v>2.5814500000000001E-2</v>
      </c>
      <c r="D4540" s="60">
        <v>0</v>
      </c>
      <c r="E4540" s="2">
        <v>18.2393</v>
      </c>
      <c r="F4540" s="2">
        <v>8.7519899999999993</v>
      </c>
      <c r="G4540" s="2">
        <v>0</v>
      </c>
      <c r="H4540" s="2">
        <v>10</v>
      </c>
      <c r="I4540" s="2">
        <v>0</v>
      </c>
      <c r="J4540" s="2">
        <v>0</v>
      </c>
    </row>
    <row r="4541" spans="1:10">
      <c r="A4541" s="2" t="s">
        <v>148</v>
      </c>
      <c r="B4541" s="2" t="s">
        <v>98</v>
      </c>
      <c r="C4541" s="2">
        <v>7.4477100000000004E-2</v>
      </c>
      <c r="D4541" s="60">
        <v>0</v>
      </c>
      <c r="E4541" s="2">
        <v>12.5389</v>
      </c>
      <c r="F4541" s="2">
        <v>5.7003300000000001</v>
      </c>
      <c r="G4541" s="2">
        <v>10</v>
      </c>
      <c r="H4541" s="2">
        <v>15.4337</v>
      </c>
      <c r="I4541" s="2">
        <v>0</v>
      </c>
      <c r="J4541" s="2">
        <v>0</v>
      </c>
    </row>
    <row r="4542" spans="1:10">
      <c r="A4542" s="2" t="s">
        <v>148</v>
      </c>
      <c r="B4542" s="2" t="s">
        <v>101</v>
      </c>
      <c r="C4542" s="2">
        <v>5.6513000000000001E-2</v>
      </c>
      <c r="D4542" s="60">
        <v>0</v>
      </c>
      <c r="E4542" s="2">
        <v>9.9</v>
      </c>
      <c r="F4542" s="2">
        <v>2.6389399999999998</v>
      </c>
      <c r="G4542" s="2">
        <v>15.4337</v>
      </c>
      <c r="H4542" s="2">
        <v>17.515799999999999</v>
      </c>
      <c r="I4542" s="2">
        <v>0</v>
      </c>
      <c r="J4542" s="2">
        <v>0</v>
      </c>
    </row>
    <row r="4543" spans="1:10">
      <c r="A4543" s="2" t="s">
        <v>138</v>
      </c>
      <c r="B4543" s="2">
        <v>10</v>
      </c>
      <c r="C4543" s="2">
        <v>19.774699999999999</v>
      </c>
      <c r="D4543" s="60" t="s">
        <v>139</v>
      </c>
    </row>
    <row r="4544" spans="1:10">
      <c r="A4544" s="2" t="s">
        <v>140</v>
      </c>
      <c r="B4544" s="2">
        <v>0</v>
      </c>
      <c r="C4544" s="2">
        <v>63.455100000000002</v>
      </c>
      <c r="D4544" s="60">
        <v>28.937000000000001</v>
      </c>
    </row>
    <row r="4545" spans="1:10">
      <c r="A4545" s="2" t="s">
        <v>141</v>
      </c>
      <c r="B4545" s="2">
        <v>0</v>
      </c>
      <c r="C4545" s="2">
        <v>5.7</v>
      </c>
      <c r="D4545" s="60" t="s">
        <v>142</v>
      </c>
    </row>
    <row r="4546" spans="1:10">
      <c r="A4546" s="2" t="s">
        <v>141</v>
      </c>
      <c r="B4546" s="2">
        <v>0</v>
      </c>
      <c r="C4546" s="2">
        <v>5.7</v>
      </c>
      <c r="D4546" s="60" t="s">
        <v>158</v>
      </c>
    </row>
    <row r="4547" spans="1:10">
      <c r="A4547" s="2" t="s">
        <v>141</v>
      </c>
      <c r="B4547" s="2">
        <v>0</v>
      </c>
      <c r="C4547" s="2">
        <v>16.899999999999999</v>
      </c>
      <c r="D4547" s="60" t="s">
        <v>146</v>
      </c>
    </row>
    <row r="4548" spans="1:10">
      <c r="A4548" s="2" t="s">
        <v>141</v>
      </c>
      <c r="B4548" s="2">
        <v>5.7</v>
      </c>
      <c r="C4548" s="2">
        <v>6.4</v>
      </c>
      <c r="D4548" s="60" t="s">
        <v>178</v>
      </c>
    </row>
    <row r="4549" spans="1:10">
      <c r="A4549" s="2" t="s">
        <v>141</v>
      </c>
      <c r="B4549" s="2">
        <v>5.7</v>
      </c>
      <c r="C4549" s="2">
        <v>22.1</v>
      </c>
      <c r="D4549" s="60" t="s">
        <v>144</v>
      </c>
    </row>
    <row r="4550" spans="1:10">
      <c r="A4550" s="2" t="s">
        <v>141</v>
      </c>
      <c r="B4550" s="2">
        <v>16.899999999999999</v>
      </c>
      <c r="C4550" s="2">
        <v>22.1</v>
      </c>
      <c r="D4550" s="60" t="s">
        <v>161</v>
      </c>
    </row>
    <row r="4551" spans="1:10">
      <c r="A4551" s="2" t="s">
        <v>148</v>
      </c>
      <c r="B4551" s="2" t="s">
        <v>99</v>
      </c>
      <c r="C4551" s="2">
        <v>9.2661900000000005E-2</v>
      </c>
      <c r="D4551" s="60">
        <v>0</v>
      </c>
      <c r="E4551" s="2">
        <v>0</v>
      </c>
      <c r="F4551" s="2">
        <v>0.3</v>
      </c>
      <c r="G4551" s="2">
        <v>61.338200000000001</v>
      </c>
      <c r="H4551" s="2">
        <v>64.182400000000001</v>
      </c>
      <c r="I4551" s="2">
        <v>0</v>
      </c>
      <c r="J4551" s="2">
        <v>0</v>
      </c>
    </row>
    <row r="4552" spans="1:10">
      <c r="A4552" s="2" t="s">
        <v>148</v>
      </c>
      <c r="B4552" s="2" t="s">
        <v>100</v>
      </c>
      <c r="C4552" s="2">
        <v>1.1689700000000001E-2</v>
      </c>
      <c r="D4552" s="60">
        <v>0</v>
      </c>
      <c r="E4552" s="2">
        <v>25.6556</v>
      </c>
      <c r="F4552" s="2">
        <v>3.2814299999999998</v>
      </c>
      <c r="G4552" s="2">
        <v>0</v>
      </c>
      <c r="H4552" s="2">
        <v>10.000400000000001</v>
      </c>
      <c r="I4552" s="2">
        <v>0</v>
      </c>
      <c r="J4552" s="2">
        <v>0</v>
      </c>
    </row>
    <row r="4553" spans="1:10">
      <c r="A4553" s="2" t="s">
        <v>148</v>
      </c>
      <c r="B4553" s="2" t="s">
        <v>98</v>
      </c>
      <c r="C4553" s="2">
        <v>0.165992</v>
      </c>
      <c r="D4553" s="60">
        <v>0</v>
      </c>
      <c r="E4553" s="2">
        <v>18.934200000000001</v>
      </c>
      <c r="F4553" s="2">
        <v>6.7213599999999998</v>
      </c>
      <c r="G4553" s="2">
        <v>10.000400000000001</v>
      </c>
      <c r="H4553" s="2">
        <v>24.633900000000001</v>
      </c>
      <c r="I4553" s="2">
        <v>0</v>
      </c>
      <c r="J4553" s="2">
        <v>0</v>
      </c>
    </row>
    <row r="4554" spans="1:10">
      <c r="A4554" s="2" t="s">
        <v>148</v>
      </c>
      <c r="B4554" s="2" t="s">
        <v>101</v>
      </c>
      <c r="C4554" s="2">
        <v>0.14976100000000001</v>
      </c>
      <c r="D4554" s="60">
        <v>0</v>
      </c>
      <c r="E4554" s="2">
        <v>16.399999999999999</v>
      </c>
      <c r="F4554" s="2">
        <v>2.53423</v>
      </c>
      <c r="G4554" s="2">
        <v>24.633900000000001</v>
      </c>
      <c r="H4554" s="2">
        <v>30.082899999999999</v>
      </c>
      <c r="I4554" s="2">
        <v>0</v>
      </c>
      <c r="J4554" s="2">
        <v>0</v>
      </c>
    </row>
    <row r="4555" spans="1:10">
      <c r="A4555" s="2" t="s">
        <v>148</v>
      </c>
      <c r="B4555" s="2" t="s">
        <v>59</v>
      </c>
      <c r="C4555" s="2">
        <v>0.61028000000000004</v>
      </c>
      <c r="D4555" s="60">
        <v>61.027999999999999</v>
      </c>
      <c r="E4555" s="2">
        <v>10.4</v>
      </c>
      <c r="F4555" s="2">
        <v>6</v>
      </c>
      <c r="G4555" s="2">
        <v>30.082899999999999</v>
      </c>
      <c r="H4555" s="2">
        <v>41.079700000000003</v>
      </c>
      <c r="I4555" s="2">
        <v>0</v>
      </c>
      <c r="J4555" s="2">
        <v>0</v>
      </c>
    </row>
    <row r="4556" spans="1:10">
      <c r="A4556" s="2" t="s">
        <v>148</v>
      </c>
      <c r="B4556" s="2" t="s">
        <v>58</v>
      </c>
      <c r="C4556" s="2">
        <v>0.60819900000000005</v>
      </c>
      <c r="D4556" s="60">
        <v>63.860900000000001</v>
      </c>
      <c r="E4556" s="2">
        <v>6.4</v>
      </c>
      <c r="F4556" s="2">
        <v>4</v>
      </c>
      <c r="G4556" s="2">
        <v>41.079700000000003</v>
      </c>
      <c r="H4556" s="2">
        <v>46.658900000000003</v>
      </c>
      <c r="I4556" s="2">
        <v>0</v>
      </c>
      <c r="J4556" s="2">
        <v>0</v>
      </c>
    </row>
    <row r="4557" spans="1:10">
      <c r="A4557" s="2" t="s">
        <v>148</v>
      </c>
      <c r="B4557" s="2" t="s">
        <v>101</v>
      </c>
      <c r="C4557" s="2">
        <v>0.157636</v>
      </c>
      <c r="D4557" s="60">
        <v>0</v>
      </c>
      <c r="E4557" s="2">
        <v>5.5</v>
      </c>
      <c r="F4557" s="2">
        <v>0.9</v>
      </c>
      <c r="G4557" s="2">
        <v>46.658900000000003</v>
      </c>
      <c r="H4557" s="2">
        <v>47.783299999999997</v>
      </c>
      <c r="I4557" s="2">
        <v>0</v>
      </c>
      <c r="J4557" s="2">
        <v>0</v>
      </c>
    </row>
    <row r="4558" spans="1:10">
      <c r="A4558" s="2" t="s">
        <v>148</v>
      </c>
      <c r="B4558" s="2" t="s">
        <v>55</v>
      </c>
      <c r="C4558" s="2">
        <v>1.1185799999999999</v>
      </c>
      <c r="D4558" s="60">
        <v>162.19399999999999</v>
      </c>
      <c r="E4558" s="2">
        <v>0.3</v>
      </c>
      <c r="F4558" s="2">
        <v>5.2</v>
      </c>
      <c r="G4558" s="2">
        <v>47.783299999999997</v>
      </c>
      <c r="H4558" s="2">
        <v>61.338200000000001</v>
      </c>
      <c r="I4558" s="2">
        <v>0</v>
      </c>
      <c r="J4558" s="2">
        <v>0</v>
      </c>
    </row>
    <row r="4559" spans="1:10">
      <c r="A4559" s="2" t="s">
        <v>138</v>
      </c>
      <c r="B4559" s="2">
        <v>11</v>
      </c>
      <c r="C4559" s="2">
        <v>19.658999999999999</v>
      </c>
      <c r="D4559" s="60" t="s">
        <v>139</v>
      </c>
    </row>
    <row r="4560" spans="1:10">
      <c r="A4560" s="2" t="s">
        <v>140</v>
      </c>
      <c r="B4560" s="2">
        <v>0</v>
      </c>
      <c r="C4560" s="2">
        <v>55.797199999999997</v>
      </c>
      <c r="D4560" s="60">
        <v>28.526299999999999</v>
      </c>
    </row>
    <row r="4561" spans="1:10">
      <c r="A4561" s="2" t="s">
        <v>141</v>
      </c>
      <c r="B4561" s="2">
        <v>0</v>
      </c>
      <c r="C4561" s="2">
        <v>6.8</v>
      </c>
      <c r="D4561" s="60" t="s">
        <v>142</v>
      </c>
    </row>
    <row r="4562" spans="1:10">
      <c r="A4562" s="2" t="s">
        <v>141</v>
      </c>
      <c r="B4562" s="2">
        <v>0</v>
      </c>
      <c r="C4562" s="2">
        <v>8</v>
      </c>
      <c r="D4562" s="60" t="s">
        <v>146</v>
      </c>
    </row>
    <row r="4563" spans="1:10">
      <c r="A4563" s="2" t="s">
        <v>141</v>
      </c>
      <c r="B4563" s="2">
        <v>6.8</v>
      </c>
      <c r="C4563" s="2">
        <v>8.5</v>
      </c>
      <c r="D4563" s="60" t="s">
        <v>145</v>
      </c>
    </row>
    <row r="4564" spans="1:10">
      <c r="A4564" s="2" t="s">
        <v>141</v>
      </c>
      <c r="B4564" s="2">
        <v>8</v>
      </c>
      <c r="C4564" s="2">
        <v>8.5</v>
      </c>
      <c r="D4564" s="60" t="s">
        <v>159</v>
      </c>
    </row>
    <row r="4565" spans="1:10">
      <c r="A4565" s="2" t="s">
        <v>141</v>
      </c>
      <c r="B4565" s="2">
        <v>8.5</v>
      </c>
      <c r="C4565" s="2">
        <v>21.8</v>
      </c>
      <c r="D4565" s="60" t="s">
        <v>144</v>
      </c>
    </row>
    <row r="4566" spans="1:10">
      <c r="A4566" s="2" t="s">
        <v>141</v>
      </c>
      <c r="B4566" s="2">
        <v>8.5</v>
      </c>
      <c r="C4566" s="2">
        <v>21.8</v>
      </c>
      <c r="D4566" s="60" t="s">
        <v>146</v>
      </c>
    </row>
    <row r="4567" spans="1:10">
      <c r="A4567" s="2" t="s">
        <v>148</v>
      </c>
      <c r="B4567" s="2" t="s">
        <v>99</v>
      </c>
      <c r="C4567" s="2">
        <v>7.3534600000000006E-2</v>
      </c>
      <c r="D4567" s="60">
        <v>0</v>
      </c>
      <c r="E4567" s="2">
        <v>0</v>
      </c>
      <c r="F4567" s="2">
        <v>0.3</v>
      </c>
      <c r="G4567" s="2">
        <v>54.626600000000003</v>
      </c>
      <c r="H4567" s="2">
        <v>57.1935</v>
      </c>
      <c r="I4567" s="2">
        <v>0</v>
      </c>
      <c r="J4567" s="2">
        <v>0</v>
      </c>
    </row>
    <row r="4568" spans="1:10">
      <c r="A4568" s="2" t="s">
        <v>148</v>
      </c>
      <c r="B4568" s="2" t="s">
        <v>100</v>
      </c>
      <c r="C4568" s="2">
        <v>1.32491E-2</v>
      </c>
      <c r="D4568" s="60">
        <v>0</v>
      </c>
      <c r="E4568" s="2">
        <v>24.708300000000001</v>
      </c>
      <c r="F4568" s="2">
        <v>3.81793</v>
      </c>
      <c r="G4568" s="2">
        <v>0</v>
      </c>
      <c r="H4568" s="2">
        <v>10</v>
      </c>
      <c r="I4568" s="2">
        <v>0</v>
      </c>
      <c r="J4568" s="2">
        <v>0</v>
      </c>
    </row>
    <row r="4569" spans="1:10">
      <c r="A4569" s="2" t="s">
        <v>148</v>
      </c>
      <c r="B4569" s="2" t="s">
        <v>98</v>
      </c>
      <c r="C4569" s="2">
        <v>0.195718</v>
      </c>
      <c r="D4569" s="60">
        <v>0</v>
      </c>
      <c r="E4569" s="2">
        <v>17.061699999999998</v>
      </c>
      <c r="F4569" s="2">
        <v>7.6466700000000003</v>
      </c>
      <c r="G4569" s="2">
        <v>10</v>
      </c>
      <c r="H4569" s="2">
        <v>25.102599999999999</v>
      </c>
      <c r="I4569" s="2">
        <v>0</v>
      </c>
      <c r="J4569" s="2">
        <v>0</v>
      </c>
    </row>
    <row r="4570" spans="1:10">
      <c r="A4570" s="2" t="s">
        <v>148</v>
      </c>
      <c r="B4570" s="2" t="s">
        <v>101</v>
      </c>
      <c r="C4570" s="2">
        <v>2.9009E-2</v>
      </c>
      <c r="D4570" s="60">
        <v>0</v>
      </c>
      <c r="E4570" s="2">
        <v>16.5</v>
      </c>
      <c r="F4570" s="2">
        <v>0.56167199999999995</v>
      </c>
      <c r="G4570" s="2">
        <v>25.102599999999999</v>
      </c>
      <c r="H4570" s="2">
        <v>26.1782</v>
      </c>
      <c r="I4570" s="2">
        <v>0</v>
      </c>
      <c r="J4570" s="2">
        <v>0</v>
      </c>
    </row>
    <row r="4571" spans="1:10">
      <c r="A4571" s="2" t="s">
        <v>148</v>
      </c>
      <c r="B4571" s="2" t="s">
        <v>60</v>
      </c>
      <c r="C4571" s="2">
        <v>0.280275</v>
      </c>
      <c r="D4571" s="60">
        <v>25.224799999999998</v>
      </c>
      <c r="E4571" s="2">
        <v>12.5</v>
      </c>
      <c r="F4571" s="2">
        <v>4</v>
      </c>
      <c r="G4571" s="2">
        <v>26.1782</v>
      </c>
      <c r="H4571" s="2">
        <v>33.221200000000003</v>
      </c>
      <c r="I4571" s="2">
        <v>0</v>
      </c>
      <c r="J4571" s="2">
        <v>0</v>
      </c>
    </row>
    <row r="4572" spans="1:10">
      <c r="A4572" s="2" t="s">
        <v>148</v>
      </c>
      <c r="B4572" s="2" t="s">
        <v>59</v>
      </c>
      <c r="C4572" s="2">
        <v>0.41250799999999999</v>
      </c>
      <c r="D4572" s="60">
        <v>41.250799999999998</v>
      </c>
      <c r="E4572" s="2">
        <v>8.5</v>
      </c>
      <c r="F4572" s="2">
        <v>4</v>
      </c>
      <c r="G4572" s="2">
        <v>33.221200000000003</v>
      </c>
      <c r="H4572" s="2">
        <v>38.951099999999997</v>
      </c>
      <c r="I4572" s="2">
        <v>0</v>
      </c>
      <c r="J4572" s="2">
        <v>0</v>
      </c>
    </row>
    <row r="4573" spans="1:10">
      <c r="A4573" s="2" t="s">
        <v>148</v>
      </c>
      <c r="B4573" s="2" t="s">
        <v>101</v>
      </c>
      <c r="C4573" s="2">
        <v>0.26708700000000002</v>
      </c>
      <c r="D4573" s="60">
        <v>0</v>
      </c>
      <c r="E4573" s="2">
        <v>6.4</v>
      </c>
      <c r="F4573" s="2">
        <v>2.1</v>
      </c>
      <c r="G4573" s="2">
        <v>38.951099999999997</v>
      </c>
      <c r="H4573" s="2">
        <v>41.474299999999999</v>
      </c>
      <c r="I4573" s="2">
        <v>0</v>
      </c>
      <c r="J4573" s="2">
        <v>0</v>
      </c>
    </row>
    <row r="4574" spans="1:10">
      <c r="A4574" s="2" t="s">
        <v>148</v>
      </c>
      <c r="B4574" s="2" t="s">
        <v>55</v>
      </c>
      <c r="C4574" s="2">
        <v>1.01033</v>
      </c>
      <c r="D4574" s="60">
        <v>146.49799999999999</v>
      </c>
      <c r="E4574" s="2">
        <v>0.3</v>
      </c>
      <c r="F4574" s="2">
        <v>6.1</v>
      </c>
      <c r="G4574" s="2">
        <v>41.474299999999999</v>
      </c>
      <c r="H4574" s="2">
        <v>54.626600000000003</v>
      </c>
      <c r="I4574" s="2">
        <v>0</v>
      </c>
      <c r="J4574" s="2">
        <v>0</v>
      </c>
    </row>
    <row r="4575" spans="1:10">
      <c r="A4575" s="2" t="s">
        <v>138</v>
      </c>
      <c r="B4575" s="2">
        <v>12</v>
      </c>
      <c r="C4575" s="2">
        <v>19.8246</v>
      </c>
      <c r="D4575" s="60" t="s">
        <v>149</v>
      </c>
    </row>
    <row r="4576" spans="1:10">
      <c r="A4576" s="2" t="s">
        <v>140</v>
      </c>
      <c r="B4576" s="2">
        <v>0</v>
      </c>
      <c r="C4576" s="2">
        <v>67.865300000000005</v>
      </c>
      <c r="D4576" s="60">
        <v>29.7057</v>
      </c>
    </row>
    <row r="4577" spans="1:10">
      <c r="A4577" s="2" t="s">
        <v>141</v>
      </c>
      <c r="B4577" s="2">
        <v>0</v>
      </c>
      <c r="C4577" s="2">
        <v>6.7</v>
      </c>
      <c r="D4577" s="60" t="s">
        <v>142</v>
      </c>
    </row>
    <row r="4578" spans="1:10">
      <c r="A4578" s="2" t="s">
        <v>141</v>
      </c>
      <c r="B4578" s="2">
        <v>0</v>
      </c>
      <c r="C4578" s="2">
        <v>9.3000000000000007</v>
      </c>
      <c r="D4578" s="60" t="s">
        <v>143</v>
      </c>
    </row>
    <row r="4579" spans="1:10">
      <c r="A4579" s="2" t="s">
        <v>141</v>
      </c>
      <c r="B4579" s="2">
        <v>6.7</v>
      </c>
      <c r="C4579" s="2">
        <v>12.1</v>
      </c>
      <c r="D4579" s="60" t="s">
        <v>145</v>
      </c>
    </row>
    <row r="4580" spans="1:10">
      <c r="A4580" s="2" t="s">
        <v>141</v>
      </c>
      <c r="B4580" s="2">
        <v>9.3000000000000007</v>
      </c>
      <c r="C4580" s="2">
        <v>22.6614</v>
      </c>
      <c r="D4580" s="60" t="s">
        <v>146</v>
      </c>
    </row>
    <row r="4581" spans="1:10">
      <c r="A4581" s="2" t="s">
        <v>141</v>
      </c>
      <c r="B4581" s="2">
        <v>12.1</v>
      </c>
      <c r="C4581" s="2">
        <v>22.6614</v>
      </c>
      <c r="D4581" s="60" t="s">
        <v>144</v>
      </c>
    </row>
    <row r="4582" spans="1:10">
      <c r="A4582" s="2" t="s">
        <v>148</v>
      </c>
      <c r="B4582" s="2" t="s">
        <v>99</v>
      </c>
      <c r="C4582" s="2">
        <v>0.104684</v>
      </c>
      <c r="D4582" s="60">
        <v>0</v>
      </c>
      <c r="E4582" s="2">
        <v>0</v>
      </c>
      <c r="F4582" s="2">
        <v>0.3</v>
      </c>
      <c r="G4582" s="2">
        <v>65.229100000000003</v>
      </c>
      <c r="H4582" s="2">
        <v>68.180700000000002</v>
      </c>
      <c r="I4582" s="2">
        <v>0</v>
      </c>
      <c r="J4582" s="2">
        <v>0</v>
      </c>
    </row>
    <row r="4583" spans="1:10">
      <c r="A4583" s="2" t="s">
        <v>148</v>
      </c>
      <c r="B4583" s="2" t="s">
        <v>100</v>
      </c>
      <c r="C4583" s="2">
        <v>1.1095000000000001E-2</v>
      </c>
      <c r="D4583" s="60">
        <v>0</v>
      </c>
      <c r="E4583" s="2">
        <v>26.63</v>
      </c>
      <c r="F4583" s="2">
        <v>3.0756899999999998</v>
      </c>
      <c r="G4583" s="2">
        <v>0</v>
      </c>
      <c r="H4583" s="2">
        <v>10.0002</v>
      </c>
      <c r="I4583" s="2">
        <v>0</v>
      </c>
      <c r="J4583" s="2">
        <v>0</v>
      </c>
    </row>
    <row r="4584" spans="1:10">
      <c r="A4584" s="2" t="s">
        <v>148</v>
      </c>
      <c r="B4584" s="2" t="s">
        <v>98</v>
      </c>
      <c r="C4584" s="2">
        <v>0.26242700000000002</v>
      </c>
      <c r="D4584" s="60">
        <v>0</v>
      </c>
      <c r="E4584" s="2">
        <v>18.295400000000001</v>
      </c>
      <c r="F4584" s="2">
        <v>8.3345699999999994</v>
      </c>
      <c r="G4584" s="2">
        <v>10.0002</v>
      </c>
      <c r="H4584" s="2">
        <v>28.750299999999999</v>
      </c>
      <c r="I4584" s="2">
        <v>0</v>
      </c>
      <c r="J4584" s="2">
        <v>0</v>
      </c>
    </row>
    <row r="4585" spans="1:10">
      <c r="A4585" s="2" t="s">
        <v>148</v>
      </c>
      <c r="B4585" s="2" t="s">
        <v>101</v>
      </c>
      <c r="C4585" s="2">
        <v>6.2412800000000001E-3</v>
      </c>
      <c r="D4585" s="60">
        <v>0</v>
      </c>
      <c r="E4585" s="2">
        <v>18.2</v>
      </c>
      <c r="F4585" s="2">
        <v>9.5429399999999998E-2</v>
      </c>
      <c r="G4585" s="2">
        <v>28.750299999999999</v>
      </c>
      <c r="H4585" s="2">
        <v>28.9635</v>
      </c>
      <c r="I4585" s="2">
        <v>0</v>
      </c>
      <c r="J4585" s="2">
        <v>0</v>
      </c>
    </row>
    <row r="4586" spans="1:10">
      <c r="A4586" s="2" t="s">
        <v>148</v>
      </c>
      <c r="B4586" s="2" t="s">
        <v>60</v>
      </c>
      <c r="C4586" s="2">
        <v>0.34943299999999999</v>
      </c>
      <c r="D4586" s="60">
        <v>31.449000000000002</v>
      </c>
      <c r="E4586" s="2">
        <v>14.2</v>
      </c>
      <c r="F4586" s="2">
        <v>4</v>
      </c>
      <c r="G4586" s="2">
        <v>28.9635</v>
      </c>
      <c r="H4586" s="2">
        <v>37.367199999999997</v>
      </c>
      <c r="I4586" s="2">
        <v>0</v>
      </c>
      <c r="J4586" s="2">
        <v>0</v>
      </c>
    </row>
    <row r="4587" spans="1:10">
      <c r="A4587" s="2" t="s">
        <v>148</v>
      </c>
      <c r="B4587" s="2" t="s">
        <v>59</v>
      </c>
      <c r="C4587" s="2">
        <v>0.52959100000000003</v>
      </c>
      <c r="D4587" s="60">
        <v>52.959099999999999</v>
      </c>
      <c r="E4587" s="2">
        <v>10.199999999999999</v>
      </c>
      <c r="F4587" s="2">
        <v>4</v>
      </c>
      <c r="G4587" s="2">
        <v>37.367199999999997</v>
      </c>
      <c r="H4587" s="2">
        <v>44.396900000000002</v>
      </c>
      <c r="I4587" s="2">
        <v>0</v>
      </c>
      <c r="J4587" s="2">
        <v>0</v>
      </c>
    </row>
    <row r="4588" spans="1:10">
      <c r="A4588" s="2" t="s">
        <v>148</v>
      </c>
      <c r="B4588" s="2" t="s">
        <v>58</v>
      </c>
      <c r="C4588" s="2">
        <v>0.704175</v>
      </c>
      <c r="D4588" s="60">
        <v>73.938400000000001</v>
      </c>
      <c r="E4588" s="2">
        <v>6.2</v>
      </c>
      <c r="F4588" s="2">
        <v>4</v>
      </c>
      <c r="G4588" s="2">
        <v>44.396900000000002</v>
      </c>
      <c r="H4588" s="2">
        <v>50.046599999999998</v>
      </c>
      <c r="I4588" s="2">
        <v>0</v>
      </c>
      <c r="J4588" s="2">
        <v>0</v>
      </c>
    </row>
    <row r="4589" spans="1:10">
      <c r="A4589" s="2" t="s">
        <v>148</v>
      </c>
      <c r="B4589" s="2" t="s">
        <v>55</v>
      </c>
      <c r="C4589" s="2">
        <v>1.4090100000000001</v>
      </c>
      <c r="D4589" s="60">
        <v>204.30600000000001</v>
      </c>
      <c r="E4589" s="2">
        <v>0.3</v>
      </c>
      <c r="F4589" s="2">
        <v>5.9</v>
      </c>
      <c r="G4589" s="2">
        <v>50.046599999999998</v>
      </c>
      <c r="H4589" s="2">
        <v>65.229100000000003</v>
      </c>
      <c r="I4589" s="2">
        <v>0</v>
      </c>
      <c r="J4589" s="2">
        <v>0</v>
      </c>
    </row>
    <row r="4590" spans="1:10">
      <c r="A4590" s="2" t="s">
        <v>138</v>
      </c>
      <c r="B4590" s="2">
        <v>13</v>
      </c>
      <c r="C4590" s="2">
        <v>19.4802</v>
      </c>
      <c r="D4590" s="60" t="s">
        <v>139</v>
      </c>
    </row>
    <row r="4591" spans="1:10">
      <c r="A4591" s="2" t="s">
        <v>140</v>
      </c>
      <c r="B4591" s="2">
        <v>0</v>
      </c>
      <c r="C4591" s="2">
        <v>47.6267</v>
      </c>
      <c r="D4591" s="60">
        <v>29.347799999999999</v>
      </c>
    </row>
    <row r="4592" spans="1:10">
      <c r="A4592" s="2" t="s">
        <v>141</v>
      </c>
      <c r="B4592" s="2">
        <v>0</v>
      </c>
      <c r="C4592" s="2">
        <v>22.4</v>
      </c>
      <c r="D4592" s="60" t="s">
        <v>144</v>
      </c>
    </row>
    <row r="4593" spans="1:10">
      <c r="A4593" s="2" t="s">
        <v>141</v>
      </c>
      <c r="B4593" s="2">
        <v>0</v>
      </c>
      <c r="C4593" s="2">
        <v>22.4</v>
      </c>
      <c r="D4593" s="60" t="s">
        <v>146</v>
      </c>
    </row>
    <row r="4594" spans="1:10">
      <c r="A4594" s="2" t="s">
        <v>148</v>
      </c>
      <c r="B4594" s="2" t="s">
        <v>99</v>
      </c>
      <c r="C4594" s="2">
        <v>5.5480799999999997E-2</v>
      </c>
      <c r="D4594" s="60">
        <v>0</v>
      </c>
      <c r="E4594" s="2">
        <v>0</v>
      </c>
      <c r="F4594" s="2">
        <v>0.3</v>
      </c>
      <c r="G4594" s="2">
        <v>47.475700000000003</v>
      </c>
      <c r="H4594" s="2">
        <v>49.648400000000002</v>
      </c>
      <c r="I4594" s="2">
        <v>0</v>
      </c>
      <c r="J4594" s="2">
        <v>0</v>
      </c>
    </row>
    <row r="4595" spans="1:10">
      <c r="A4595" s="2" t="s">
        <v>148</v>
      </c>
      <c r="B4595" s="2" t="s">
        <v>100</v>
      </c>
      <c r="C4595" s="2">
        <v>1.59335E-2</v>
      </c>
      <c r="D4595" s="60">
        <v>0</v>
      </c>
      <c r="E4595" s="2">
        <v>24.5946</v>
      </c>
      <c r="F4595" s="2">
        <v>4.7532199999999998</v>
      </c>
      <c r="G4595" s="2">
        <v>0</v>
      </c>
      <c r="H4595" s="2">
        <v>10</v>
      </c>
      <c r="I4595" s="2">
        <v>0</v>
      </c>
      <c r="J4595" s="2">
        <v>0</v>
      </c>
    </row>
    <row r="4596" spans="1:10">
      <c r="A4596" s="2" t="s">
        <v>148</v>
      </c>
      <c r="B4596" s="2" t="s">
        <v>98</v>
      </c>
      <c r="C4596" s="2">
        <v>1.37065E-2</v>
      </c>
      <c r="D4596" s="60">
        <v>0</v>
      </c>
      <c r="E4596" s="2">
        <v>23.194099999999999</v>
      </c>
      <c r="F4596" s="2">
        <v>1.40042</v>
      </c>
      <c r="G4596" s="2">
        <v>10</v>
      </c>
      <c r="H4596" s="2">
        <v>12.299099999999999</v>
      </c>
      <c r="I4596" s="2">
        <v>0</v>
      </c>
      <c r="J4596" s="2">
        <v>0</v>
      </c>
    </row>
    <row r="4597" spans="1:10">
      <c r="A4597" s="2" t="s">
        <v>148</v>
      </c>
      <c r="B4597" s="2" t="s">
        <v>101</v>
      </c>
      <c r="C4597" s="2">
        <v>4.9849200000000003E-2</v>
      </c>
      <c r="D4597" s="60">
        <v>0</v>
      </c>
      <c r="E4597" s="2">
        <v>20.3</v>
      </c>
      <c r="F4597" s="2">
        <v>2.8941400000000002</v>
      </c>
      <c r="G4597" s="2">
        <v>12.299099999999999</v>
      </c>
      <c r="H4597" s="2">
        <v>17.199100000000001</v>
      </c>
      <c r="I4597" s="2">
        <v>0</v>
      </c>
      <c r="J4597" s="2">
        <v>0</v>
      </c>
    </row>
    <row r="4598" spans="1:10">
      <c r="A4598" s="2" t="s">
        <v>148</v>
      </c>
      <c r="B4598" s="2" t="s">
        <v>61</v>
      </c>
      <c r="C4598" s="2">
        <v>0.13370399999999999</v>
      </c>
      <c r="D4598" s="60">
        <v>11.364800000000001</v>
      </c>
      <c r="E4598" s="2">
        <v>16.3</v>
      </c>
      <c r="F4598" s="2">
        <v>4</v>
      </c>
      <c r="G4598" s="2">
        <v>17.199100000000001</v>
      </c>
      <c r="H4598" s="2">
        <v>23.7958</v>
      </c>
      <c r="I4598" s="2">
        <v>0</v>
      </c>
      <c r="J4598" s="2">
        <v>0</v>
      </c>
    </row>
    <row r="4599" spans="1:10">
      <c r="A4599" s="2" t="s">
        <v>148</v>
      </c>
      <c r="B4599" s="2" t="s">
        <v>60</v>
      </c>
      <c r="C4599" s="2">
        <v>0.37570799999999999</v>
      </c>
      <c r="D4599" s="60">
        <v>33.813699999999997</v>
      </c>
      <c r="E4599" s="2">
        <v>10.3</v>
      </c>
      <c r="F4599" s="2">
        <v>6</v>
      </c>
      <c r="G4599" s="2">
        <v>23.7958</v>
      </c>
      <c r="H4599" s="2">
        <v>32.069699999999997</v>
      </c>
      <c r="I4599" s="2">
        <v>0</v>
      </c>
      <c r="J4599" s="2">
        <v>0</v>
      </c>
    </row>
    <row r="4600" spans="1:10">
      <c r="A4600" s="2" t="s">
        <v>148</v>
      </c>
      <c r="B4600" s="2" t="s">
        <v>59</v>
      </c>
      <c r="C4600" s="2">
        <v>0.36890600000000001</v>
      </c>
      <c r="D4600" s="60">
        <v>36.890599999999999</v>
      </c>
      <c r="E4600" s="2">
        <v>6.3</v>
      </c>
      <c r="F4600" s="2">
        <v>4</v>
      </c>
      <c r="G4600" s="2">
        <v>32.069699999999997</v>
      </c>
      <c r="H4600" s="2">
        <v>36.276400000000002</v>
      </c>
      <c r="I4600" s="2">
        <v>0</v>
      </c>
      <c r="J4600" s="2">
        <v>0</v>
      </c>
    </row>
    <row r="4601" spans="1:10">
      <c r="A4601" s="2" t="s">
        <v>148</v>
      </c>
      <c r="B4601" s="2" t="s">
        <v>59</v>
      </c>
      <c r="C4601" s="2">
        <v>0.75563400000000003</v>
      </c>
      <c r="D4601" s="60">
        <v>75.563400000000001</v>
      </c>
      <c r="E4601" s="2">
        <v>0.3</v>
      </c>
      <c r="F4601" s="2">
        <v>6</v>
      </c>
      <c r="G4601" s="2">
        <v>36.276400000000002</v>
      </c>
      <c r="H4601" s="2">
        <v>47.475700000000003</v>
      </c>
      <c r="I4601" s="2">
        <v>0</v>
      </c>
      <c r="J4601" s="2">
        <v>0</v>
      </c>
    </row>
    <row r="4602" spans="1:10">
      <c r="A4602" s="2" t="s">
        <v>138</v>
      </c>
      <c r="B4602" s="2">
        <v>14</v>
      </c>
      <c r="C4602" s="2">
        <v>19.717500000000001</v>
      </c>
      <c r="D4602" s="60" t="s">
        <v>149</v>
      </c>
    </row>
    <row r="4603" spans="1:10">
      <c r="A4603" s="2" t="s">
        <v>140</v>
      </c>
      <c r="B4603" s="2">
        <v>0</v>
      </c>
      <c r="C4603" s="2">
        <v>59.141399999999997</v>
      </c>
      <c r="D4603" s="60">
        <v>28.741499999999998</v>
      </c>
    </row>
    <row r="4604" spans="1:10">
      <c r="A4604" s="2" t="s">
        <v>141</v>
      </c>
      <c r="B4604" s="2">
        <v>0</v>
      </c>
      <c r="C4604" s="2">
        <v>6.9</v>
      </c>
      <c r="D4604" s="60" t="s">
        <v>142</v>
      </c>
    </row>
    <row r="4605" spans="1:10">
      <c r="A4605" s="2" t="s">
        <v>141</v>
      </c>
      <c r="B4605" s="2">
        <v>0</v>
      </c>
      <c r="C4605" s="2">
        <v>13.4</v>
      </c>
      <c r="D4605" s="60" t="s">
        <v>146</v>
      </c>
    </row>
    <row r="4606" spans="1:10">
      <c r="A4606" s="2" t="s">
        <v>141</v>
      </c>
      <c r="B4606" s="2">
        <v>6.9</v>
      </c>
      <c r="C4606" s="2">
        <v>8.3000000000000007</v>
      </c>
      <c r="D4606" s="60" t="s">
        <v>144</v>
      </c>
    </row>
    <row r="4607" spans="1:10">
      <c r="A4607" s="2" t="s">
        <v>141</v>
      </c>
      <c r="B4607" s="2">
        <v>8.3000000000000007</v>
      </c>
      <c r="C4607" s="2">
        <v>14.3</v>
      </c>
      <c r="D4607" s="60" t="s">
        <v>145</v>
      </c>
    </row>
    <row r="4608" spans="1:10">
      <c r="A4608" s="2" t="s">
        <v>141</v>
      </c>
      <c r="B4608" s="2">
        <v>13.4</v>
      </c>
      <c r="C4608" s="2">
        <v>14.3</v>
      </c>
      <c r="D4608" s="60" t="s">
        <v>161</v>
      </c>
    </row>
    <row r="4609" spans="1:10">
      <c r="A4609" s="2" t="s">
        <v>141</v>
      </c>
      <c r="B4609" s="2">
        <v>14.3</v>
      </c>
      <c r="C4609" s="2">
        <v>21.9572</v>
      </c>
      <c r="D4609" s="60" t="s">
        <v>144</v>
      </c>
    </row>
    <row r="4610" spans="1:10">
      <c r="A4610" s="2" t="s">
        <v>141</v>
      </c>
      <c r="B4610" s="2">
        <v>14.3</v>
      </c>
      <c r="C4610" s="2">
        <v>21.9572</v>
      </c>
      <c r="D4610" s="60" t="s">
        <v>155</v>
      </c>
    </row>
    <row r="4611" spans="1:10">
      <c r="A4611" s="2" t="s">
        <v>148</v>
      </c>
      <c r="B4611" s="2" t="s">
        <v>99</v>
      </c>
      <c r="C4611" s="2">
        <v>8.1651699999999994E-2</v>
      </c>
      <c r="D4611" s="60">
        <v>0</v>
      </c>
      <c r="E4611" s="2">
        <v>0</v>
      </c>
      <c r="F4611" s="2">
        <v>0.3</v>
      </c>
      <c r="G4611" s="2">
        <v>57.571199999999997</v>
      </c>
      <c r="H4611" s="2">
        <v>60.257599999999996</v>
      </c>
      <c r="I4611" s="2">
        <v>0</v>
      </c>
      <c r="J4611" s="2">
        <v>0</v>
      </c>
    </row>
    <row r="4612" spans="1:10">
      <c r="A4612" s="2" t="s">
        <v>148</v>
      </c>
      <c r="B4612" s="2" t="s">
        <v>100</v>
      </c>
      <c r="C4612" s="2">
        <v>1.25504E-2</v>
      </c>
      <c r="D4612" s="60">
        <v>0</v>
      </c>
      <c r="E4612" s="2">
        <v>25.168500000000002</v>
      </c>
      <c r="F4612" s="2">
        <v>3.5729799999999998</v>
      </c>
      <c r="G4612" s="2">
        <v>0</v>
      </c>
      <c r="H4612" s="2">
        <v>10</v>
      </c>
      <c r="I4612" s="2">
        <v>0</v>
      </c>
      <c r="J4612" s="2">
        <v>0</v>
      </c>
    </row>
    <row r="4613" spans="1:10">
      <c r="A4613" s="2" t="s">
        <v>148</v>
      </c>
      <c r="B4613" s="2" t="s">
        <v>98</v>
      </c>
      <c r="C4613" s="2">
        <v>0.183642</v>
      </c>
      <c r="D4613" s="60">
        <v>0</v>
      </c>
      <c r="E4613" s="2">
        <v>17.912600000000001</v>
      </c>
      <c r="F4613" s="2">
        <v>7.2559399999999998</v>
      </c>
      <c r="G4613" s="2">
        <v>10</v>
      </c>
      <c r="H4613" s="2">
        <v>24.9772</v>
      </c>
      <c r="I4613" s="2">
        <v>0</v>
      </c>
      <c r="J4613" s="2">
        <v>0</v>
      </c>
    </row>
    <row r="4614" spans="1:10">
      <c r="A4614" s="2" t="s">
        <v>148</v>
      </c>
      <c r="B4614" s="2" t="s">
        <v>101</v>
      </c>
      <c r="C4614" s="2">
        <v>6.1732900000000001E-4</v>
      </c>
      <c r="D4614" s="60">
        <v>0</v>
      </c>
      <c r="E4614" s="2">
        <v>17.899999999999999</v>
      </c>
      <c r="F4614" s="2">
        <v>1.2586099999999999E-2</v>
      </c>
      <c r="G4614" s="2">
        <v>24.9772</v>
      </c>
      <c r="H4614" s="2">
        <v>25.003</v>
      </c>
      <c r="I4614" s="2">
        <v>0</v>
      </c>
      <c r="J4614" s="2">
        <v>0</v>
      </c>
    </row>
    <row r="4615" spans="1:10">
      <c r="A4615" s="2" t="s">
        <v>148</v>
      </c>
      <c r="B4615" s="2" t="s">
        <v>64</v>
      </c>
      <c r="C4615" s="2">
        <v>0.232097</v>
      </c>
      <c r="D4615" s="60">
        <v>6.9629099999999999</v>
      </c>
      <c r="E4615" s="2">
        <v>14.3</v>
      </c>
      <c r="F4615" s="2">
        <v>3.6</v>
      </c>
      <c r="G4615" s="2">
        <v>25.003</v>
      </c>
      <c r="H4615" s="2">
        <v>32.015999999999998</v>
      </c>
      <c r="I4615" s="2">
        <v>0</v>
      </c>
      <c r="J4615" s="2">
        <v>0</v>
      </c>
    </row>
    <row r="4616" spans="1:10">
      <c r="A4616" s="2" t="s">
        <v>148</v>
      </c>
      <c r="B4616" s="2" t="s">
        <v>101</v>
      </c>
      <c r="C4616" s="2">
        <v>0.169573</v>
      </c>
      <c r="D4616" s="60">
        <v>0</v>
      </c>
      <c r="E4616" s="2">
        <v>12.4</v>
      </c>
      <c r="F4616" s="2">
        <v>1.9</v>
      </c>
      <c r="G4616" s="2">
        <v>32.015999999999998</v>
      </c>
      <c r="H4616" s="2">
        <v>35.325000000000003</v>
      </c>
      <c r="I4616" s="2">
        <v>0</v>
      </c>
      <c r="J4616" s="2">
        <v>0</v>
      </c>
    </row>
    <row r="4617" spans="1:10">
      <c r="A4617" s="2" t="s">
        <v>148</v>
      </c>
      <c r="B4617" s="2" t="s">
        <v>59</v>
      </c>
      <c r="C4617" s="2">
        <v>0.74843700000000002</v>
      </c>
      <c r="D4617" s="60">
        <v>74.843699999999998</v>
      </c>
      <c r="E4617" s="2">
        <v>6.4</v>
      </c>
      <c r="F4617" s="2">
        <v>6</v>
      </c>
      <c r="G4617" s="2">
        <v>35.325000000000003</v>
      </c>
      <c r="H4617" s="2">
        <v>43.754100000000001</v>
      </c>
      <c r="I4617" s="2">
        <v>0</v>
      </c>
      <c r="J4617" s="2">
        <v>0</v>
      </c>
    </row>
    <row r="4618" spans="1:10">
      <c r="A4618" s="2" t="s">
        <v>148</v>
      </c>
      <c r="B4618" s="2" t="s">
        <v>55</v>
      </c>
      <c r="C4618" s="2">
        <v>1.1232899999999999</v>
      </c>
      <c r="D4618" s="60">
        <v>162.87700000000001</v>
      </c>
      <c r="E4618" s="2">
        <v>0.3</v>
      </c>
      <c r="F4618" s="2">
        <v>6.1</v>
      </c>
      <c r="G4618" s="2">
        <v>43.754100000000001</v>
      </c>
      <c r="H4618" s="2">
        <v>57.571199999999997</v>
      </c>
      <c r="I4618" s="2">
        <v>0</v>
      </c>
      <c r="J4618" s="2">
        <v>0</v>
      </c>
    </row>
    <row r="4619" spans="1:10">
      <c r="A4619" s="2" t="s">
        <v>130</v>
      </c>
      <c r="B4619" s="2" t="s">
        <v>131</v>
      </c>
      <c r="C4619" s="2" t="s">
        <v>162</v>
      </c>
      <c r="D4619" s="60" t="s">
        <v>133</v>
      </c>
      <c r="E4619" s="2">
        <v>11</v>
      </c>
      <c r="F4619" s="2">
        <v>2016</v>
      </c>
    </row>
    <row r="4620" spans="1:10">
      <c r="A4620" s="2" t="s">
        <v>134</v>
      </c>
      <c r="B4620" s="2" t="s">
        <v>78</v>
      </c>
      <c r="C4620" s="2">
        <v>28</v>
      </c>
      <c r="D4620" s="60" t="s">
        <v>289</v>
      </c>
      <c r="E4620" s="2" t="s">
        <v>136</v>
      </c>
      <c r="F4620" s="2" t="s">
        <v>137</v>
      </c>
    </row>
    <row r="4621" spans="1:10">
      <c r="A4621" s="2" t="s">
        <v>138</v>
      </c>
      <c r="B4621" s="2">
        <v>1</v>
      </c>
      <c r="C4621" s="2">
        <v>19.644200000000001</v>
      </c>
      <c r="D4621" s="60" t="s">
        <v>149</v>
      </c>
    </row>
    <row r="4622" spans="1:10">
      <c r="A4622" s="2" t="s">
        <v>140</v>
      </c>
      <c r="B4622" s="2">
        <v>0</v>
      </c>
      <c r="C4622" s="2">
        <v>56.155099999999997</v>
      </c>
      <c r="D4622" s="60">
        <v>28.495799999999999</v>
      </c>
    </row>
    <row r="4623" spans="1:10">
      <c r="A4623" s="2" t="s">
        <v>141</v>
      </c>
      <c r="B4623" s="2">
        <v>0</v>
      </c>
      <c r="C4623" s="2">
        <v>6.5</v>
      </c>
      <c r="D4623" s="60" t="s">
        <v>142</v>
      </c>
    </row>
    <row r="4624" spans="1:10">
      <c r="A4624" s="2" t="s">
        <v>141</v>
      </c>
      <c r="B4624" s="2">
        <v>0</v>
      </c>
      <c r="C4624" s="2">
        <v>11.4</v>
      </c>
      <c r="D4624" s="60" t="s">
        <v>146</v>
      </c>
    </row>
    <row r="4625" spans="1:10">
      <c r="A4625" s="2" t="s">
        <v>141</v>
      </c>
      <c r="B4625" s="2">
        <v>6.5</v>
      </c>
      <c r="C4625" s="2">
        <v>11.4</v>
      </c>
      <c r="D4625" s="60" t="s">
        <v>144</v>
      </c>
    </row>
    <row r="4626" spans="1:10">
      <c r="A4626" s="2" t="s">
        <v>141</v>
      </c>
      <c r="B4626" s="2">
        <v>11.4</v>
      </c>
      <c r="C4626" s="2">
        <v>11.7</v>
      </c>
      <c r="D4626" s="60" t="s">
        <v>145</v>
      </c>
    </row>
    <row r="4627" spans="1:10">
      <c r="A4627" s="2" t="s">
        <v>141</v>
      </c>
      <c r="B4627" s="2">
        <v>11.4</v>
      </c>
      <c r="C4627" s="2">
        <v>11.7</v>
      </c>
      <c r="D4627" s="60" t="s">
        <v>159</v>
      </c>
    </row>
    <row r="4628" spans="1:10">
      <c r="A4628" s="2" t="s">
        <v>141</v>
      </c>
      <c r="B4628" s="2">
        <v>11.7</v>
      </c>
      <c r="C4628" s="2">
        <v>21.854500000000002</v>
      </c>
      <c r="D4628" s="60" t="s">
        <v>144</v>
      </c>
    </row>
    <row r="4629" spans="1:10">
      <c r="A4629" s="2" t="s">
        <v>141</v>
      </c>
      <c r="B4629" s="2">
        <v>11.7</v>
      </c>
      <c r="C4629" s="2">
        <v>21.854500000000002</v>
      </c>
      <c r="D4629" s="60" t="s">
        <v>146</v>
      </c>
    </row>
    <row r="4630" spans="1:10">
      <c r="A4630" s="2" t="s">
        <v>148</v>
      </c>
      <c r="B4630" s="2" t="s">
        <v>99</v>
      </c>
      <c r="C4630" s="2">
        <v>7.4376300000000006E-2</v>
      </c>
      <c r="D4630" s="60">
        <v>0</v>
      </c>
      <c r="E4630" s="2">
        <v>0</v>
      </c>
      <c r="F4630" s="2">
        <v>0.3</v>
      </c>
      <c r="G4630" s="2">
        <v>54.937199999999997</v>
      </c>
      <c r="H4630" s="2">
        <v>57.5212</v>
      </c>
      <c r="I4630" s="2">
        <v>0</v>
      </c>
      <c r="J4630" s="2">
        <v>0</v>
      </c>
    </row>
    <row r="4631" spans="1:10">
      <c r="A4631" s="2" t="s">
        <v>148</v>
      </c>
      <c r="B4631" s="2" t="s">
        <v>100</v>
      </c>
      <c r="C4631" s="2">
        <v>1.31474E-2</v>
      </c>
      <c r="D4631" s="60">
        <v>0</v>
      </c>
      <c r="E4631" s="2">
        <v>24.712299999999999</v>
      </c>
      <c r="F4631" s="2">
        <v>3.7835100000000002</v>
      </c>
      <c r="G4631" s="2">
        <v>0</v>
      </c>
      <c r="H4631" s="2">
        <v>10</v>
      </c>
      <c r="I4631" s="2">
        <v>0</v>
      </c>
      <c r="J4631" s="2">
        <v>0</v>
      </c>
    </row>
    <row r="4632" spans="1:10">
      <c r="A4632" s="2" t="s">
        <v>148</v>
      </c>
      <c r="B4632" s="2" t="s">
        <v>101</v>
      </c>
      <c r="C4632" s="2">
        <v>4.0137800000000001E-2</v>
      </c>
      <c r="D4632" s="60">
        <v>0</v>
      </c>
      <c r="E4632" s="2">
        <v>21.7</v>
      </c>
      <c r="F4632" s="2">
        <v>3.0123199999999999</v>
      </c>
      <c r="G4632" s="2">
        <v>10</v>
      </c>
      <c r="H4632" s="2">
        <v>15.8933</v>
      </c>
      <c r="I4632" s="2">
        <v>0</v>
      </c>
      <c r="J4632" s="2">
        <v>0</v>
      </c>
    </row>
    <row r="4633" spans="1:10">
      <c r="A4633" s="2" t="s">
        <v>148</v>
      </c>
      <c r="B4633" s="2" t="s">
        <v>63</v>
      </c>
      <c r="C4633" s="2">
        <v>0.126634</v>
      </c>
      <c r="D4633" s="60">
        <v>8.8643599999999996</v>
      </c>
      <c r="E4633" s="2">
        <v>17.7</v>
      </c>
      <c r="F4633" s="2">
        <v>4</v>
      </c>
      <c r="G4633" s="2">
        <v>15.8933</v>
      </c>
      <c r="H4633" s="2">
        <v>23.9604</v>
      </c>
      <c r="I4633" s="2">
        <v>0</v>
      </c>
      <c r="J4633" s="2">
        <v>0</v>
      </c>
    </row>
    <row r="4634" spans="1:10">
      <c r="A4634" s="2" t="s">
        <v>148</v>
      </c>
      <c r="B4634" s="2" t="s">
        <v>60</v>
      </c>
      <c r="C4634" s="2">
        <v>0.41531800000000002</v>
      </c>
      <c r="D4634" s="60">
        <v>37.378599999999999</v>
      </c>
      <c r="E4634" s="2">
        <v>11.7</v>
      </c>
      <c r="F4634" s="2">
        <v>6</v>
      </c>
      <c r="G4634" s="2">
        <v>23.9604</v>
      </c>
      <c r="H4634" s="2">
        <v>34.654400000000003</v>
      </c>
      <c r="I4634" s="2">
        <v>0</v>
      </c>
      <c r="J4634" s="2">
        <v>0</v>
      </c>
    </row>
    <row r="4635" spans="1:10">
      <c r="A4635" s="2" t="s">
        <v>148</v>
      </c>
      <c r="B4635" s="2" t="s">
        <v>101</v>
      </c>
      <c r="C4635" s="2">
        <v>0.12968299999999999</v>
      </c>
      <c r="D4635" s="60">
        <v>0</v>
      </c>
      <c r="E4635" s="2">
        <v>10.4</v>
      </c>
      <c r="F4635" s="2">
        <v>1.3</v>
      </c>
      <c r="G4635" s="2">
        <v>34.654400000000003</v>
      </c>
      <c r="H4635" s="2">
        <v>36.5901</v>
      </c>
      <c r="I4635" s="2">
        <v>0</v>
      </c>
      <c r="J4635" s="2">
        <v>0</v>
      </c>
    </row>
    <row r="4636" spans="1:10">
      <c r="A4636" s="2" t="s">
        <v>148</v>
      </c>
      <c r="B4636" s="2" t="s">
        <v>59</v>
      </c>
      <c r="C4636" s="2">
        <v>0.48447000000000001</v>
      </c>
      <c r="D4636" s="60">
        <v>48.447000000000003</v>
      </c>
      <c r="E4636" s="2">
        <v>6.4</v>
      </c>
      <c r="F4636" s="2">
        <v>4</v>
      </c>
      <c r="G4636" s="2">
        <v>36.5901</v>
      </c>
      <c r="H4636" s="2">
        <v>41.704099999999997</v>
      </c>
      <c r="I4636" s="2">
        <v>0</v>
      </c>
      <c r="J4636" s="2">
        <v>0</v>
      </c>
    </row>
    <row r="4637" spans="1:10">
      <c r="A4637" s="2" t="s">
        <v>148</v>
      </c>
      <c r="B4637" s="2" t="s">
        <v>55</v>
      </c>
      <c r="C4637" s="2">
        <v>1.0217099999999999</v>
      </c>
      <c r="D4637" s="60">
        <v>148.148</v>
      </c>
      <c r="E4637" s="2">
        <v>0.3</v>
      </c>
      <c r="F4637" s="2">
        <v>6.1</v>
      </c>
      <c r="G4637" s="2">
        <v>41.704099999999997</v>
      </c>
      <c r="H4637" s="2">
        <v>54.937199999999997</v>
      </c>
      <c r="I4637" s="2">
        <v>0</v>
      </c>
      <c r="J4637" s="2">
        <v>0</v>
      </c>
    </row>
    <row r="4638" spans="1:10">
      <c r="A4638" s="2" t="s">
        <v>138</v>
      </c>
      <c r="B4638" s="2">
        <v>2</v>
      </c>
      <c r="C4638" s="2">
        <v>18.644100000000002</v>
      </c>
      <c r="D4638" s="60" t="s">
        <v>149</v>
      </c>
    </row>
    <row r="4639" spans="1:10">
      <c r="A4639" s="2" t="s">
        <v>140</v>
      </c>
      <c r="B4639" s="2">
        <v>0</v>
      </c>
      <c r="C4639" s="2">
        <v>37.123800000000003</v>
      </c>
      <c r="D4639" s="60">
        <v>25.5474</v>
      </c>
    </row>
    <row r="4640" spans="1:10">
      <c r="A4640" s="2" t="s">
        <v>141</v>
      </c>
      <c r="B4640" s="2">
        <v>0</v>
      </c>
      <c r="C4640" s="2">
        <v>5.5</v>
      </c>
      <c r="D4640" s="60" t="s">
        <v>146</v>
      </c>
    </row>
    <row r="4641" spans="1:10">
      <c r="A4641" s="2" t="s">
        <v>141</v>
      </c>
      <c r="B4641" s="2">
        <v>0</v>
      </c>
      <c r="C4641" s="2">
        <v>6.2</v>
      </c>
      <c r="D4641" s="60" t="s">
        <v>142</v>
      </c>
    </row>
    <row r="4642" spans="1:10">
      <c r="A4642" s="2" t="s">
        <v>141</v>
      </c>
      <c r="B4642" s="2">
        <v>5.5</v>
      </c>
      <c r="C4642" s="2">
        <v>9.4</v>
      </c>
      <c r="D4642" s="60" t="s">
        <v>152</v>
      </c>
    </row>
    <row r="4643" spans="1:10">
      <c r="A4643" s="2" t="s">
        <v>141</v>
      </c>
      <c r="B4643" s="2">
        <v>6.2</v>
      </c>
      <c r="C4643" s="2">
        <v>12</v>
      </c>
      <c r="D4643" s="60" t="s">
        <v>144</v>
      </c>
    </row>
    <row r="4644" spans="1:10">
      <c r="A4644" s="2" t="s">
        <v>141</v>
      </c>
      <c r="B4644" s="2">
        <v>6.5</v>
      </c>
      <c r="C4644" s="2">
        <v>6.8</v>
      </c>
      <c r="D4644" s="60" t="s">
        <v>153</v>
      </c>
    </row>
    <row r="4645" spans="1:10">
      <c r="A4645" s="2" t="s">
        <v>141</v>
      </c>
      <c r="B4645" s="2">
        <v>6.5</v>
      </c>
      <c r="C4645" s="2">
        <v>6.8</v>
      </c>
      <c r="D4645" s="60" t="s">
        <v>154</v>
      </c>
    </row>
    <row r="4646" spans="1:10">
      <c r="A4646" s="2" t="s">
        <v>141</v>
      </c>
      <c r="B4646" s="2">
        <v>9.4</v>
      </c>
      <c r="C4646" s="2">
        <v>14.3</v>
      </c>
      <c r="D4646" s="60" t="s">
        <v>146</v>
      </c>
    </row>
    <row r="4647" spans="1:10">
      <c r="A4647" s="2" t="s">
        <v>141</v>
      </c>
      <c r="B4647" s="2">
        <v>12</v>
      </c>
      <c r="C4647" s="2">
        <v>14.3</v>
      </c>
      <c r="D4647" s="60" t="s">
        <v>145</v>
      </c>
    </row>
    <row r="4648" spans="1:10">
      <c r="A4648" s="2" t="s">
        <v>141</v>
      </c>
      <c r="B4648" s="2">
        <v>14.3</v>
      </c>
      <c r="C4648" s="2">
        <v>19.843299999999999</v>
      </c>
      <c r="D4648" s="60" t="s">
        <v>144</v>
      </c>
    </row>
    <row r="4649" spans="1:10">
      <c r="A4649" s="2" t="s">
        <v>141</v>
      </c>
      <c r="B4649" s="2">
        <v>14.3</v>
      </c>
      <c r="C4649" s="2">
        <v>19.843299999999999</v>
      </c>
      <c r="D4649" s="60" t="s">
        <v>155</v>
      </c>
    </row>
    <row r="4650" spans="1:10">
      <c r="A4650" s="2" t="s">
        <v>156</v>
      </c>
      <c r="B4650" s="2">
        <v>6.5</v>
      </c>
      <c r="C4650" s="2">
        <v>33.4011</v>
      </c>
    </row>
    <row r="4651" spans="1:10">
      <c r="A4651" s="2" t="s">
        <v>148</v>
      </c>
      <c r="B4651" s="2" t="s">
        <v>99</v>
      </c>
      <c r="C4651" s="2">
        <v>3.52086E-2</v>
      </c>
      <c r="D4651" s="60">
        <v>0</v>
      </c>
      <c r="E4651" s="2">
        <v>0</v>
      </c>
      <c r="F4651" s="2">
        <v>0.3</v>
      </c>
      <c r="G4651" s="2">
        <v>37.713299999999997</v>
      </c>
      <c r="H4651" s="2">
        <v>39.675899999999999</v>
      </c>
      <c r="I4651" s="2">
        <v>0</v>
      </c>
      <c r="J4651" s="2">
        <v>0</v>
      </c>
    </row>
    <row r="4652" spans="1:10">
      <c r="A4652" s="2" t="s">
        <v>148</v>
      </c>
      <c r="B4652" s="2" t="s">
        <v>100</v>
      </c>
      <c r="C4652" s="2">
        <v>1.8960600000000001E-2</v>
      </c>
      <c r="D4652" s="60">
        <v>0</v>
      </c>
      <c r="E4652" s="2">
        <v>19.435500000000001</v>
      </c>
      <c r="F4652" s="2">
        <v>6.1119000000000003</v>
      </c>
      <c r="G4652" s="2">
        <v>0</v>
      </c>
      <c r="H4652" s="2">
        <v>10</v>
      </c>
      <c r="I4652" s="2">
        <v>0</v>
      </c>
      <c r="J4652" s="2">
        <v>0</v>
      </c>
    </row>
    <row r="4653" spans="1:10">
      <c r="A4653" s="2" t="s">
        <v>148</v>
      </c>
      <c r="B4653" s="2" t="s">
        <v>101</v>
      </c>
      <c r="C4653" s="2">
        <v>3.5572600000000003E-2</v>
      </c>
      <c r="D4653" s="60">
        <v>0</v>
      </c>
      <c r="E4653" s="2">
        <v>16.399999999999999</v>
      </c>
      <c r="F4653" s="2">
        <v>3.0355099999999999</v>
      </c>
      <c r="G4653" s="2">
        <v>10</v>
      </c>
      <c r="H4653" s="2">
        <v>14.2966</v>
      </c>
      <c r="I4653" s="2">
        <v>0</v>
      </c>
      <c r="J4653" s="2">
        <v>0</v>
      </c>
    </row>
    <row r="4654" spans="1:10">
      <c r="A4654" s="2" t="s">
        <v>148</v>
      </c>
      <c r="B4654" s="2" t="s">
        <v>63</v>
      </c>
      <c r="C4654" s="2">
        <v>0.15892500000000001</v>
      </c>
      <c r="D4654" s="60">
        <v>11.1248</v>
      </c>
      <c r="E4654" s="2">
        <v>10.4</v>
      </c>
      <c r="F4654" s="2">
        <v>6</v>
      </c>
      <c r="G4654" s="2">
        <v>14.2966</v>
      </c>
      <c r="H4654" s="2">
        <v>21.841799999999999</v>
      </c>
      <c r="I4654" s="2">
        <v>0</v>
      </c>
      <c r="J4654" s="2">
        <v>0</v>
      </c>
    </row>
    <row r="4655" spans="1:10">
      <c r="A4655" s="2" t="s">
        <v>148</v>
      </c>
      <c r="B4655" s="2" t="s">
        <v>64</v>
      </c>
      <c r="C4655" s="2">
        <v>0.15821399999999999</v>
      </c>
      <c r="D4655" s="60">
        <v>4.74641</v>
      </c>
      <c r="E4655" s="2">
        <v>6.8</v>
      </c>
      <c r="F4655" s="2">
        <v>3.6</v>
      </c>
      <c r="G4655" s="2">
        <v>21.841799999999999</v>
      </c>
      <c r="H4655" s="2">
        <v>25.290199999999999</v>
      </c>
      <c r="I4655" s="2">
        <v>0</v>
      </c>
      <c r="J4655" s="2">
        <v>0</v>
      </c>
    </row>
    <row r="4656" spans="1:10">
      <c r="A4656" s="2" t="s">
        <v>148</v>
      </c>
      <c r="B4656" s="2" t="s">
        <v>101</v>
      </c>
      <c r="C4656" s="2">
        <v>0.16118299999999999</v>
      </c>
      <c r="D4656" s="60">
        <v>0</v>
      </c>
      <c r="E4656" s="2">
        <v>4.3</v>
      </c>
      <c r="F4656" s="2">
        <v>2.5</v>
      </c>
      <c r="G4656" s="2">
        <v>25.290199999999999</v>
      </c>
      <c r="H4656" s="2">
        <v>30.022600000000001</v>
      </c>
      <c r="I4656" s="2">
        <v>0</v>
      </c>
      <c r="J4656" s="2">
        <v>0</v>
      </c>
    </row>
    <row r="4657" spans="1:10">
      <c r="A4657" s="2" t="s">
        <v>148</v>
      </c>
      <c r="B4657" s="2" t="s">
        <v>59</v>
      </c>
      <c r="C4657" s="2">
        <v>0.33472600000000002</v>
      </c>
      <c r="D4657" s="60">
        <v>33.4726</v>
      </c>
      <c r="E4657" s="2">
        <v>0.3</v>
      </c>
      <c r="F4657" s="2">
        <v>4</v>
      </c>
      <c r="G4657" s="2">
        <v>30.022600000000001</v>
      </c>
      <c r="H4657" s="2">
        <v>37.713299999999997</v>
      </c>
      <c r="I4657" s="2">
        <v>0</v>
      </c>
      <c r="J4657" s="2">
        <v>0</v>
      </c>
    </row>
    <row r="4658" spans="1:10">
      <c r="A4658" s="2" t="s">
        <v>140</v>
      </c>
      <c r="B4658" s="2">
        <v>1</v>
      </c>
      <c r="C4658" s="2">
        <v>14.4361</v>
      </c>
      <c r="D4658" s="60">
        <v>25.5474</v>
      </c>
      <c r="E4658" s="2">
        <v>6.5</v>
      </c>
      <c r="F4658" s="2">
        <v>13.2</v>
      </c>
    </row>
    <row r="4659" spans="1:10">
      <c r="A4659" s="2" t="s">
        <v>141</v>
      </c>
      <c r="B4659" s="2">
        <v>6.5</v>
      </c>
      <c r="C4659" s="2">
        <v>6.8</v>
      </c>
      <c r="D4659" s="60" t="s">
        <v>153</v>
      </c>
    </row>
    <row r="4660" spans="1:10">
      <c r="A4660" s="2" t="s">
        <v>141</v>
      </c>
      <c r="B4660" s="2">
        <v>6.5</v>
      </c>
      <c r="C4660" s="2">
        <v>19.843299999999999</v>
      </c>
      <c r="D4660" s="60" t="s">
        <v>144</v>
      </c>
    </row>
    <row r="4661" spans="1:10">
      <c r="A4661" s="2" t="s">
        <v>141</v>
      </c>
      <c r="B4661" s="2">
        <v>6.5</v>
      </c>
      <c r="C4661" s="2">
        <v>19.843299999999999</v>
      </c>
      <c r="D4661" s="60" t="s">
        <v>152</v>
      </c>
    </row>
    <row r="4662" spans="1:10">
      <c r="A4662" s="2" t="s">
        <v>148</v>
      </c>
      <c r="B4662" s="2" t="s">
        <v>100</v>
      </c>
      <c r="C4662" s="2">
        <v>1.5320200000000001E-2</v>
      </c>
      <c r="D4662" s="60">
        <v>0</v>
      </c>
      <c r="E4662" s="2">
        <v>10.9925</v>
      </c>
      <c r="F4662" s="2">
        <v>2.2074500000000001</v>
      </c>
      <c r="G4662" s="2">
        <v>8.76248</v>
      </c>
      <c r="H4662" s="2">
        <v>10</v>
      </c>
      <c r="I4662" s="2">
        <v>0</v>
      </c>
      <c r="J4662" s="2">
        <v>0</v>
      </c>
    </row>
    <row r="4663" spans="1:10">
      <c r="A4663" s="2" t="s">
        <v>148</v>
      </c>
      <c r="B4663" s="2" t="s">
        <v>101</v>
      </c>
      <c r="C4663" s="2">
        <v>7.3039199999999996E-4</v>
      </c>
      <c r="D4663" s="60">
        <v>0</v>
      </c>
      <c r="E4663" s="2">
        <v>10.9</v>
      </c>
      <c r="F4663" s="2">
        <v>9.25454E-2</v>
      </c>
      <c r="G4663" s="2">
        <v>10</v>
      </c>
      <c r="H4663" s="2">
        <v>10.0486</v>
      </c>
      <c r="I4663" s="2">
        <v>0</v>
      </c>
      <c r="J4663" s="2">
        <v>0</v>
      </c>
    </row>
    <row r="4664" spans="1:10">
      <c r="A4664" s="2" t="s">
        <v>148</v>
      </c>
      <c r="B4664" s="2" t="s">
        <v>64</v>
      </c>
      <c r="C4664" s="2">
        <v>3.9295799999999999E-2</v>
      </c>
      <c r="D4664" s="60">
        <v>1.1788799999999999</v>
      </c>
      <c r="E4664" s="2">
        <v>6.8</v>
      </c>
      <c r="F4664" s="2">
        <v>4.0999999999999996</v>
      </c>
      <c r="G4664" s="2">
        <v>10.0486</v>
      </c>
      <c r="H4664" s="2">
        <v>11.9336</v>
      </c>
      <c r="I4664" s="2">
        <v>0</v>
      </c>
      <c r="J4664" s="2">
        <v>0</v>
      </c>
    </row>
    <row r="4665" spans="1:10">
      <c r="A4665" s="2" t="s">
        <v>148</v>
      </c>
      <c r="B4665" s="2" t="s">
        <v>101</v>
      </c>
      <c r="C4665" s="2">
        <v>3.38924E-3</v>
      </c>
      <c r="D4665" s="60">
        <v>0</v>
      </c>
      <c r="E4665" s="2">
        <v>6.5</v>
      </c>
      <c r="F4665" s="2">
        <v>0.3</v>
      </c>
      <c r="G4665" s="2">
        <v>11.9336</v>
      </c>
      <c r="H4665" s="2">
        <v>12.053000000000001</v>
      </c>
      <c r="I4665" s="2">
        <v>0</v>
      </c>
      <c r="J4665" s="2">
        <v>0</v>
      </c>
    </row>
    <row r="4666" spans="1:10">
      <c r="A4666" s="2" t="s">
        <v>138</v>
      </c>
      <c r="B4666" s="2">
        <v>3</v>
      </c>
      <c r="C4666" s="2">
        <v>19.890499999999999</v>
      </c>
      <c r="D4666" s="60" t="s">
        <v>139</v>
      </c>
    </row>
    <row r="4667" spans="1:10">
      <c r="A4667" s="2" t="s">
        <v>140</v>
      </c>
      <c r="B4667" s="2">
        <v>0</v>
      </c>
      <c r="C4667" s="2">
        <v>79.455600000000004</v>
      </c>
      <c r="D4667" s="60">
        <v>30.761500000000002</v>
      </c>
    </row>
    <row r="4668" spans="1:10">
      <c r="A4668" s="2" t="s">
        <v>141</v>
      </c>
      <c r="B4668" s="2">
        <v>0</v>
      </c>
      <c r="C4668" s="2">
        <v>3.2</v>
      </c>
      <c r="D4668" s="60" t="s">
        <v>158</v>
      </c>
    </row>
    <row r="4669" spans="1:10">
      <c r="A4669" s="2" t="s">
        <v>141</v>
      </c>
      <c r="B4669" s="2">
        <v>0</v>
      </c>
      <c r="C4669" s="2">
        <v>9.3000000000000007</v>
      </c>
      <c r="D4669" s="60" t="s">
        <v>145</v>
      </c>
    </row>
    <row r="4670" spans="1:10">
      <c r="A4670" s="2" t="s">
        <v>141</v>
      </c>
      <c r="B4670" s="2">
        <v>0</v>
      </c>
      <c r="C4670" s="2">
        <v>9.3000000000000007</v>
      </c>
      <c r="D4670" s="60" t="s">
        <v>143</v>
      </c>
    </row>
    <row r="4671" spans="1:10">
      <c r="A4671" s="2" t="s">
        <v>141</v>
      </c>
      <c r="B4671" s="2">
        <v>3.2</v>
      </c>
      <c r="C4671" s="2">
        <v>3.4</v>
      </c>
      <c r="D4671" s="60" t="s">
        <v>176</v>
      </c>
    </row>
    <row r="4672" spans="1:10">
      <c r="A4672" s="2" t="s">
        <v>141</v>
      </c>
      <c r="B4672" s="2">
        <v>9.3000000000000007</v>
      </c>
      <c r="C4672" s="2">
        <v>9.6</v>
      </c>
      <c r="D4672" s="60" t="s">
        <v>159</v>
      </c>
    </row>
    <row r="4673" spans="1:10">
      <c r="A4673" s="2" t="s">
        <v>141</v>
      </c>
      <c r="B4673" s="2">
        <v>9.3000000000000007</v>
      </c>
      <c r="C4673" s="2">
        <v>10</v>
      </c>
      <c r="D4673" s="60" t="s">
        <v>147</v>
      </c>
    </row>
    <row r="4674" spans="1:10">
      <c r="A4674" s="2" t="s">
        <v>141</v>
      </c>
      <c r="B4674" s="2">
        <v>9.6</v>
      </c>
      <c r="C4674" s="2">
        <v>23.4</v>
      </c>
      <c r="D4674" s="60" t="s">
        <v>146</v>
      </c>
    </row>
    <row r="4675" spans="1:10">
      <c r="A4675" s="2" t="s">
        <v>141</v>
      </c>
      <c r="B4675" s="2">
        <v>10</v>
      </c>
      <c r="C4675" s="2">
        <v>10.5</v>
      </c>
      <c r="D4675" s="60" t="s">
        <v>151</v>
      </c>
    </row>
    <row r="4676" spans="1:10">
      <c r="A4676" s="2" t="s">
        <v>141</v>
      </c>
      <c r="B4676" s="2">
        <v>10.5</v>
      </c>
      <c r="C4676" s="2">
        <v>11.3</v>
      </c>
      <c r="D4676" s="60" t="s">
        <v>147</v>
      </c>
    </row>
    <row r="4677" spans="1:10">
      <c r="A4677" s="2" t="s">
        <v>141</v>
      </c>
      <c r="B4677" s="2">
        <v>11.3</v>
      </c>
      <c r="C4677" s="2">
        <v>23.4</v>
      </c>
      <c r="D4677" s="60" t="s">
        <v>145</v>
      </c>
    </row>
    <row r="4678" spans="1:10">
      <c r="A4678" s="2" t="s">
        <v>148</v>
      </c>
      <c r="B4678" s="2" t="s">
        <v>99</v>
      </c>
      <c r="C4678" s="2">
        <v>0.13914699999999999</v>
      </c>
      <c r="D4678" s="60">
        <v>0</v>
      </c>
      <c r="E4678" s="2">
        <v>0</v>
      </c>
      <c r="F4678" s="2">
        <v>0.3</v>
      </c>
      <c r="G4678" s="2">
        <v>75.253399999999999</v>
      </c>
      <c r="H4678" s="2">
        <v>78.549300000000002</v>
      </c>
      <c r="I4678" s="2">
        <v>0</v>
      </c>
      <c r="J4678" s="2">
        <v>0</v>
      </c>
    </row>
    <row r="4679" spans="1:10">
      <c r="A4679" s="2" t="s">
        <v>148</v>
      </c>
      <c r="B4679" s="2" t="s">
        <v>100</v>
      </c>
      <c r="C4679" s="2">
        <v>9.4204900000000001E-3</v>
      </c>
      <c r="D4679" s="60">
        <v>0</v>
      </c>
      <c r="E4679" s="2">
        <v>28.2163</v>
      </c>
      <c r="F4679" s="2">
        <v>2.54528</v>
      </c>
      <c r="G4679" s="2">
        <v>0</v>
      </c>
      <c r="H4679" s="2">
        <v>10</v>
      </c>
      <c r="I4679" s="2">
        <v>0</v>
      </c>
      <c r="J4679" s="2">
        <v>0</v>
      </c>
    </row>
    <row r="4680" spans="1:10">
      <c r="A4680" s="2" t="s">
        <v>148</v>
      </c>
      <c r="B4680" s="2" t="s">
        <v>98</v>
      </c>
      <c r="C4680" s="2">
        <v>0.59421800000000002</v>
      </c>
      <c r="D4680" s="60">
        <v>0</v>
      </c>
      <c r="E4680" s="2">
        <v>16.696899999999999</v>
      </c>
      <c r="F4680" s="2">
        <v>11.519399999999999</v>
      </c>
      <c r="G4680" s="2">
        <v>10</v>
      </c>
      <c r="H4680" s="2">
        <v>38.561700000000002</v>
      </c>
      <c r="I4680" s="2">
        <v>0</v>
      </c>
      <c r="J4680" s="2">
        <v>0</v>
      </c>
    </row>
    <row r="4681" spans="1:10">
      <c r="A4681" s="2" t="s">
        <v>148</v>
      </c>
      <c r="B4681" s="2" t="s">
        <v>101</v>
      </c>
      <c r="C4681" s="2">
        <v>2.3265600000000001E-2</v>
      </c>
      <c r="D4681" s="60">
        <v>0</v>
      </c>
      <c r="E4681" s="2">
        <v>16.5</v>
      </c>
      <c r="F4681" s="2">
        <v>0.196857</v>
      </c>
      <c r="G4681" s="2">
        <v>38.561700000000002</v>
      </c>
      <c r="H4681" s="2">
        <v>39.020400000000002</v>
      </c>
      <c r="I4681" s="2">
        <v>0</v>
      </c>
      <c r="J4681" s="2">
        <v>0</v>
      </c>
    </row>
    <row r="4682" spans="1:10">
      <c r="A4682" s="2" t="s">
        <v>148</v>
      </c>
      <c r="B4682" s="2" t="s">
        <v>59</v>
      </c>
      <c r="C4682" s="2">
        <v>0.97867499999999996</v>
      </c>
      <c r="D4682" s="60">
        <v>97.867500000000007</v>
      </c>
      <c r="E4682" s="2">
        <v>10.5</v>
      </c>
      <c r="F4682" s="2">
        <v>6</v>
      </c>
      <c r="G4682" s="2">
        <v>39.020400000000002</v>
      </c>
      <c r="H4682" s="2">
        <v>51.257599999999996</v>
      </c>
      <c r="I4682" s="2">
        <v>0</v>
      </c>
      <c r="J4682" s="2">
        <v>0</v>
      </c>
    </row>
    <row r="4683" spans="1:10">
      <c r="A4683" s="2" t="s">
        <v>148</v>
      </c>
      <c r="B4683" s="2" t="s">
        <v>101</v>
      </c>
      <c r="C4683" s="2">
        <v>0.487321</v>
      </c>
      <c r="D4683" s="60">
        <v>0</v>
      </c>
      <c r="E4683" s="2">
        <v>8.3000000000000007</v>
      </c>
      <c r="F4683" s="2">
        <v>2.2000000000000002</v>
      </c>
      <c r="G4683" s="2">
        <v>51.257599999999996</v>
      </c>
      <c r="H4683" s="2">
        <v>54.864400000000003</v>
      </c>
      <c r="I4683" s="2">
        <v>0</v>
      </c>
      <c r="J4683" s="2">
        <v>0</v>
      </c>
    </row>
    <row r="4684" spans="1:10">
      <c r="A4684" s="2" t="s">
        <v>148</v>
      </c>
      <c r="B4684" s="2" t="s">
        <v>58</v>
      </c>
      <c r="C4684" s="2">
        <v>1.0510699999999999</v>
      </c>
      <c r="D4684" s="60">
        <v>110.36199999999999</v>
      </c>
      <c r="E4684" s="2">
        <v>4.3</v>
      </c>
      <c r="F4684" s="2">
        <v>4</v>
      </c>
      <c r="G4684" s="2">
        <v>54.864400000000003</v>
      </c>
      <c r="H4684" s="2">
        <v>60.734000000000002</v>
      </c>
      <c r="I4684" s="2">
        <v>0</v>
      </c>
      <c r="J4684" s="2">
        <v>0</v>
      </c>
    </row>
    <row r="4685" spans="1:10">
      <c r="A4685" s="2" t="s">
        <v>148</v>
      </c>
      <c r="B4685" s="2" t="s">
        <v>58</v>
      </c>
      <c r="C4685" s="2">
        <v>1.3579399999999999</v>
      </c>
      <c r="D4685" s="60">
        <v>142.584</v>
      </c>
      <c r="E4685" s="2">
        <v>0.3</v>
      </c>
      <c r="F4685" s="2">
        <v>4</v>
      </c>
      <c r="G4685" s="2">
        <v>60.734000000000002</v>
      </c>
      <c r="H4685" s="2">
        <v>75.253399999999999</v>
      </c>
      <c r="I4685" s="2">
        <v>0</v>
      </c>
      <c r="J4685" s="2">
        <v>0</v>
      </c>
    </row>
    <row r="4686" spans="1:10">
      <c r="A4686" s="2" t="s">
        <v>138</v>
      </c>
      <c r="B4686" s="2">
        <v>4</v>
      </c>
      <c r="C4686" s="2">
        <v>19.783100000000001</v>
      </c>
      <c r="D4686" s="60" t="s">
        <v>139</v>
      </c>
    </row>
    <row r="4687" spans="1:10">
      <c r="A4687" s="2" t="s">
        <v>140</v>
      </c>
      <c r="B4687" s="2">
        <v>0</v>
      </c>
      <c r="C4687" s="2">
        <v>67.043000000000006</v>
      </c>
      <c r="D4687" s="60">
        <v>27.829499999999999</v>
      </c>
    </row>
    <row r="4688" spans="1:10">
      <c r="A4688" s="2" t="s">
        <v>141</v>
      </c>
      <c r="B4688" s="2">
        <v>0</v>
      </c>
      <c r="C4688" s="2">
        <v>0.4</v>
      </c>
      <c r="D4688" s="60" t="s">
        <v>157</v>
      </c>
    </row>
    <row r="4689" spans="1:10">
      <c r="A4689" s="2" t="s">
        <v>141</v>
      </c>
      <c r="B4689" s="2">
        <v>0</v>
      </c>
      <c r="C4689" s="2">
        <v>0.6</v>
      </c>
      <c r="D4689" s="60" t="s">
        <v>151</v>
      </c>
    </row>
    <row r="4690" spans="1:10">
      <c r="A4690" s="2" t="s">
        <v>141</v>
      </c>
      <c r="B4690" s="2">
        <v>0</v>
      </c>
      <c r="C4690" s="2">
        <v>21.4</v>
      </c>
      <c r="D4690" s="60" t="s">
        <v>146</v>
      </c>
    </row>
    <row r="4691" spans="1:10">
      <c r="A4691" s="2" t="s">
        <v>141</v>
      </c>
      <c r="B4691" s="2">
        <v>0.6</v>
      </c>
      <c r="C4691" s="2">
        <v>11.9</v>
      </c>
      <c r="D4691" s="60" t="s">
        <v>147</v>
      </c>
    </row>
    <row r="4692" spans="1:10">
      <c r="A4692" s="2" t="s">
        <v>141</v>
      </c>
      <c r="B4692" s="2">
        <v>11.9</v>
      </c>
      <c r="C4692" s="2">
        <v>12.3</v>
      </c>
      <c r="D4692" s="60" t="s">
        <v>151</v>
      </c>
    </row>
    <row r="4693" spans="1:10">
      <c r="A4693" s="2" t="s">
        <v>141</v>
      </c>
      <c r="B4693" s="2">
        <v>12.3</v>
      </c>
      <c r="C4693" s="2">
        <v>14.1</v>
      </c>
      <c r="D4693" s="60" t="s">
        <v>147</v>
      </c>
    </row>
    <row r="4694" spans="1:10">
      <c r="A4694" s="2" t="s">
        <v>141</v>
      </c>
      <c r="B4694" s="2">
        <v>14.1</v>
      </c>
      <c r="C4694" s="2">
        <v>21.4</v>
      </c>
      <c r="D4694" s="60" t="s">
        <v>144</v>
      </c>
    </row>
    <row r="4695" spans="1:10">
      <c r="A4695" s="2" t="s">
        <v>148</v>
      </c>
      <c r="B4695" s="2" t="s">
        <v>99</v>
      </c>
      <c r="C4695" s="2">
        <v>0.102002</v>
      </c>
      <c r="D4695" s="60">
        <v>0</v>
      </c>
      <c r="E4695" s="2">
        <v>0</v>
      </c>
      <c r="F4695" s="2">
        <v>0.3</v>
      </c>
      <c r="G4695" s="2">
        <v>64.305400000000006</v>
      </c>
      <c r="H4695" s="2">
        <v>67.397199999999998</v>
      </c>
      <c r="I4695" s="2">
        <v>0</v>
      </c>
      <c r="J4695" s="2">
        <v>0</v>
      </c>
    </row>
    <row r="4696" spans="1:10">
      <c r="A4696" s="2" t="s">
        <v>148</v>
      </c>
      <c r="B4696" s="2" t="s">
        <v>100</v>
      </c>
      <c r="C4696" s="2">
        <v>1.05544E-2</v>
      </c>
      <c r="D4696" s="60">
        <v>0</v>
      </c>
      <c r="E4696" s="2">
        <v>24.896899999999999</v>
      </c>
      <c r="F4696" s="2">
        <v>2.9326400000000001</v>
      </c>
      <c r="G4696" s="2">
        <v>0</v>
      </c>
      <c r="H4696" s="2">
        <v>10.0002</v>
      </c>
      <c r="I4696" s="2">
        <v>0</v>
      </c>
      <c r="J4696" s="2">
        <v>0</v>
      </c>
    </row>
    <row r="4697" spans="1:10">
      <c r="A4697" s="2" t="s">
        <v>148</v>
      </c>
      <c r="B4697" s="2" t="s">
        <v>98</v>
      </c>
      <c r="C4697" s="2">
        <v>0.399613</v>
      </c>
      <c r="D4697" s="60">
        <v>0</v>
      </c>
      <c r="E4697" s="2">
        <v>15.0115</v>
      </c>
      <c r="F4697" s="2">
        <v>9.88537</v>
      </c>
      <c r="G4697" s="2">
        <v>10.0002</v>
      </c>
      <c r="H4697" s="2">
        <v>33.294699999999999</v>
      </c>
      <c r="I4697" s="2">
        <v>0</v>
      </c>
      <c r="J4697" s="2">
        <v>0</v>
      </c>
    </row>
    <row r="4698" spans="1:10">
      <c r="A4698" s="2" t="s">
        <v>148</v>
      </c>
      <c r="B4698" s="2" t="s">
        <v>101</v>
      </c>
      <c r="C4698" s="2">
        <v>3.6811499999999997E-2</v>
      </c>
      <c r="D4698" s="60">
        <v>0</v>
      </c>
      <c r="E4698" s="2">
        <v>14.6</v>
      </c>
      <c r="F4698" s="2">
        <v>0.41152699999999998</v>
      </c>
      <c r="G4698" s="2">
        <v>33.294699999999999</v>
      </c>
      <c r="H4698" s="2">
        <v>34.196800000000003</v>
      </c>
      <c r="I4698" s="2">
        <v>0</v>
      </c>
      <c r="J4698" s="2">
        <v>0</v>
      </c>
    </row>
    <row r="4699" spans="1:10">
      <c r="A4699" s="2" t="s">
        <v>148</v>
      </c>
      <c r="B4699" s="2" t="s">
        <v>62</v>
      </c>
      <c r="C4699" s="2">
        <v>0.46213100000000001</v>
      </c>
      <c r="D4699" s="60">
        <v>36.970500000000001</v>
      </c>
      <c r="E4699" s="2">
        <v>10.6</v>
      </c>
      <c r="F4699" s="2">
        <v>4</v>
      </c>
      <c r="G4699" s="2">
        <v>34.196800000000003</v>
      </c>
      <c r="H4699" s="2">
        <v>42.100299999999997</v>
      </c>
      <c r="I4699" s="2">
        <v>0</v>
      </c>
      <c r="J4699" s="2">
        <v>0</v>
      </c>
    </row>
    <row r="4700" spans="1:10">
      <c r="A4700" s="2" t="s">
        <v>148</v>
      </c>
      <c r="B4700" s="2" t="s">
        <v>58</v>
      </c>
      <c r="C4700" s="2">
        <v>0.64747600000000005</v>
      </c>
      <c r="D4700" s="60">
        <v>67.984999999999999</v>
      </c>
      <c r="E4700" s="2">
        <v>6.6</v>
      </c>
      <c r="F4700" s="2">
        <v>4</v>
      </c>
      <c r="G4700" s="2">
        <v>42.100299999999997</v>
      </c>
      <c r="H4700" s="2">
        <v>48.377499999999998</v>
      </c>
      <c r="I4700" s="2">
        <v>0</v>
      </c>
      <c r="J4700" s="2">
        <v>0</v>
      </c>
    </row>
    <row r="4701" spans="1:10">
      <c r="A4701" s="2" t="s">
        <v>148</v>
      </c>
      <c r="B4701" s="2" t="s">
        <v>58</v>
      </c>
      <c r="C4701" s="2">
        <v>1.33887</v>
      </c>
      <c r="D4701" s="60">
        <v>140.58099999999999</v>
      </c>
      <c r="E4701" s="2">
        <v>0.6</v>
      </c>
      <c r="F4701" s="2">
        <v>6</v>
      </c>
      <c r="G4701" s="2">
        <v>48.377499999999998</v>
      </c>
      <c r="H4701" s="2">
        <v>61.871400000000001</v>
      </c>
      <c r="I4701" s="2">
        <v>0</v>
      </c>
      <c r="J4701" s="2">
        <v>0</v>
      </c>
    </row>
    <row r="4702" spans="1:10">
      <c r="A4702" s="2" t="s">
        <v>148</v>
      </c>
      <c r="B4702" s="2" t="s">
        <v>101</v>
      </c>
      <c r="C4702" s="2">
        <v>9.3647599999999998E-2</v>
      </c>
      <c r="D4702" s="60">
        <v>0</v>
      </c>
      <c r="E4702" s="2">
        <v>0.3</v>
      </c>
      <c r="F4702" s="2">
        <v>0.3</v>
      </c>
      <c r="G4702" s="2">
        <v>61.871400000000001</v>
      </c>
      <c r="H4702" s="2">
        <v>64.305400000000006</v>
      </c>
      <c r="I4702" s="2">
        <v>0</v>
      </c>
      <c r="J4702" s="2">
        <v>0</v>
      </c>
    </row>
    <row r="4703" spans="1:10">
      <c r="A4703" s="2" t="s">
        <v>138</v>
      </c>
      <c r="B4703" s="2">
        <v>5</v>
      </c>
      <c r="C4703" s="2">
        <v>19.814599999999999</v>
      </c>
      <c r="D4703" s="60" t="s">
        <v>149</v>
      </c>
    </row>
    <row r="4704" spans="1:10">
      <c r="A4704" s="2" t="s">
        <v>140</v>
      </c>
      <c r="B4704" s="2">
        <v>0</v>
      </c>
      <c r="C4704" s="2">
        <v>68.042199999999994</v>
      </c>
      <c r="D4704" s="60">
        <v>29.875599999999999</v>
      </c>
    </row>
    <row r="4705" spans="1:10">
      <c r="A4705" s="2" t="s">
        <v>141</v>
      </c>
      <c r="B4705" s="2">
        <v>0</v>
      </c>
      <c r="C4705" s="2">
        <v>3.8</v>
      </c>
      <c r="D4705" s="60" t="s">
        <v>145</v>
      </c>
    </row>
    <row r="4706" spans="1:10">
      <c r="A4706" s="2" t="s">
        <v>141</v>
      </c>
      <c r="B4706" s="2">
        <v>0</v>
      </c>
      <c r="C4706" s="2">
        <v>3.8</v>
      </c>
      <c r="D4706" s="60" t="s">
        <v>146</v>
      </c>
    </row>
    <row r="4707" spans="1:10">
      <c r="A4707" s="2" t="s">
        <v>141</v>
      </c>
      <c r="B4707" s="2">
        <v>0</v>
      </c>
      <c r="C4707" s="2">
        <v>3.8</v>
      </c>
      <c r="D4707" s="60" t="s">
        <v>158</v>
      </c>
    </row>
    <row r="4708" spans="1:10">
      <c r="A4708" s="2" t="s">
        <v>141</v>
      </c>
      <c r="B4708" s="2">
        <v>3.8</v>
      </c>
      <c r="C4708" s="2">
        <v>4.2</v>
      </c>
      <c r="D4708" s="60" t="s">
        <v>151</v>
      </c>
    </row>
    <row r="4709" spans="1:10">
      <c r="A4709" s="2" t="s">
        <v>141</v>
      </c>
      <c r="B4709" s="2">
        <v>3.8</v>
      </c>
      <c r="C4709" s="2">
        <v>4.2</v>
      </c>
      <c r="D4709" s="60" t="s">
        <v>161</v>
      </c>
    </row>
    <row r="4710" spans="1:10">
      <c r="A4710" s="2" t="s">
        <v>141</v>
      </c>
      <c r="B4710" s="2">
        <v>3.8</v>
      </c>
      <c r="C4710" s="2">
        <v>4.2</v>
      </c>
      <c r="D4710" s="60" t="s">
        <v>178</v>
      </c>
    </row>
    <row r="4711" spans="1:10">
      <c r="A4711" s="2" t="s">
        <v>141</v>
      </c>
      <c r="B4711" s="2">
        <v>4.2</v>
      </c>
      <c r="C4711" s="2">
        <v>11.6</v>
      </c>
      <c r="D4711" s="60" t="s">
        <v>146</v>
      </c>
    </row>
    <row r="4712" spans="1:10">
      <c r="A4712" s="2" t="s">
        <v>141</v>
      </c>
      <c r="B4712" s="2">
        <v>4.2</v>
      </c>
      <c r="C4712" s="2">
        <v>14.1</v>
      </c>
      <c r="D4712" s="60" t="s">
        <v>147</v>
      </c>
    </row>
    <row r="4713" spans="1:10">
      <c r="A4713" s="2" t="s">
        <v>141</v>
      </c>
      <c r="B4713" s="2">
        <v>11.6</v>
      </c>
      <c r="C4713" s="2">
        <v>14.1</v>
      </c>
      <c r="D4713" s="60" t="s">
        <v>155</v>
      </c>
    </row>
    <row r="4714" spans="1:10">
      <c r="A4714" s="2" t="s">
        <v>141</v>
      </c>
      <c r="B4714" s="2">
        <v>14.1</v>
      </c>
      <c r="C4714" s="2">
        <v>22.7957</v>
      </c>
      <c r="D4714" s="60" t="s">
        <v>144</v>
      </c>
    </row>
    <row r="4715" spans="1:10">
      <c r="A4715" s="2" t="s">
        <v>141</v>
      </c>
      <c r="B4715" s="2">
        <v>14.1</v>
      </c>
      <c r="C4715" s="2">
        <v>22.7957</v>
      </c>
      <c r="D4715" s="60" t="s">
        <v>161</v>
      </c>
    </row>
    <row r="4716" spans="1:10">
      <c r="A4716" s="2" t="s">
        <v>148</v>
      </c>
      <c r="B4716" s="2" t="s">
        <v>99</v>
      </c>
      <c r="C4716" s="2">
        <v>0.105212</v>
      </c>
      <c r="D4716" s="60">
        <v>0</v>
      </c>
      <c r="E4716" s="2">
        <v>0</v>
      </c>
      <c r="F4716" s="2">
        <v>0.3</v>
      </c>
      <c r="G4716" s="2">
        <v>65.400400000000005</v>
      </c>
      <c r="H4716" s="2">
        <v>68.344099999999997</v>
      </c>
      <c r="I4716" s="2">
        <v>0</v>
      </c>
      <c r="J4716" s="2">
        <v>0</v>
      </c>
    </row>
    <row r="4717" spans="1:10">
      <c r="A4717" s="2" t="s">
        <v>148</v>
      </c>
      <c r="B4717" s="2" t="s">
        <v>100</v>
      </c>
      <c r="C4717" s="2">
        <v>1.1122999999999999E-2</v>
      </c>
      <c r="D4717" s="60">
        <v>0</v>
      </c>
      <c r="E4717" s="2">
        <v>26.793700000000001</v>
      </c>
      <c r="F4717" s="2">
        <v>3.0819800000000002</v>
      </c>
      <c r="G4717" s="2">
        <v>0</v>
      </c>
      <c r="H4717" s="2">
        <v>10.0002</v>
      </c>
      <c r="I4717" s="2">
        <v>0</v>
      </c>
      <c r="J4717" s="2">
        <v>0</v>
      </c>
    </row>
    <row r="4718" spans="1:10">
      <c r="A4718" s="2" t="s">
        <v>148</v>
      </c>
      <c r="B4718" s="2" t="s">
        <v>98</v>
      </c>
      <c r="C4718" s="2">
        <v>0.39016899999999999</v>
      </c>
      <c r="D4718" s="60">
        <v>0</v>
      </c>
      <c r="E4718" s="2">
        <v>16.712299999999999</v>
      </c>
      <c r="F4718" s="2">
        <v>10.0814</v>
      </c>
      <c r="G4718" s="2">
        <v>10.0002</v>
      </c>
      <c r="H4718" s="2">
        <v>32.5032</v>
      </c>
      <c r="I4718" s="2">
        <v>0</v>
      </c>
      <c r="J4718" s="2">
        <v>0</v>
      </c>
    </row>
    <row r="4719" spans="1:10">
      <c r="A4719" s="2" t="s">
        <v>148</v>
      </c>
      <c r="B4719" s="2" t="s">
        <v>101</v>
      </c>
      <c r="C4719" s="2">
        <v>0.25469799999999998</v>
      </c>
      <c r="D4719" s="60">
        <v>0</v>
      </c>
      <c r="E4719" s="2">
        <v>14.1</v>
      </c>
      <c r="F4719" s="2">
        <v>2.6122700000000001</v>
      </c>
      <c r="G4719" s="2">
        <v>32.5032</v>
      </c>
      <c r="H4719" s="2">
        <v>37.806399999999996</v>
      </c>
      <c r="I4719" s="2">
        <v>0</v>
      </c>
      <c r="J4719" s="2">
        <v>0</v>
      </c>
    </row>
    <row r="4720" spans="1:10">
      <c r="A4720" s="2" t="s">
        <v>148</v>
      </c>
      <c r="B4720" s="2" t="s">
        <v>64</v>
      </c>
      <c r="C4720" s="2">
        <v>0.52411300000000005</v>
      </c>
      <c r="D4720" s="60">
        <v>15.7234</v>
      </c>
      <c r="E4720" s="2">
        <v>10.199999999999999</v>
      </c>
      <c r="F4720" s="2">
        <v>3.9</v>
      </c>
      <c r="G4720" s="2">
        <v>37.806399999999996</v>
      </c>
      <c r="H4720" s="2">
        <v>44.5944</v>
      </c>
      <c r="I4720" s="2">
        <v>0</v>
      </c>
      <c r="J4720" s="2">
        <v>0</v>
      </c>
    </row>
    <row r="4721" spans="1:10">
      <c r="A4721" s="2" t="s">
        <v>148</v>
      </c>
      <c r="B4721" s="2" t="s">
        <v>58</v>
      </c>
      <c r="C4721" s="2">
        <v>1.12622</v>
      </c>
      <c r="D4721" s="60">
        <v>118.254</v>
      </c>
      <c r="E4721" s="2">
        <v>4.2</v>
      </c>
      <c r="F4721" s="2">
        <v>6</v>
      </c>
      <c r="G4721" s="2">
        <v>44.5944</v>
      </c>
      <c r="H4721" s="2">
        <v>52.810699999999997</v>
      </c>
      <c r="I4721" s="2">
        <v>0</v>
      </c>
      <c r="J4721" s="2">
        <v>0</v>
      </c>
    </row>
    <row r="4722" spans="1:10">
      <c r="A4722" s="2" t="s">
        <v>148</v>
      </c>
      <c r="B4722" s="2" t="s">
        <v>101</v>
      </c>
      <c r="C4722" s="2">
        <v>1.0007200000000001</v>
      </c>
      <c r="D4722" s="60">
        <v>0</v>
      </c>
      <c r="E4722" s="2">
        <v>0.3</v>
      </c>
      <c r="F4722" s="2">
        <v>3.9</v>
      </c>
      <c r="G4722" s="2">
        <v>52.810699999999997</v>
      </c>
      <c r="H4722" s="2">
        <v>65.400400000000005</v>
      </c>
      <c r="I4722" s="2">
        <v>0</v>
      </c>
      <c r="J4722" s="2">
        <v>0</v>
      </c>
    </row>
    <row r="4723" spans="1:10">
      <c r="A4723" s="2" t="s">
        <v>138</v>
      </c>
      <c r="B4723" s="2">
        <v>6</v>
      </c>
      <c r="C4723" s="2">
        <v>19.507999999999999</v>
      </c>
      <c r="D4723" s="60" t="s">
        <v>175</v>
      </c>
    </row>
    <row r="4724" spans="1:10">
      <c r="A4724" s="2" t="s">
        <v>140</v>
      </c>
      <c r="B4724" s="2">
        <v>0</v>
      </c>
      <c r="C4724" s="2">
        <v>50.9221</v>
      </c>
      <c r="D4724" s="60">
        <v>27.789400000000001</v>
      </c>
      <c r="E4724" s="2">
        <v>0</v>
      </c>
      <c r="F4724" s="2">
        <v>12.2</v>
      </c>
    </row>
    <row r="4725" spans="1:10">
      <c r="A4725" s="2" t="s">
        <v>141</v>
      </c>
      <c r="B4725" s="2">
        <v>0</v>
      </c>
      <c r="C4725" s="2">
        <v>4.5999999999999996</v>
      </c>
      <c r="D4725" s="60" t="s">
        <v>145</v>
      </c>
    </row>
    <row r="4726" spans="1:10">
      <c r="A4726" s="2" t="s">
        <v>141</v>
      </c>
      <c r="B4726" s="2">
        <v>0</v>
      </c>
      <c r="C4726" s="2">
        <v>4.5999999999999996</v>
      </c>
      <c r="D4726" s="60" t="s">
        <v>158</v>
      </c>
    </row>
    <row r="4727" spans="1:10">
      <c r="A4727" s="2" t="s">
        <v>141</v>
      </c>
      <c r="B4727" s="2">
        <v>0</v>
      </c>
      <c r="C4727" s="2">
        <v>9.8000000000000007</v>
      </c>
      <c r="D4727" s="60" t="s">
        <v>146</v>
      </c>
    </row>
    <row r="4728" spans="1:10">
      <c r="A4728" s="2" t="s">
        <v>141</v>
      </c>
      <c r="B4728" s="2">
        <v>4.5999999999999996</v>
      </c>
      <c r="C4728" s="2">
        <v>5</v>
      </c>
      <c r="D4728" s="60" t="s">
        <v>147</v>
      </c>
    </row>
    <row r="4729" spans="1:10">
      <c r="A4729" s="2" t="s">
        <v>141</v>
      </c>
      <c r="B4729" s="2">
        <v>4.5999999999999996</v>
      </c>
      <c r="C4729" s="2">
        <v>5</v>
      </c>
      <c r="D4729" s="60" t="s">
        <v>177</v>
      </c>
    </row>
    <row r="4730" spans="1:10">
      <c r="A4730" s="2" t="s">
        <v>141</v>
      </c>
      <c r="B4730" s="2">
        <v>5</v>
      </c>
      <c r="C4730" s="2">
        <v>9.1</v>
      </c>
      <c r="D4730" s="60" t="s">
        <v>144</v>
      </c>
    </row>
    <row r="4731" spans="1:10">
      <c r="A4731" s="2" t="s">
        <v>141</v>
      </c>
      <c r="B4731" s="2">
        <v>9.1</v>
      </c>
      <c r="C4731" s="2">
        <v>9.5</v>
      </c>
      <c r="D4731" s="60" t="s">
        <v>147</v>
      </c>
    </row>
    <row r="4732" spans="1:10">
      <c r="A4732" s="2" t="s">
        <v>141</v>
      </c>
      <c r="B4732" s="2">
        <v>9.5</v>
      </c>
      <c r="C4732" s="2">
        <v>21.372599999999998</v>
      </c>
      <c r="D4732" s="60" t="s">
        <v>151</v>
      </c>
    </row>
    <row r="4733" spans="1:10">
      <c r="A4733" s="2" t="s">
        <v>141</v>
      </c>
      <c r="B4733" s="2">
        <v>9.8000000000000007</v>
      </c>
      <c r="C4733" s="2">
        <v>10.199999999999999</v>
      </c>
      <c r="D4733" s="60" t="s">
        <v>159</v>
      </c>
    </row>
    <row r="4734" spans="1:10">
      <c r="A4734" s="2" t="s">
        <v>141</v>
      </c>
      <c r="B4734" s="2">
        <v>10.199999999999999</v>
      </c>
      <c r="C4734" s="2">
        <v>21.372599999999998</v>
      </c>
      <c r="D4734" s="60" t="s">
        <v>155</v>
      </c>
    </row>
    <row r="4735" spans="1:10">
      <c r="A4735" s="2" t="s">
        <v>148</v>
      </c>
      <c r="B4735" s="2" t="s">
        <v>99</v>
      </c>
      <c r="C4735" s="2">
        <v>6.2327100000000003E-2</v>
      </c>
      <c r="D4735" s="60">
        <v>0</v>
      </c>
      <c r="E4735" s="2">
        <v>0</v>
      </c>
      <c r="F4735" s="2">
        <v>0.3</v>
      </c>
      <c r="G4735" s="2">
        <v>50.265500000000003</v>
      </c>
      <c r="H4735" s="2">
        <v>52.685499999999998</v>
      </c>
      <c r="I4735" s="2">
        <v>0</v>
      </c>
      <c r="J4735" s="2">
        <v>0</v>
      </c>
    </row>
    <row r="4736" spans="1:10">
      <c r="A4736" s="2" t="s">
        <v>148</v>
      </c>
      <c r="B4736" s="2" t="s">
        <v>101</v>
      </c>
      <c r="C4736" s="2">
        <v>0.27168599999999998</v>
      </c>
      <c r="D4736" s="60">
        <v>0</v>
      </c>
      <c r="E4736" s="2">
        <v>9</v>
      </c>
      <c r="F4736" s="2">
        <v>3.2</v>
      </c>
      <c r="G4736" s="2">
        <v>30.568000000000001</v>
      </c>
      <c r="H4736" s="2">
        <v>34.998100000000001</v>
      </c>
      <c r="I4736" s="2">
        <v>0</v>
      </c>
      <c r="J4736" s="2">
        <v>0</v>
      </c>
    </row>
    <row r="4737" spans="1:10">
      <c r="A4737" s="2" t="s">
        <v>148</v>
      </c>
      <c r="B4737" s="2" t="s">
        <v>59</v>
      </c>
      <c r="C4737" s="2">
        <v>0.43828400000000001</v>
      </c>
      <c r="D4737" s="60">
        <v>43.828400000000002</v>
      </c>
      <c r="E4737" s="2">
        <v>5</v>
      </c>
      <c r="F4737" s="2">
        <v>4</v>
      </c>
      <c r="G4737" s="2">
        <v>34.998100000000001</v>
      </c>
      <c r="H4737" s="2">
        <v>39.523099999999999</v>
      </c>
      <c r="I4737" s="2">
        <v>0</v>
      </c>
      <c r="J4737" s="2">
        <v>0</v>
      </c>
    </row>
    <row r="4738" spans="1:10">
      <c r="A4738" s="2" t="s">
        <v>148</v>
      </c>
      <c r="B4738" s="2" t="s">
        <v>101</v>
      </c>
      <c r="C4738" s="2">
        <v>8.7514900000000007E-2</v>
      </c>
      <c r="D4738" s="60">
        <v>0</v>
      </c>
      <c r="E4738" s="2">
        <v>4.3</v>
      </c>
      <c r="F4738" s="2">
        <v>0.7</v>
      </c>
      <c r="G4738" s="2">
        <v>39.523099999999999</v>
      </c>
      <c r="H4738" s="2">
        <v>40.2744</v>
      </c>
      <c r="I4738" s="2">
        <v>0</v>
      </c>
      <c r="J4738" s="2">
        <v>0</v>
      </c>
    </row>
    <row r="4739" spans="1:10">
      <c r="A4739" s="2" t="s">
        <v>148</v>
      </c>
      <c r="B4739" s="2" t="s">
        <v>58</v>
      </c>
      <c r="C4739" s="2">
        <v>0.59964099999999998</v>
      </c>
      <c r="D4739" s="60">
        <v>62.962299999999999</v>
      </c>
      <c r="E4739" s="2">
        <v>0.3</v>
      </c>
      <c r="F4739" s="2">
        <v>4</v>
      </c>
      <c r="G4739" s="2">
        <v>40.2744</v>
      </c>
      <c r="H4739" s="2">
        <v>50.265500000000003</v>
      </c>
      <c r="I4739" s="2">
        <v>0</v>
      </c>
      <c r="J4739" s="2">
        <v>0</v>
      </c>
    </row>
    <row r="4740" spans="1:10">
      <c r="A4740" s="2" t="s">
        <v>138</v>
      </c>
      <c r="B4740" s="2">
        <v>7</v>
      </c>
      <c r="C4740" s="2">
        <v>19.740400000000001</v>
      </c>
      <c r="D4740" s="60" t="s">
        <v>139</v>
      </c>
    </row>
    <row r="4741" spans="1:10">
      <c r="A4741" s="2" t="s">
        <v>140</v>
      </c>
      <c r="B4741" s="2">
        <v>0</v>
      </c>
      <c r="C4741" s="2">
        <v>64.605800000000002</v>
      </c>
      <c r="D4741" s="60">
        <v>26.656700000000001</v>
      </c>
    </row>
    <row r="4742" spans="1:10">
      <c r="A4742" s="2" t="s">
        <v>141</v>
      </c>
      <c r="B4742" s="2">
        <v>0</v>
      </c>
      <c r="C4742" s="2">
        <v>1</v>
      </c>
      <c r="D4742" s="60" t="s">
        <v>158</v>
      </c>
    </row>
    <row r="4743" spans="1:10">
      <c r="A4743" s="2" t="s">
        <v>141</v>
      </c>
      <c r="B4743" s="2">
        <v>0</v>
      </c>
      <c r="C4743" s="2">
        <v>3.8</v>
      </c>
      <c r="D4743" s="60" t="s">
        <v>147</v>
      </c>
    </row>
    <row r="4744" spans="1:10">
      <c r="A4744" s="2" t="s">
        <v>141</v>
      </c>
      <c r="B4744" s="2">
        <v>0</v>
      </c>
      <c r="C4744" s="2">
        <v>20.6</v>
      </c>
      <c r="D4744" s="60" t="s">
        <v>146</v>
      </c>
    </row>
    <row r="4745" spans="1:10">
      <c r="A4745" s="2" t="s">
        <v>141</v>
      </c>
      <c r="B4745" s="2">
        <v>1</v>
      </c>
      <c r="C4745" s="2">
        <v>1.2</v>
      </c>
      <c r="D4745" s="60" t="s">
        <v>176</v>
      </c>
    </row>
    <row r="4746" spans="1:10">
      <c r="A4746" s="2" t="s">
        <v>141</v>
      </c>
      <c r="B4746" s="2">
        <v>1.2</v>
      </c>
      <c r="C4746" s="2">
        <v>2.2000000000000002</v>
      </c>
      <c r="D4746" s="60" t="s">
        <v>158</v>
      </c>
    </row>
    <row r="4747" spans="1:10">
      <c r="A4747" s="2" t="s">
        <v>141</v>
      </c>
      <c r="B4747" s="2">
        <v>2.2000000000000002</v>
      </c>
      <c r="C4747" s="2">
        <v>2.5</v>
      </c>
      <c r="D4747" s="60" t="s">
        <v>160</v>
      </c>
    </row>
    <row r="4748" spans="1:10">
      <c r="A4748" s="2" t="s">
        <v>141</v>
      </c>
      <c r="B4748" s="2">
        <v>2.5</v>
      </c>
      <c r="C4748" s="2">
        <v>3.52</v>
      </c>
      <c r="D4748" s="60" t="s">
        <v>158</v>
      </c>
    </row>
    <row r="4749" spans="1:10">
      <c r="A4749" s="2" t="s">
        <v>141</v>
      </c>
      <c r="B4749" s="2">
        <v>3.52</v>
      </c>
      <c r="C4749" s="2">
        <v>3.8</v>
      </c>
      <c r="D4749" s="60" t="s">
        <v>177</v>
      </c>
    </row>
    <row r="4750" spans="1:10">
      <c r="A4750" s="2" t="s">
        <v>141</v>
      </c>
      <c r="B4750" s="2">
        <v>3.8</v>
      </c>
      <c r="C4750" s="2">
        <v>3.9</v>
      </c>
      <c r="D4750" s="60" t="s">
        <v>158</v>
      </c>
    </row>
    <row r="4751" spans="1:10">
      <c r="A4751" s="2" t="s">
        <v>141</v>
      </c>
      <c r="B4751" s="2">
        <v>3.8</v>
      </c>
      <c r="C4751" s="2">
        <v>9.3000000000000007</v>
      </c>
      <c r="D4751" s="60" t="s">
        <v>145</v>
      </c>
    </row>
    <row r="4752" spans="1:10">
      <c r="A4752" s="2" t="s">
        <v>141</v>
      </c>
      <c r="B4752" s="2">
        <v>3.9</v>
      </c>
      <c r="C4752" s="2">
        <v>4.2</v>
      </c>
      <c r="D4752" s="60" t="s">
        <v>160</v>
      </c>
    </row>
    <row r="4753" spans="1:10">
      <c r="A4753" s="2" t="s">
        <v>141</v>
      </c>
      <c r="B4753" s="2">
        <v>9.3000000000000007</v>
      </c>
      <c r="C4753" s="2">
        <v>15.6</v>
      </c>
      <c r="D4753" s="60" t="s">
        <v>151</v>
      </c>
    </row>
    <row r="4754" spans="1:10">
      <c r="A4754" s="2" t="s">
        <v>141</v>
      </c>
      <c r="B4754" s="2">
        <v>15.6</v>
      </c>
      <c r="C4754" s="2">
        <v>17</v>
      </c>
      <c r="D4754" s="60" t="s">
        <v>145</v>
      </c>
    </row>
    <row r="4755" spans="1:10">
      <c r="A4755" s="2" t="s">
        <v>141</v>
      </c>
      <c r="B4755" s="2">
        <v>17</v>
      </c>
      <c r="C4755" s="2">
        <v>20.6</v>
      </c>
      <c r="D4755" s="60" t="s">
        <v>144</v>
      </c>
    </row>
    <row r="4756" spans="1:10">
      <c r="A4756" s="2" t="s">
        <v>148</v>
      </c>
      <c r="B4756" s="2" t="s">
        <v>99</v>
      </c>
      <c r="C4756" s="2">
        <v>9.5202499999999995E-2</v>
      </c>
      <c r="D4756" s="60">
        <v>0</v>
      </c>
      <c r="E4756" s="2">
        <v>0</v>
      </c>
      <c r="F4756" s="2">
        <v>0.3</v>
      </c>
      <c r="G4756" s="2">
        <v>62.070399999999999</v>
      </c>
      <c r="H4756" s="2">
        <v>65.176199999999994</v>
      </c>
      <c r="I4756" s="2">
        <v>0</v>
      </c>
      <c r="J4756" s="2">
        <v>0</v>
      </c>
    </row>
    <row r="4757" spans="1:10">
      <c r="A4757" s="2" t="s">
        <v>148</v>
      </c>
      <c r="B4757" s="2" t="s">
        <v>100</v>
      </c>
      <c r="C4757" s="2">
        <v>1.0559600000000001E-2</v>
      </c>
      <c r="D4757" s="60">
        <v>0</v>
      </c>
      <c r="E4757" s="2">
        <v>23.702200000000001</v>
      </c>
      <c r="F4757" s="2">
        <v>2.95452</v>
      </c>
      <c r="G4757" s="2">
        <v>0</v>
      </c>
      <c r="H4757" s="2">
        <v>10.000299999999999</v>
      </c>
      <c r="I4757" s="2">
        <v>0</v>
      </c>
      <c r="J4757" s="2">
        <v>0</v>
      </c>
    </row>
    <row r="4758" spans="1:10">
      <c r="A4758" s="2" t="s">
        <v>148</v>
      </c>
      <c r="B4758" s="2" t="s">
        <v>98</v>
      </c>
      <c r="C4758" s="2">
        <v>5.8134400000000003E-2</v>
      </c>
      <c r="D4758" s="60">
        <v>0</v>
      </c>
      <c r="E4758" s="2">
        <v>20.119499999999999</v>
      </c>
      <c r="F4758" s="2">
        <v>3.5827300000000002</v>
      </c>
      <c r="G4758" s="2">
        <v>10.000299999999999</v>
      </c>
      <c r="H4758" s="2">
        <v>18.4481</v>
      </c>
      <c r="I4758" s="2">
        <v>0</v>
      </c>
      <c r="J4758" s="2">
        <v>0</v>
      </c>
    </row>
    <row r="4759" spans="1:10">
      <c r="A4759" s="2" t="s">
        <v>148</v>
      </c>
      <c r="B4759" s="2" t="s">
        <v>101</v>
      </c>
      <c r="C4759" s="2">
        <v>1.48658E-2</v>
      </c>
      <c r="D4759" s="60">
        <v>0</v>
      </c>
      <c r="E4759" s="2">
        <v>19.600000000000001</v>
      </c>
      <c r="F4759" s="2">
        <v>0.51949100000000004</v>
      </c>
      <c r="G4759" s="2">
        <v>18.4481</v>
      </c>
      <c r="H4759" s="2">
        <v>19.721800000000002</v>
      </c>
      <c r="I4759" s="2">
        <v>0</v>
      </c>
      <c r="J4759" s="2">
        <v>0</v>
      </c>
    </row>
    <row r="4760" spans="1:10">
      <c r="A4760" s="2" t="s">
        <v>148</v>
      </c>
      <c r="B4760" s="2" t="s">
        <v>61</v>
      </c>
      <c r="C4760" s="2">
        <v>0.19273100000000001</v>
      </c>
      <c r="D4760" s="60">
        <v>16.382100000000001</v>
      </c>
      <c r="E4760" s="2">
        <v>15.6</v>
      </c>
      <c r="F4760" s="2">
        <v>4</v>
      </c>
      <c r="G4760" s="2">
        <v>19.721800000000002</v>
      </c>
      <c r="H4760" s="2">
        <v>29.410699999999999</v>
      </c>
      <c r="I4760" s="2">
        <v>0</v>
      </c>
      <c r="J4760" s="2">
        <v>0</v>
      </c>
    </row>
    <row r="4761" spans="1:10">
      <c r="A4761" s="2" t="s">
        <v>148</v>
      </c>
      <c r="B4761" s="2" t="s">
        <v>101</v>
      </c>
      <c r="C4761" s="2">
        <v>3.3428399999999997E-2</v>
      </c>
      <c r="D4761" s="60">
        <v>0</v>
      </c>
      <c r="E4761" s="2">
        <v>15.1259</v>
      </c>
      <c r="F4761" s="2">
        <v>0.47411900000000001</v>
      </c>
      <c r="G4761" s="2">
        <v>29.410699999999999</v>
      </c>
      <c r="H4761" s="2">
        <v>30.506900000000002</v>
      </c>
      <c r="I4761" s="2">
        <v>0</v>
      </c>
      <c r="J4761" s="2">
        <v>0</v>
      </c>
    </row>
    <row r="4762" spans="1:10">
      <c r="A4762" s="2" t="s">
        <v>148</v>
      </c>
      <c r="B4762" s="2" t="s">
        <v>62</v>
      </c>
      <c r="C4762" s="2">
        <v>0.64435799999999999</v>
      </c>
      <c r="D4762" s="60">
        <v>51.548699999999997</v>
      </c>
      <c r="E4762" s="2">
        <v>9.1258800000000004</v>
      </c>
      <c r="F4762" s="2">
        <v>6</v>
      </c>
      <c r="G4762" s="2">
        <v>30.506900000000002</v>
      </c>
      <c r="H4762" s="2">
        <v>42.485900000000001</v>
      </c>
      <c r="I4762" s="2">
        <v>0</v>
      </c>
      <c r="J4762" s="2">
        <v>0</v>
      </c>
    </row>
    <row r="4763" spans="1:10">
      <c r="A4763" s="2" t="s">
        <v>148</v>
      </c>
      <c r="B4763" s="2" t="s">
        <v>58</v>
      </c>
      <c r="C4763" s="2">
        <v>0.65326700000000004</v>
      </c>
      <c r="D4763" s="60">
        <v>68.593100000000007</v>
      </c>
      <c r="E4763" s="2">
        <v>5.1258800000000004</v>
      </c>
      <c r="F4763" s="2">
        <v>4</v>
      </c>
      <c r="G4763" s="2">
        <v>42.485900000000001</v>
      </c>
      <c r="H4763" s="2">
        <v>48.442100000000003</v>
      </c>
      <c r="I4763" s="2">
        <v>0</v>
      </c>
      <c r="J4763" s="2">
        <v>0</v>
      </c>
    </row>
    <row r="4764" spans="1:10">
      <c r="A4764" s="2" t="s">
        <v>148</v>
      </c>
      <c r="B4764" s="2" t="s">
        <v>64</v>
      </c>
      <c r="C4764" s="2">
        <v>0.742425</v>
      </c>
      <c r="D4764" s="60">
        <v>22.2728</v>
      </c>
      <c r="E4764" s="2">
        <v>1.5258799999999999</v>
      </c>
      <c r="F4764" s="2">
        <v>3.6</v>
      </c>
      <c r="G4764" s="2">
        <v>48.442100000000003</v>
      </c>
      <c r="H4764" s="2">
        <v>55</v>
      </c>
      <c r="I4764" s="2">
        <v>0</v>
      </c>
      <c r="J4764" s="2">
        <v>0</v>
      </c>
    </row>
    <row r="4765" spans="1:10">
      <c r="A4765" s="2" t="s">
        <v>148</v>
      </c>
      <c r="B4765" s="2" t="s">
        <v>101</v>
      </c>
      <c r="C4765" s="2">
        <v>0.32393699999999997</v>
      </c>
      <c r="D4765" s="60">
        <v>0</v>
      </c>
      <c r="E4765" s="2">
        <v>0.3</v>
      </c>
      <c r="F4765" s="2">
        <v>1.2258800000000001</v>
      </c>
      <c r="G4765" s="2">
        <v>55</v>
      </c>
      <c r="H4765" s="2">
        <v>62.070399999999999</v>
      </c>
      <c r="I4765" s="2">
        <v>0</v>
      </c>
      <c r="J4765" s="2">
        <v>0</v>
      </c>
    </row>
    <row r="4766" spans="1:10">
      <c r="A4766" s="2" t="s">
        <v>138</v>
      </c>
      <c r="B4766" s="2">
        <v>8</v>
      </c>
      <c r="C4766" s="2">
        <v>18.793900000000001</v>
      </c>
      <c r="D4766" s="60" t="s">
        <v>149</v>
      </c>
    </row>
    <row r="4767" spans="1:10">
      <c r="A4767" s="2" t="s">
        <v>140</v>
      </c>
      <c r="B4767" s="2">
        <v>0</v>
      </c>
      <c r="C4767" s="2">
        <v>38.4223</v>
      </c>
      <c r="D4767" s="60">
        <v>25.809699999999999</v>
      </c>
    </row>
    <row r="4768" spans="1:10">
      <c r="A4768" s="2" t="s">
        <v>141</v>
      </c>
      <c r="B4768" s="2">
        <v>0</v>
      </c>
      <c r="C4768" s="2">
        <v>2.4</v>
      </c>
      <c r="D4768" s="60" t="s">
        <v>158</v>
      </c>
    </row>
    <row r="4769" spans="1:10">
      <c r="A4769" s="2" t="s">
        <v>141</v>
      </c>
      <c r="B4769" s="2">
        <v>0</v>
      </c>
      <c r="C4769" s="2">
        <v>3.3</v>
      </c>
      <c r="D4769" s="60" t="s">
        <v>142</v>
      </c>
    </row>
    <row r="4770" spans="1:10">
      <c r="A4770" s="2" t="s">
        <v>141</v>
      </c>
      <c r="B4770" s="2">
        <v>0</v>
      </c>
      <c r="C4770" s="2">
        <v>10.8</v>
      </c>
      <c r="D4770" s="60" t="s">
        <v>155</v>
      </c>
    </row>
    <row r="4771" spans="1:10">
      <c r="A4771" s="2" t="s">
        <v>141</v>
      </c>
      <c r="B4771" s="2">
        <v>2.4</v>
      </c>
      <c r="C4771" s="2">
        <v>2.8</v>
      </c>
      <c r="D4771" s="60" t="s">
        <v>174</v>
      </c>
    </row>
    <row r="4772" spans="1:10">
      <c r="A4772" s="2" t="s">
        <v>141</v>
      </c>
      <c r="B4772" s="2">
        <v>3.3</v>
      </c>
      <c r="C4772" s="2">
        <v>10.1</v>
      </c>
      <c r="D4772" s="60" t="s">
        <v>144</v>
      </c>
    </row>
    <row r="4773" spans="1:10">
      <c r="A4773" s="2" t="s">
        <v>141</v>
      </c>
      <c r="B4773" s="2">
        <v>10.1</v>
      </c>
      <c r="C4773" s="2">
        <v>20.022200000000002</v>
      </c>
      <c r="D4773" s="60" t="s">
        <v>145</v>
      </c>
    </row>
    <row r="4774" spans="1:10">
      <c r="A4774" s="2" t="s">
        <v>141</v>
      </c>
      <c r="B4774" s="2">
        <v>10.8</v>
      </c>
      <c r="C4774" s="2">
        <v>20.022200000000002</v>
      </c>
      <c r="D4774" s="60" t="s">
        <v>161</v>
      </c>
    </row>
    <row r="4775" spans="1:10">
      <c r="A4775" s="2" t="s">
        <v>148</v>
      </c>
      <c r="B4775" s="2" t="s">
        <v>99</v>
      </c>
      <c r="C4775" s="2">
        <v>3.7467500000000001E-2</v>
      </c>
      <c r="D4775" s="60">
        <v>0</v>
      </c>
      <c r="E4775" s="2">
        <v>0</v>
      </c>
      <c r="F4775" s="2">
        <v>0.3</v>
      </c>
      <c r="G4775" s="2">
        <v>38.912799999999997</v>
      </c>
      <c r="H4775" s="2">
        <v>40.918799999999997</v>
      </c>
      <c r="I4775" s="2">
        <v>0</v>
      </c>
      <c r="J4775" s="2">
        <v>0</v>
      </c>
    </row>
    <row r="4776" spans="1:10">
      <c r="A4776" s="2" t="s">
        <v>148</v>
      </c>
      <c r="B4776" s="2" t="s">
        <v>100</v>
      </c>
      <c r="C4776" s="2">
        <v>1.7009099999999999E-2</v>
      </c>
      <c r="D4776" s="60">
        <v>0</v>
      </c>
      <c r="E4776" s="2">
        <v>20.485399999999998</v>
      </c>
      <c r="F4776" s="2">
        <v>5.3242399999999996</v>
      </c>
      <c r="G4776" s="2">
        <v>0</v>
      </c>
      <c r="H4776" s="2">
        <v>10</v>
      </c>
      <c r="I4776" s="2">
        <v>0</v>
      </c>
      <c r="J4776" s="2">
        <v>0</v>
      </c>
    </row>
    <row r="4777" spans="1:10">
      <c r="A4777" s="2" t="s">
        <v>148</v>
      </c>
      <c r="B4777" s="2" t="s">
        <v>98</v>
      </c>
      <c r="C4777" s="2">
        <v>1.3679E-2</v>
      </c>
      <c r="D4777" s="60">
        <v>0</v>
      </c>
      <c r="E4777" s="2">
        <v>19.078199999999999</v>
      </c>
      <c r="F4777" s="2">
        <v>1.4072199999999999</v>
      </c>
      <c r="G4777" s="2">
        <v>10</v>
      </c>
      <c r="H4777" s="2">
        <v>12.220800000000001</v>
      </c>
      <c r="I4777" s="2">
        <v>0</v>
      </c>
      <c r="J4777" s="2">
        <v>0</v>
      </c>
    </row>
    <row r="4778" spans="1:10">
      <c r="A4778" s="2" t="s">
        <v>148</v>
      </c>
      <c r="B4778" s="2" t="s">
        <v>101</v>
      </c>
      <c r="C4778" s="2">
        <v>0.232547</v>
      </c>
      <c r="D4778" s="60">
        <v>0</v>
      </c>
      <c r="E4778" s="2">
        <v>10.8</v>
      </c>
      <c r="F4778" s="2">
        <v>8.2782199999999992</v>
      </c>
      <c r="G4778" s="2">
        <v>12.220800000000001</v>
      </c>
      <c r="H4778" s="2">
        <v>24.404199999999999</v>
      </c>
      <c r="I4778" s="2">
        <v>0</v>
      </c>
      <c r="J4778" s="2">
        <v>0</v>
      </c>
    </row>
    <row r="4779" spans="1:10">
      <c r="A4779" s="2" t="s">
        <v>148</v>
      </c>
      <c r="B4779" s="2" t="s">
        <v>63</v>
      </c>
      <c r="C4779" s="2">
        <v>0.22386</v>
      </c>
      <c r="D4779" s="60">
        <v>15.670199999999999</v>
      </c>
      <c r="E4779" s="2">
        <v>6.8</v>
      </c>
      <c r="F4779" s="2">
        <v>4</v>
      </c>
      <c r="G4779" s="2">
        <v>24.404199999999999</v>
      </c>
      <c r="H4779" s="2">
        <v>28.737200000000001</v>
      </c>
      <c r="I4779" s="2">
        <v>0</v>
      </c>
      <c r="J4779" s="2">
        <v>0</v>
      </c>
    </row>
    <row r="4780" spans="1:10">
      <c r="A4780" s="2" t="s">
        <v>148</v>
      </c>
      <c r="B4780" s="2" t="s">
        <v>62</v>
      </c>
      <c r="C4780" s="2">
        <v>0.293875</v>
      </c>
      <c r="D4780" s="60">
        <v>23.51</v>
      </c>
      <c r="E4780" s="2">
        <v>2.8</v>
      </c>
      <c r="F4780" s="2">
        <v>4</v>
      </c>
      <c r="G4780" s="2">
        <v>28.737200000000001</v>
      </c>
      <c r="H4780" s="2">
        <v>32.467199999999998</v>
      </c>
      <c r="I4780" s="2">
        <v>0</v>
      </c>
      <c r="J4780" s="2">
        <v>0</v>
      </c>
    </row>
    <row r="4781" spans="1:10">
      <c r="A4781" s="2" t="s">
        <v>148</v>
      </c>
      <c r="B4781" s="2" t="s">
        <v>101</v>
      </c>
      <c r="C4781" s="2">
        <v>0.238261</v>
      </c>
      <c r="D4781" s="60">
        <v>0</v>
      </c>
      <c r="E4781" s="2">
        <v>0.3</v>
      </c>
      <c r="F4781" s="2">
        <v>2.5</v>
      </c>
      <c r="G4781" s="2">
        <v>32.467199999999998</v>
      </c>
      <c r="H4781" s="2">
        <v>38.912799999999997</v>
      </c>
      <c r="I4781" s="2">
        <v>0</v>
      </c>
      <c r="J4781" s="2">
        <v>0</v>
      </c>
    </row>
    <row r="4782" spans="1:10">
      <c r="A4782" s="2" t="s">
        <v>138</v>
      </c>
      <c r="B4782" s="2">
        <v>10</v>
      </c>
      <c r="C4782" s="2">
        <v>19.8261</v>
      </c>
      <c r="D4782" s="60" t="s">
        <v>175</v>
      </c>
    </row>
    <row r="4783" spans="1:10">
      <c r="A4783" s="2" t="s">
        <v>140</v>
      </c>
      <c r="B4783" s="2">
        <v>0</v>
      </c>
      <c r="C4783" s="2">
        <v>69.323499999999996</v>
      </c>
      <c r="D4783" s="60">
        <v>30.0077</v>
      </c>
      <c r="E4783" s="2">
        <v>0</v>
      </c>
      <c r="F4783" s="2">
        <v>13</v>
      </c>
    </row>
    <row r="4784" spans="1:10">
      <c r="A4784" s="2" t="s">
        <v>141</v>
      </c>
      <c r="B4784" s="2">
        <v>0</v>
      </c>
      <c r="C4784" s="2">
        <v>6.4</v>
      </c>
      <c r="D4784" s="60" t="s">
        <v>142</v>
      </c>
    </row>
    <row r="4785" spans="1:10">
      <c r="A4785" s="2" t="s">
        <v>141</v>
      </c>
      <c r="B4785" s="2">
        <v>0</v>
      </c>
      <c r="C4785" s="2">
        <v>6.4</v>
      </c>
      <c r="D4785" s="60" t="s">
        <v>158</v>
      </c>
    </row>
    <row r="4786" spans="1:10">
      <c r="A4786" s="2" t="s">
        <v>141</v>
      </c>
      <c r="B4786" s="2">
        <v>0</v>
      </c>
      <c r="C4786" s="2">
        <v>22.8858</v>
      </c>
      <c r="D4786" s="60" t="s">
        <v>146</v>
      </c>
    </row>
    <row r="4787" spans="1:10">
      <c r="A4787" s="2" t="s">
        <v>141</v>
      </c>
      <c r="B4787" s="2">
        <v>6.4</v>
      </c>
      <c r="C4787" s="2">
        <v>6.8</v>
      </c>
      <c r="D4787" s="60" t="s">
        <v>160</v>
      </c>
    </row>
    <row r="4788" spans="1:10">
      <c r="A4788" s="2" t="s">
        <v>141</v>
      </c>
      <c r="B4788" s="2">
        <v>6.4</v>
      </c>
      <c r="C4788" s="2">
        <v>12.7</v>
      </c>
      <c r="D4788" s="60" t="s">
        <v>145</v>
      </c>
    </row>
    <row r="4789" spans="1:10">
      <c r="A4789" s="2" t="s">
        <v>141</v>
      </c>
      <c r="B4789" s="2">
        <v>12.7</v>
      </c>
      <c r="C4789" s="2">
        <v>22.8858</v>
      </c>
      <c r="D4789" s="60" t="s">
        <v>147</v>
      </c>
    </row>
    <row r="4790" spans="1:10">
      <c r="A4790" s="2" t="s">
        <v>148</v>
      </c>
      <c r="B4790" s="2" t="s">
        <v>99</v>
      </c>
      <c r="C4790" s="2">
        <v>0.108816</v>
      </c>
      <c r="D4790" s="60">
        <v>0</v>
      </c>
      <c r="E4790" s="2">
        <v>0</v>
      </c>
      <c r="F4790" s="2">
        <v>0.3</v>
      </c>
      <c r="G4790" s="2">
        <v>66.516999999999996</v>
      </c>
      <c r="H4790" s="2">
        <v>69.498599999999996</v>
      </c>
      <c r="I4790" s="2">
        <v>0</v>
      </c>
      <c r="J4790" s="2">
        <v>0</v>
      </c>
    </row>
    <row r="4791" spans="1:10">
      <c r="A4791" s="2" t="s">
        <v>148</v>
      </c>
      <c r="B4791" s="2" t="s">
        <v>101</v>
      </c>
      <c r="C4791" s="2">
        <v>2.6182899999999999E-2</v>
      </c>
      <c r="D4791" s="60">
        <v>0</v>
      </c>
      <c r="E4791" s="2">
        <v>12.8</v>
      </c>
      <c r="F4791" s="2">
        <v>0.2</v>
      </c>
      <c r="G4791" s="2">
        <v>40.643799999999999</v>
      </c>
      <c r="H4791" s="2">
        <v>41.009500000000003</v>
      </c>
      <c r="I4791" s="2">
        <v>0</v>
      </c>
      <c r="J4791" s="2">
        <v>0</v>
      </c>
    </row>
    <row r="4792" spans="1:10">
      <c r="A4792" s="2" t="s">
        <v>148</v>
      </c>
      <c r="B4792" s="2" t="s">
        <v>58</v>
      </c>
      <c r="C4792" s="2">
        <v>0.99672400000000005</v>
      </c>
      <c r="D4792" s="60">
        <v>104.65600000000001</v>
      </c>
      <c r="E4792" s="2">
        <v>6.8</v>
      </c>
      <c r="F4792" s="2">
        <v>6</v>
      </c>
      <c r="G4792" s="2">
        <v>41.009500000000003</v>
      </c>
      <c r="H4792" s="2">
        <v>50.307899999999997</v>
      </c>
      <c r="I4792" s="2">
        <v>0</v>
      </c>
      <c r="J4792" s="2">
        <v>0</v>
      </c>
    </row>
    <row r="4793" spans="1:10">
      <c r="A4793" s="2" t="s">
        <v>148</v>
      </c>
      <c r="B4793" s="2" t="s">
        <v>101</v>
      </c>
      <c r="C4793" s="2">
        <v>8.0347600000000005E-2</v>
      </c>
      <c r="D4793" s="60">
        <v>0</v>
      </c>
      <c r="E4793" s="2">
        <v>6.4</v>
      </c>
      <c r="F4793" s="2">
        <v>0.4</v>
      </c>
      <c r="G4793" s="2">
        <v>50.307899999999997</v>
      </c>
      <c r="H4793" s="2">
        <v>50.834899999999998</v>
      </c>
      <c r="I4793" s="2">
        <v>0</v>
      </c>
      <c r="J4793" s="2">
        <v>0</v>
      </c>
    </row>
    <row r="4794" spans="1:10">
      <c r="A4794" s="2" t="s">
        <v>148</v>
      </c>
      <c r="B4794" s="2" t="s">
        <v>55</v>
      </c>
      <c r="C4794" s="2">
        <v>1.5078400000000001</v>
      </c>
      <c r="D4794" s="60">
        <v>218.637</v>
      </c>
      <c r="E4794" s="2">
        <v>0.3</v>
      </c>
      <c r="F4794" s="2">
        <v>6.1</v>
      </c>
      <c r="G4794" s="2">
        <v>50.834899999999998</v>
      </c>
      <c r="H4794" s="2">
        <v>66.516999999999996</v>
      </c>
      <c r="I4794" s="2">
        <v>0</v>
      </c>
      <c r="J4794" s="2">
        <v>0</v>
      </c>
    </row>
    <row r="4795" spans="1:10">
      <c r="A4795" s="2" t="s">
        <v>138</v>
      </c>
      <c r="B4795" s="2">
        <v>11</v>
      </c>
      <c r="C4795" s="2">
        <v>19.095800000000001</v>
      </c>
      <c r="D4795" s="60" t="s">
        <v>139</v>
      </c>
    </row>
    <row r="4796" spans="1:10">
      <c r="A4796" s="2" t="s">
        <v>140</v>
      </c>
      <c r="B4796" s="2">
        <v>0</v>
      </c>
      <c r="C4796" s="2">
        <v>44.764200000000002</v>
      </c>
      <c r="D4796" s="60">
        <v>23.724699999999999</v>
      </c>
    </row>
    <row r="4797" spans="1:10">
      <c r="A4797" s="2" t="s">
        <v>141</v>
      </c>
      <c r="B4797" s="2">
        <v>0</v>
      </c>
      <c r="C4797" s="2">
        <v>6.7</v>
      </c>
      <c r="D4797" s="60" t="s">
        <v>142</v>
      </c>
    </row>
    <row r="4798" spans="1:10">
      <c r="A4798" s="2" t="s">
        <v>141</v>
      </c>
      <c r="B4798" s="2">
        <v>0</v>
      </c>
      <c r="C4798" s="2">
        <v>11.8</v>
      </c>
      <c r="D4798" s="60" t="s">
        <v>146</v>
      </c>
    </row>
    <row r="4799" spans="1:10">
      <c r="A4799" s="2" t="s">
        <v>141</v>
      </c>
      <c r="B4799" s="2">
        <v>6.7</v>
      </c>
      <c r="C4799" s="2">
        <v>8</v>
      </c>
      <c r="D4799" s="60" t="s">
        <v>145</v>
      </c>
    </row>
    <row r="4800" spans="1:10">
      <c r="A4800" s="2" t="s">
        <v>141</v>
      </c>
      <c r="B4800" s="2">
        <v>8</v>
      </c>
      <c r="C4800" s="2">
        <v>8.5</v>
      </c>
      <c r="D4800" s="60" t="s">
        <v>151</v>
      </c>
    </row>
    <row r="4801" spans="1:10">
      <c r="A4801" s="2" t="s">
        <v>141</v>
      </c>
      <c r="B4801" s="2">
        <v>8.5</v>
      </c>
      <c r="C4801" s="2">
        <v>10.3</v>
      </c>
      <c r="D4801" s="60" t="s">
        <v>144</v>
      </c>
    </row>
    <row r="4802" spans="1:10">
      <c r="A4802" s="2" t="s">
        <v>141</v>
      </c>
      <c r="B4802" s="2">
        <v>10.3</v>
      </c>
      <c r="C4802" s="2">
        <v>11.8</v>
      </c>
      <c r="D4802" s="60" t="s">
        <v>147</v>
      </c>
    </row>
    <row r="4803" spans="1:10">
      <c r="A4803" s="2" t="s">
        <v>141</v>
      </c>
      <c r="B4803" s="2">
        <v>11.8</v>
      </c>
      <c r="C4803" s="2">
        <v>12.2</v>
      </c>
      <c r="D4803" s="60" t="s">
        <v>159</v>
      </c>
    </row>
    <row r="4804" spans="1:10">
      <c r="A4804" s="2" t="s">
        <v>141</v>
      </c>
      <c r="B4804" s="2">
        <v>11.8</v>
      </c>
      <c r="C4804" s="2">
        <v>18.600000000000001</v>
      </c>
      <c r="D4804" s="60" t="s">
        <v>144</v>
      </c>
    </row>
    <row r="4805" spans="1:10">
      <c r="A4805" s="2" t="s">
        <v>141</v>
      </c>
      <c r="B4805" s="2">
        <v>12.2</v>
      </c>
      <c r="C4805" s="2">
        <v>18.600000000000001</v>
      </c>
      <c r="D4805" s="60" t="s">
        <v>155</v>
      </c>
    </row>
    <row r="4806" spans="1:10">
      <c r="A4806" s="2" t="s">
        <v>148</v>
      </c>
      <c r="B4806" s="2" t="s">
        <v>99</v>
      </c>
      <c r="C4806" s="2">
        <v>4.9008900000000001E-2</v>
      </c>
      <c r="D4806" s="60">
        <v>0</v>
      </c>
      <c r="E4806" s="2">
        <v>0</v>
      </c>
      <c r="F4806" s="2">
        <v>0.3</v>
      </c>
      <c r="G4806" s="2">
        <v>44.422199999999997</v>
      </c>
      <c r="H4806" s="2">
        <v>46.896299999999997</v>
      </c>
      <c r="I4806" s="2">
        <v>0</v>
      </c>
      <c r="J4806" s="2">
        <v>0</v>
      </c>
    </row>
    <row r="4807" spans="1:10">
      <c r="A4807" s="2" t="s">
        <v>148</v>
      </c>
      <c r="B4807" s="2" t="s">
        <v>100</v>
      </c>
      <c r="C4807" s="2">
        <v>1.36644E-2</v>
      </c>
      <c r="D4807" s="60">
        <v>0</v>
      </c>
      <c r="E4807" s="2">
        <v>19.589700000000001</v>
      </c>
      <c r="F4807" s="2">
        <v>4.1350100000000003</v>
      </c>
      <c r="G4807" s="2">
        <v>0</v>
      </c>
      <c r="H4807" s="2">
        <v>10</v>
      </c>
      <c r="I4807" s="2">
        <v>0</v>
      </c>
      <c r="J4807" s="2">
        <v>0</v>
      </c>
    </row>
    <row r="4808" spans="1:10">
      <c r="A4808" s="2" t="s">
        <v>148</v>
      </c>
      <c r="B4808" s="2" t="s">
        <v>101</v>
      </c>
      <c r="C4808" s="2">
        <v>4.8144899999999997E-2</v>
      </c>
      <c r="D4808" s="60">
        <v>0</v>
      </c>
      <c r="E4808" s="2">
        <v>16.2</v>
      </c>
      <c r="F4808" s="2">
        <v>3.3897300000000001</v>
      </c>
      <c r="G4808" s="2">
        <v>10</v>
      </c>
      <c r="H4808" s="2">
        <v>16.663499999999999</v>
      </c>
      <c r="I4808" s="2">
        <v>0</v>
      </c>
      <c r="J4808" s="2">
        <v>0</v>
      </c>
    </row>
    <row r="4809" spans="1:10">
      <c r="A4809" s="2" t="s">
        <v>148</v>
      </c>
      <c r="B4809" s="2" t="s">
        <v>63</v>
      </c>
      <c r="C4809" s="2">
        <v>0.13384699999999999</v>
      </c>
      <c r="D4809" s="60">
        <v>9.3692600000000006</v>
      </c>
      <c r="E4809" s="2">
        <v>12.2</v>
      </c>
      <c r="F4809" s="2">
        <v>4</v>
      </c>
      <c r="G4809" s="2">
        <v>16.663499999999999</v>
      </c>
      <c r="H4809" s="2">
        <v>24.229600000000001</v>
      </c>
      <c r="I4809" s="2">
        <v>0</v>
      </c>
      <c r="J4809" s="2">
        <v>0</v>
      </c>
    </row>
    <row r="4810" spans="1:10">
      <c r="A4810" s="2" t="s">
        <v>148</v>
      </c>
      <c r="B4810" s="2" t="s">
        <v>101</v>
      </c>
      <c r="C4810" s="2">
        <v>9.97585E-2</v>
      </c>
      <c r="D4810" s="60">
        <v>0</v>
      </c>
      <c r="E4810" s="2">
        <v>10.3</v>
      </c>
      <c r="F4810" s="2">
        <v>1.9</v>
      </c>
      <c r="G4810" s="2">
        <v>24.229600000000001</v>
      </c>
      <c r="H4810" s="2">
        <v>27.391300000000001</v>
      </c>
      <c r="I4810" s="2">
        <v>0</v>
      </c>
      <c r="J4810" s="2">
        <v>0</v>
      </c>
    </row>
    <row r="4811" spans="1:10">
      <c r="A4811" s="2" t="s">
        <v>148</v>
      </c>
      <c r="B4811" s="2" t="s">
        <v>62</v>
      </c>
      <c r="C4811" s="2">
        <v>0.47043299999999999</v>
      </c>
      <c r="D4811" s="60">
        <v>37.634599999999999</v>
      </c>
      <c r="E4811" s="2">
        <v>4.3</v>
      </c>
      <c r="F4811" s="2">
        <v>6</v>
      </c>
      <c r="G4811" s="2">
        <v>27.391300000000001</v>
      </c>
      <c r="H4811" s="2">
        <v>35.145499999999998</v>
      </c>
      <c r="I4811" s="2">
        <v>0</v>
      </c>
      <c r="J4811" s="2">
        <v>0</v>
      </c>
    </row>
    <row r="4812" spans="1:10">
      <c r="A4812" s="2" t="s">
        <v>148</v>
      </c>
      <c r="B4812" s="2" t="s">
        <v>56</v>
      </c>
      <c r="C4812" s="2">
        <v>0.46100000000000002</v>
      </c>
      <c r="D4812" s="60">
        <v>64.540000000000006</v>
      </c>
      <c r="E4812" s="2">
        <v>0.3</v>
      </c>
      <c r="F4812" s="2">
        <v>4</v>
      </c>
      <c r="G4812" s="2">
        <v>35.145499999999998</v>
      </c>
      <c r="H4812" s="2">
        <v>44.422199999999997</v>
      </c>
      <c r="I4812" s="2">
        <v>0</v>
      </c>
      <c r="J4812" s="2">
        <v>0</v>
      </c>
    </row>
    <row r="4813" spans="1:10">
      <c r="A4813" s="2" t="s">
        <v>138</v>
      </c>
      <c r="B4813" s="2">
        <v>12</v>
      </c>
      <c r="C4813" s="2">
        <v>17.2959</v>
      </c>
      <c r="D4813" s="60" t="s">
        <v>149</v>
      </c>
    </row>
    <row r="4814" spans="1:10">
      <c r="A4814" s="2" t="s">
        <v>140</v>
      </c>
      <c r="B4814" s="2">
        <v>0</v>
      </c>
      <c r="C4814" s="2">
        <v>30.9</v>
      </c>
      <c r="D4814" s="60">
        <v>23.753799999999998</v>
      </c>
    </row>
    <row r="4815" spans="1:10">
      <c r="A4815" s="2" t="s">
        <v>141</v>
      </c>
      <c r="B4815" s="2">
        <v>0</v>
      </c>
      <c r="C4815" s="2">
        <v>1.4</v>
      </c>
      <c r="D4815" s="60" t="s">
        <v>152</v>
      </c>
    </row>
    <row r="4816" spans="1:10">
      <c r="A4816" s="2" t="s">
        <v>141</v>
      </c>
      <c r="B4816" s="2">
        <v>0</v>
      </c>
      <c r="C4816" s="2">
        <v>6.9</v>
      </c>
      <c r="D4816" s="60" t="s">
        <v>142</v>
      </c>
    </row>
    <row r="4817" spans="1:10">
      <c r="A4817" s="2" t="s">
        <v>141</v>
      </c>
      <c r="B4817" s="2">
        <v>1.4</v>
      </c>
      <c r="C4817" s="2">
        <v>5.6</v>
      </c>
      <c r="D4817" s="60" t="s">
        <v>146</v>
      </c>
    </row>
    <row r="4818" spans="1:10">
      <c r="A4818" s="2" t="s">
        <v>141</v>
      </c>
      <c r="B4818" s="2">
        <v>5.6</v>
      </c>
      <c r="C4818" s="2">
        <v>8.1999999999999993</v>
      </c>
      <c r="D4818" s="60" t="s">
        <v>155</v>
      </c>
    </row>
    <row r="4819" spans="1:10">
      <c r="A4819" s="2" t="s">
        <v>141</v>
      </c>
      <c r="B4819" s="2">
        <v>6.9</v>
      </c>
      <c r="C4819" s="2">
        <v>18.619800000000001</v>
      </c>
      <c r="D4819" s="60" t="s">
        <v>144</v>
      </c>
    </row>
    <row r="4820" spans="1:10">
      <c r="A4820" s="2" t="s">
        <v>141</v>
      </c>
      <c r="B4820" s="2">
        <v>8.1999999999999993</v>
      </c>
      <c r="C4820" s="2">
        <v>18.619800000000001</v>
      </c>
      <c r="D4820" s="60" t="s">
        <v>161</v>
      </c>
    </row>
    <row r="4821" spans="1:10">
      <c r="A4821" s="2" t="s">
        <v>148</v>
      </c>
      <c r="B4821" s="2" t="s">
        <v>99</v>
      </c>
      <c r="C4821" s="2">
        <v>2.5238099999999999E-2</v>
      </c>
      <c r="D4821" s="60">
        <v>0</v>
      </c>
      <c r="E4821" s="2">
        <v>0</v>
      </c>
      <c r="F4821" s="2">
        <v>0.3</v>
      </c>
      <c r="G4821" s="2">
        <v>31.878799999999998</v>
      </c>
      <c r="H4821" s="2">
        <v>33.652299999999997</v>
      </c>
      <c r="I4821" s="2">
        <v>0</v>
      </c>
      <c r="J4821" s="2">
        <v>0</v>
      </c>
    </row>
    <row r="4822" spans="1:10">
      <c r="A4822" s="2" t="s">
        <v>148</v>
      </c>
      <c r="B4822" s="2" t="s">
        <v>100</v>
      </c>
      <c r="C4822" s="2">
        <v>1.88224E-2</v>
      </c>
      <c r="D4822" s="60">
        <v>0</v>
      </c>
      <c r="E4822" s="2">
        <v>17.594100000000001</v>
      </c>
      <c r="F4822" s="2">
        <v>6.1596900000000003</v>
      </c>
      <c r="G4822" s="2">
        <v>0</v>
      </c>
      <c r="H4822" s="2">
        <v>10</v>
      </c>
      <c r="I4822" s="2">
        <v>0</v>
      </c>
      <c r="J4822" s="2">
        <v>0</v>
      </c>
    </row>
    <row r="4823" spans="1:10">
      <c r="A4823" s="2" t="s">
        <v>148</v>
      </c>
      <c r="B4823" s="2" t="s">
        <v>101</v>
      </c>
      <c r="C4823" s="2">
        <v>0.23638500000000001</v>
      </c>
      <c r="D4823" s="60">
        <v>0</v>
      </c>
      <c r="E4823" s="2">
        <v>7.4</v>
      </c>
      <c r="F4823" s="2">
        <v>10.194100000000001</v>
      </c>
      <c r="G4823" s="2">
        <v>10</v>
      </c>
      <c r="H4823" s="2">
        <v>22.6264</v>
      </c>
      <c r="I4823" s="2">
        <v>0</v>
      </c>
      <c r="J4823" s="2">
        <v>0</v>
      </c>
    </row>
    <row r="4824" spans="1:10">
      <c r="A4824" s="2" t="s">
        <v>148</v>
      </c>
      <c r="B4824" s="2" t="s">
        <v>63</v>
      </c>
      <c r="C4824" s="2">
        <v>0.30046499999999998</v>
      </c>
      <c r="D4824" s="60">
        <v>21.032499999999999</v>
      </c>
      <c r="E4824" s="2">
        <v>1.4</v>
      </c>
      <c r="F4824" s="2">
        <v>6</v>
      </c>
      <c r="G4824" s="2">
        <v>22.6264</v>
      </c>
      <c r="H4824" s="2">
        <v>28.318200000000001</v>
      </c>
      <c r="I4824" s="2">
        <v>0</v>
      </c>
      <c r="J4824" s="2">
        <v>0</v>
      </c>
    </row>
    <row r="4825" spans="1:10">
      <c r="A4825" s="2" t="s">
        <v>148</v>
      </c>
      <c r="B4825" s="2" t="s">
        <v>101</v>
      </c>
      <c r="C4825" s="2">
        <v>7.6878500000000002E-2</v>
      </c>
      <c r="D4825" s="60">
        <v>0</v>
      </c>
      <c r="E4825" s="2">
        <v>0.3</v>
      </c>
      <c r="F4825" s="2">
        <v>1.1000000000000001</v>
      </c>
      <c r="G4825" s="2">
        <v>28.318200000000001</v>
      </c>
      <c r="H4825" s="2">
        <v>31.878799999999998</v>
      </c>
      <c r="I4825" s="2">
        <v>0</v>
      </c>
      <c r="J4825" s="2">
        <v>0</v>
      </c>
    </row>
    <row r="4826" spans="1:10">
      <c r="A4826" s="2" t="s">
        <v>138</v>
      </c>
      <c r="B4826" s="2">
        <v>13</v>
      </c>
      <c r="C4826" s="2">
        <v>18.778199999999998</v>
      </c>
      <c r="D4826" s="60" t="s">
        <v>149</v>
      </c>
    </row>
    <row r="4827" spans="1:10">
      <c r="A4827" s="2" t="s">
        <v>140</v>
      </c>
      <c r="B4827" s="2">
        <v>0</v>
      </c>
      <c r="C4827" s="2">
        <v>38.272799999999997</v>
      </c>
      <c r="D4827" s="60">
        <v>25.780999999999999</v>
      </c>
    </row>
    <row r="4828" spans="1:10">
      <c r="A4828" s="2" t="s">
        <v>141</v>
      </c>
      <c r="B4828" s="2">
        <v>0</v>
      </c>
      <c r="C4828" s="2">
        <v>6.1</v>
      </c>
      <c r="D4828" s="60" t="s">
        <v>142</v>
      </c>
    </row>
    <row r="4829" spans="1:10">
      <c r="A4829" s="2" t="s">
        <v>141</v>
      </c>
      <c r="B4829" s="2">
        <v>0</v>
      </c>
      <c r="C4829" s="2">
        <v>6.1</v>
      </c>
      <c r="D4829" s="60" t="s">
        <v>155</v>
      </c>
    </row>
    <row r="4830" spans="1:10">
      <c r="A4830" s="2" t="s">
        <v>141</v>
      </c>
      <c r="B4830" s="2">
        <v>6.1</v>
      </c>
      <c r="C4830" s="2">
        <v>6.4</v>
      </c>
      <c r="D4830" s="60" t="s">
        <v>153</v>
      </c>
    </row>
    <row r="4831" spans="1:10">
      <c r="A4831" s="2" t="s">
        <v>141</v>
      </c>
      <c r="B4831" s="2">
        <v>6.1</v>
      </c>
      <c r="C4831" s="2">
        <v>6.4</v>
      </c>
      <c r="D4831" s="60" t="s">
        <v>154</v>
      </c>
    </row>
    <row r="4832" spans="1:10">
      <c r="A4832" s="2" t="s">
        <v>141</v>
      </c>
      <c r="B4832" s="2">
        <v>6.1</v>
      </c>
      <c r="C4832" s="2">
        <v>7.5</v>
      </c>
      <c r="D4832" s="60" t="s">
        <v>152</v>
      </c>
    </row>
    <row r="4833" spans="1:10">
      <c r="A4833" s="2" t="s">
        <v>141</v>
      </c>
      <c r="B4833" s="2">
        <v>6.1</v>
      </c>
      <c r="C4833" s="2">
        <v>20.002600000000001</v>
      </c>
      <c r="D4833" s="60" t="s">
        <v>144</v>
      </c>
    </row>
    <row r="4834" spans="1:10">
      <c r="A4834" s="2" t="s">
        <v>141</v>
      </c>
      <c r="B4834" s="2">
        <v>7.5</v>
      </c>
      <c r="C4834" s="2">
        <v>20.002600000000001</v>
      </c>
      <c r="D4834" s="60" t="s">
        <v>155</v>
      </c>
    </row>
    <row r="4835" spans="1:10">
      <c r="A4835" s="2" t="s">
        <v>156</v>
      </c>
      <c r="B4835" s="2">
        <v>6.1</v>
      </c>
      <c r="C4835" s="2">
        <v>32.3765</v>
      </c>
    </row>
    <row r="4836" spans="1:10">
      <c r="A4836" s="2" t="s">
        <v>148</v>
      </c>
      <c r="B4836" s="2" t="s">
        <v>99</v>
      </c>
      <c r="C4836" s="2">
        <v>3.72042E-2</v>
      </c>
      <c r="D4836" s="60">
        <v>0</v>
      </c>
      <c r="E4836" s="2">
        <v>0</v>
      </c>
      <c r="F4836" s="2">
        <v>0.3</v>
      </c>
      <c r="G4836" s="2">
        <v>38.774900000000002</v>
      </c>
      <c r="H4836" s="2">
        <v>40.775799999999997</v>
      </c>
      <c r="I4836" s="2">
        <v>0</v>
      </c>
      <c r="J4836" s="2">
        <v>0</v>
      </c>
    </row>
    <row r="4837" spans="1:10">
      <c r="A4837" s="2" t="s">
        <v>148</v>
      </c>
      <c r="B4837" s="2" t="s">
        <v>100</v>
      </c>
      <c r="C4837" s="2">
        <v>1.9638800000000001E-2</v>
      </c>
      <c r="D4837" s="60">
        <v>0</v>
      </c>
      <c r="E4837" s="2">
        <v>19.4115</v>
      </c>
      <c r="F4837" s="2">
        <v>6.3694699999999997</v>
      </c>
      <c r="G4837" s="2">
        <v>0</v>
      </c>
      <c r="H4837" s="2">
        <v>10</v>
      </c>
      <c r="I4837" s="2">
        <v>0</v>
      </c>
      <c r="J4837" s="2">
        <v>0</v>
      </c>
    </row>
    <row r="4838" spans="1:10">
      <c r="A4838" s="2" t="s">
        <v>148</v>
      </c>
      <c r="B4838" s="2" t="s">
        <v>98</v>
      </c>
      <c r="C4838" s="2">
        <v>6.3601699999999997E-2</v>
      </c>
      <c r="D4838" s="60">
        <v>0</v>
      </c>
      <c r="E4838" s="2">
        <v>14.8035</v>
      </c>
      <c r="F4838" s="2">
        <v>4.6079999999999997</v>
      </c>
      <c r="G4838" s="2">
        <v>10</v>
      </c>
      <c r="H4838" s="2">
        <v>16.207100000000001</v>
      </c>
      <c r="I4838" s="2">
        <v>0</v>
      </c>
      <c r="J4838" s="2">
        <v>0</v>
      </c>
    </row>
    <row r="4839" spans="1:10">
      <c r="A4839" s="2" t="s">
        <v>148</v>
      </c>
      <c r="B4839" s="2" t="s">
        <v>101</v>
      </c>
      <c r="C4839" s="2">
        <v>2.9718999999999999E-2</v>
      </c>
      <c r="D4839" s="60">
        <v>0</v>
      </c>
      <c r="E4839" s="2">
        <v>13.5</v>
      </c>
      <c r="F4839" s="2">
        <v>1.30348</v>
      </c>
      <c r="G4839" s="2">
        <v>16.207100000000001</v>
      </c>
      <c r="H4839" s="2">
        <v>17.841999999999999</v>
      </c>
      <c r="I4839" s="2">
        <v>0</v>
      </c>
      <c r="J4839" s="2">
        <v>0</v>
      </c>
    </row>
    <row r="4840" spans="1:10">
      <c r="A4840" s="2" t="s">
        <v>148</v>
      </c>
      <c r="B4840" s="2" t="s">
        <v>63</v>
      </c>
      <c r="C4840" s="2">
        <v>0.212142</v>
      </c>
      <c r="D4840" s="60">
        <v>14.8499</v>
      </c>
      <c r="E4840" s="2">
        <v>7.5</v>
      </c>
      <c r="F4840" s="2">
        <v>6</v>
      </c>
      <c r="G4840" s="2">
        <v>17.841999999999999</v>
      </c>
      <c r="H4840" s="2">
        <v>24.062799999999999</v>
      </c>
      <c r="I4840" s="2">
        <v>0</v>
      </c>
      <c r="J4840" s="2">
        <v>0</v>
      </c>
    </row>
    <row r="4841" spans="1:10">
      <c r="A4841" s="2" t="s">
        <v>148</v>
      </c>
      <c r="B4841" s="2" t="s">
        <v>101</v>
      </c>
      <c r="C4841" s="2">
        <v>0.19481100000000001</v>
      </c>
      <c r="D4841" s="60">
        <v>0</v>
      </c>
      <c r="E4841" s="2">
        <v>4.3</v>
      </c>
      <c r="F4841" s="2">
        <v>3.2</v>
      </c>
      <c r="G4841" s="2">
        <v>24.062799999999999</v>
      </c>
      <c r="H4841" s="2">
        <v>30.8901</v>
      </c>
      <c r="I4841" s="2">
        <v>0</v>
      </c>
      <c r="J4841" s="2">
        <v>0</v>
      </c>
    </row>
    <row r="4842" spans="1:10">
      <c r="A4842" s="2" t="s">
        <v>148</v>
      </c>
      <c r="B4842" s="2" t="s">
        <v>62</v>
      </c>
      <c r="C4842" s="2">
        <v>0.35415600000000003</v>
      </c>
      <c r="D4842" s="60">
        <v>28.3325</v>
      </c>
      <c r="E4842" s="2">
        <v>0.3</v>
      </c>
      <c r="F4842" s="2">
        <v>4</v>
      </c>
      <c r="G4842" s="2">
        <v>30.8901</v>
      </c>
      <c r="H4842" s="2">
        <v>38.774900000000002</v>
      </c>
      <c r="I4842" s="2">
        <v>0</v>
      </c>
      <c r="J4842" s="2">
        <v>0</v>
      </c>
    </row>
    <row r="4843" spans="1:10">
      <c r="A4843" s="2" t="s">
        <v>140</v>
      </c>
      <c r="B4843" s="2">
        <v>1</v>
      </c>
      <c r="C4843" s="2">
        <v>18.128399999999999</v>
      </c>
      <c r="D4843" s="60">
        <v>25.780999999999999</v>
      </c>
      <c r="E4843" s="2">
        <v>6.1</v>
      </c>
    </row>
    <row r="4844" spans="1:10">
      <c r="A4844" s="2" t="s">
        <v>141</v>
      </c>
      <c r="B4844" s="2">
        <v>6.1</v>
      </c>
      <c r="C4844" s="2">
        <v>6.4</v>
      </c>
      <c r="D4844" s="60" t="s">
        <v>153</v>
      </c>
    </row>
    <row r="4845" spans="1:10">
      <c r="A4845" s="2" t="s">
        <v>141</v>
      </c>
      <c r="B4845" s="2">
        <v>6.1</v>
      </c>
      <c r="C4845" s="2">
        <v>20.002600000000001</v>
      </c>
      <c r="D4845" s="60" t="s">
        <v>144</v>
      </c>
    </row>
    <row r="4846" spans="1:10">
      <c r="A4846" s="2" t="s">
        <v>141</v>
      </c>
      <c r="B4846" s="2">
        <v>6.1</v>
      </c>
      <c r="C4846" s="2">
        <v>20.002600000000001</v>
      </c>
      <c r="D4846" s="60" t="s">
        <v>152</v>
      </c>
    </row>
    <row r="4847" spans="1:10">
      <c r="A4847" s="2" t="s">
        <v>148</v>
      </c>
      <c r="B4847" s="2" t="s">
        <v>100</v>
      </c>
      <c r="C4847" s="2">
        <v>3.3036599999999999E-2</v>
      </c>
      <c r="D4847" s="60">
        <v>0</v>
      </c>
      <c r="E4847" s="2">
        <v>14.3322</v>
      </c>
      <c r="F4847" s="2">
        <v>11.448700000000001</v>
      </c>
      <c r="G4847" s="2">
        <v>0</v>
      </c>
      <c r="H4847" s="2">
        <v>10</v>
      </c>
      <c r="I4847" s="2">
        <v>0</v>
      </c>
      <c r="J4847" s="2">
        <v>0</v>
      </c>
    </row>
    <row r="4848" spans="1:10">
      <c r="A4848" s="2" t="s">
        <v>148</v>
      </c>
      <c r="B4848" s="2" t="s">
        <v>101</v>
      </c>
      <c r="C4848" s="2">
        <v>2.53525E-4</v>
      </c>
      <c r="D4848" s="60">
        <v>0</v>
      </c>
      <c r="E4848" s="2">
        <v>14.3</v>
      </c>
      <c r="F4848" s="2">
        <v>3.22017E-2</v>
      </c>
      <c r="G4848" s="2">
        <v>10</v>
      </c>
      <c r="H4848" s="2">
        <v>10.0242</v>
      </c>
      <c r="I4848" s="2">
        <v>0</v>
      </c>
      <c r="J4848" s="2">
        <v>0</v>
      </c>
    </row>
    <row r="4849" spans="1:10">
      <c r="A4849" s="2" t="s">
        <v>148</v>
      </c>
      <c r="B4849" s="2" t="s">
        <v>64</v>
      </c>
      <c r="C4849" s="2">
        <v>3.6286699999999998E-2</v>
      </c>
      <c r="D4849" s="60">
        <v>1.0886</v>
      </c>
      <c r="E4849" s="2">
        <v>10.7</v>
      </c>
      <c r="F4849" s="2">
        <v>3.6</v>
      </c>
      <c r="G4849" s="2">
        <v>10.0242</v>
      </c>
      <c r="H4849" s="2">
        <v>12.511100000000001</v>
      </c>
      <c r="I4849" s="2">
        <v>0</v>
      </c>
      <c r="J4849" s="2">
        <v>0</v>
      </c>
    </row>
    <row r="4850" spans="1:10">
      <c r="A4850" s="2" t="s">
        <v>148</v>
      </c>
      <c r="B4850" s="2" t="s">
        <v>64</v>
      </c>
      <c r="C4850" s="2">
        <v>6.3893800000000001E-2</v>
      </c>
      <c r="D4850" s="60">
        <v>1.9168099999999999</v>
      </c>
      <c r="E4850" s="2">
        <v>6.4</v>
      </c>
      <c r="F4850" s="2">
        <v>4.3</v>
      </c>
      <c r="G4850" s="2">
        <v>12.511100000000001</v>
      </c>
      <c r="H4850" s="2">
        <v>14.856299999999999</v>
      </c>
      <c r="I4850" s="2">
        <v>0</v>
      </c>
      <c r="J4850" s="2">
        <v>0</v>
      </c>
    </row>
    <row r="4851" spans="1:10">
      <c r="A4851" s="2" t="s">
        <v>148</v>
      </c>
      <c r="B4851" s="2" t="s">
        <v>101</v>
      </c>
      <c r="C4851" s="2">
        <v>5.2502E-3</v>
      </c>
      <c r="D4851" s="60">
        <v>0</v>
      </c>
      <c r="E4851" s="2">
        <v>6.1</v>
      </c>
      <c r="F4851" s="2">
        <v>0.3</v>
      </c>
      <c r="G4851" s="2">
        <v>14.856299999999999</v>
      </c>
      <c r="H4851" s="2">
        <v>14.9979</v>
      </c>
      <c r="I4851" s="2">
        <v>0</v>
      </c>
      <c r="J4851" s="2">
        <v>0</v>
      </c>
    </row>
    <row r="4852" spans="1:10">
      <c r="A4852" s="2" t="s">
        <v>138</v>
      </c>
      <c r="B4852" s="2">
        <v>14</v>
      </c>
      <c r="C4852" s="2">
        <v>19.544499999999999</v>
      </c>
      <c r="D4852" s="60" t="s">
        <v>149</v>
      </c>
    </row>
    <row r="4853" spans="1:10">
      <c r="A4853" s="2" t="s">
        <v>140</v>
      </c>
      <c r="B4853" s="2">
        <v>0</v>
      </c>
      <c r="C4853" s="2">
        <v>52.129199999999997</v>
      </c>
      <c r="D4853" s="60">
        <v>27.958300000000001</v>
      </c>
    </row>
    <row r="4854" spans="1:10">
      <c r="A4854" s="2" t="s">
        <v>141</v>
      </c>
      <c r="B4854" s="2">
        <v>0</v>
      </c>
      <c r="C4854" s="2">
        <v>6.6</v>
      </c>
      <c r="D4854" s="60" t="s">
        <v>142</v>
      </c>
    </row>
    <row r="4855" spans="1:10">
      <c r="A4855" s="2" t="s">
        <v>141</v>
      </c>
      <c r="B4855" s="2">
        <v>0</v>
      </c>
      <c r="C4855" s="2">
        <v>12.7</v>
      </c>
      <c r="D4855" s="60" t="s">
        <v>146</v>
      </c>
    </row>
    <row r="4856" spans="1:10">
      <c r="A4856" s="2" t="s">
        <v>141</v>
      </c>
      <c r="B4856" s="2">
        <v>6.6</v>
      </c>
      <c r="C4856" s="2">
        <v>8.4</v>
      </c>
      <c r="D4856" s="60" t="s">
        <v>144</v>
      </c>
    </row>
    <row r="4857" spans="1:10">
      <c r="A4857" s="2" t="s">
        <v>141</v>
      </c>
      <c r="B4857" s="2">
        <v>8.4</v>
      </c>
      <c r="C4857" s="2">
        <v>8.8000000000000007</v>
      </c>
      <c r="D4857" s="60" t="s">
        <v>145</v>
      </c>
    </row>
    <row r="4858" spans="1:10">
      <c r="A4858" s="2" t="s">
        <v>141</v>
      </c>
      <c r="B4858" s="2">
        <v>8.8000000000000007</v>
      </c>
      <c r="C4858" s="2">
        <v>12.7</v>
      </c>
      <c r="D4858" s="60" t="s">
        <v>144</v>
      </c>
    </row>
    <row r="4859" spans="1:10">
      <c r="A4859" s="2" t="s">
        <v>141</v>
      </c>
      <c r="B4859" s="2">
        <v>12.7</v>
      </c>
      <c r="C4859" s="2">
        <v>13</v>
      </c>
      <c r="D4859" s="60" t="s">
        <v>154</v>
      </c>
    </row>
    <row r="4860" spans="1:10">
      <c r="A4860" s="2" t="s">
        <v>141</v>
      </c>
      <c r="B4860" s="2">
        <v>12.7</v>
      </c>
      <c r="C4860" s="2">
        <v>13</v>
      </c>
      <c r="D4860" s="60" t="s">
        <v>151</v>
      </c>
    </row>
    <row r="4861" spans="1:10">
      <c r="A4861" s="2" t="s">
        <v>141</v>
      </c>
      <c r="B4861" s="2">
        <v>12.7</v>
      </c>
      <c r="C4861" s="2">
        <v>13</v>
      </c>
      <c r="D4861" s="60" t="s">
        <v>159</v>
      </c>
    </row>
    <row r="4862" spans="1:10">
      <c r="A4862" s="2" t="s">
        <v>141</v>
      </c>
      <c r="B4862" s="2">
        <v>13</v>
      </c>
      <c r="C4862" s="2">
        <v>21.4878</v>
      </c>
      <c r="D4862" s="60" t="s">
        <v>144</v>
      </c>
    </row>
    <row r="4863" spans="1:10">
      <c r="A4863" s="2" t="s">
        <v>141</v>
      </c>
      <c r="B4863" s="2">
        <v>13</v>
      </c>
      <c r="C4863" s="2">
        <v>21.4878</v>
      </c>
      <c r="D4863" s="60" t="s">
        <v>155</v>
      </c>
    </row>
    <row r="4864" spans="1:10">
      <c r="A4864" s="2" t="s">
        <v>156</v>
      </c>
      <c r="B4864" s="2">
        <v>12.7</v>
      </c>
      <c r="C4864" s="2">
        <v>22.4466</v>
      </c>
    </row>
    <row r="4865" spans="1:10">
      <c r="A4865" s="2" t="s">
        <v>148</v>
      </c>
      <c r="B4865" s="2" t="s">
        <v>99</v>
      </c>
      <c r="C4865" s="2">
        <v>6.5022200000000002E-2</v>
      </c>
      <c r="D4865" s="60">
        <v>0</v>
      </c>
      <c r="E4865" s="2">
        <v>0</v>
      </c>
      <c r="F4865" s="2">
        <v>0.3</v>
      </c>
      <c r="G4865" s="2">
        <v>51.347000000000001</v>
      </c>
      <c r="H4865" s="2">
        <v>53.805199999999999</v>
      </c>
      <c r="I4865" s="2">
        <v>0</v>
      </c>
      <c r="J4865" s="2">
        <v>0</v>
      </c>
    </row>
    <row r="4866" spans="1:10">
      <c r="A4866" s="2" t="s">
        <v>148</v>
      </c>
      <c r="B4866" s="2" t="s">
        <v>100</v>
      </c>
      <c r="C4866" s="2">
        <v>2.9131500000000001E-2</v>
      </c>
      <c r="D4866" s="60">
        <v>0</v>
      </c>
      <c r="E4866" s="2">
        <v>17.972999999999999</v>
      </c>
      <c r="F4866" s="2">
        <v>9.9852299999999996</v>
      </c>
      <c r="G4866" s="2">
        <v>0</v>
      </c>
      <c r="H4866" s="2">
        <v>10</v>
      </c>
      <c r="I4866" s="2">
        <v>0</v>
      </c>
      <c r="J4866" s="2">
        <v>0</v>
      </c>
    </row>
    <row r="4867" spans="1:10">
      <c r="A4867" s="2" t="s">
        <v>148</v>
      </c>
      <c r="B4867" s="2" t="s">
        <v>101</v>
      </c>
      <c r="C4867" s="2">
        <v>5.7728499999999997E-4</v>
      </c>
      <c r="D4867" s="60">
        <v>0</v>
      </c>
      <c r="E4867" s="2">
        <v>17.899999999999999</v>
      </c>
      <c r="F4867" s="2">
        <v>7.3023900000000003E-2</v>
      </c>
      <c r="G4867" s="2">
        <v>10</v>
      </c>
      <c r="H4867" s="2">
        <v>10.065300000000001</v>
      </c>
      <c r="I4867" s="2">
        <v>0</v>
      </c>
      <c r="J4867" s="2">
        <v>0</v>
      </c>
    </row>
    <row r="4868" spans="1:10">
      <c r="A4868" s="2" t="s">
        <v>148</v>
      </c>
      <c r="B4868" s="2" t="s">
        <v>64</v>
      </c>
      <c r="C4868" s="2">
        <v>5.7478500000000002E-2</v>
      </c>
      <c r="D4868" s="60">
        <v>1.7243599999999999</v>
      </c>
      <c r="E4868" s="2">
        <v>13</v>
      </c>
      <c r="F4868" s="2">
        <v>4.9000000000000004</v>
      </c>
      <c r="G4868" s="2">
        <v>10.065300000000001</v>
      </c>
      <c r="H4868" s="2">
        <v>14.145200000000001</v>
      </c>
      <c r="I4868" s="2">
        <v>0</v>
      </c>
      <c r="J4868" s="2">
        <v>0</v>
      </c>
    </row>
    <row r="4869" spans="1:10">
      <c r="A4869" s="2" t="s">
        <v>148</v>
      </c>
      <c r="B4869" s="2" t="s">
        <v>101</v>
      </c>
      <c r="C4869" s="2">
        <v>2.71262E-2</v>
      </c>
      <c r="D4869" s="60">
        <v>0</v>
      </c>
      <c r="E4869" s="2">
        <v>12.4</v>
      </c>
      <c r="F4869" s="2">
        <v>0.6</v>
      </c>
      <c r="G4869" s="2">
        <v>14.145200000000001</v>
      </c>
      <c r="H4869" s="2">
        <v>31.023099999999999</v>
      </c>
      <c r="I4869" s="2">
        <v>0</v>
      </c>
      <c r="J4869" s="2">
        <v>0</v>
      </c>
    </row>
    <row r="4870" spans="1:10">
      <c r="A4870" s="2" t="s">
        <v>148</v>
      </c>
      <c r="B4870" s="2" t="s">
        <v>59</v>
      </c>
      <c r="C4870" s="2">
        <v>0.58564000000000005</v>
      </c>
      <c r="D4870" s="60">
        <v>58.564</v>
      </c>
      <c r="E4870" s="2">
        <v>6.4</v>
      </c>
      <c r="F4870" s="2">
        <v>6</v>
      </c>
      <c r="G4870" s="2">
        <v>31.023099999999999</v>
      </c>
      <c r="H4870" s="2">
        <v>38.876899999999999</v>
      </c>
      <c r="I4870" s="2">
        <v>0</v>
      </c>
      <c r="J4870" s="2">
        <v>0</v>
      </c>
    </row>
    <row r="4871" spans="1:10">
      <c r="A4871" s="2" t="s">
        <v>148</v>
      </c>
      <c r="B4871" s="2" t="s">
        <v>56</v>
      </c>
      <c r="C4871" s="2">
        <v>0.89031000000000005</v>
      </c>
      <c r="D4871" s="60">
        <v>124.643</v>
      </c>
      <c r="E4871" s="2">
        <v>0.3</v>
      </c>
      <c r="F4871" s="2">
        <v>6.1</v>
      </c>
      <c r="G4871" s="2">
        <v>38.876899999999999</v>
      </c>
      <c r="H4871" s="2">
        <v>51.347000000000001</v>
      </c>
      <c r="I4871" s="2">
        <v>0</v>
      </c>
      <c r="J4871" s="2">
        <v>0</v>
      </c>
    </row>
    <row r="4872" spans="1:10">
      <c r="A4872" s="2" t="s">
        <v>138</v>
      </c>
      <c r="B4872" s="2">
        <v>15</v>
      </c>
      <c r="C4872" s="2">
        <v>19.860199999999999</v>
      </c>
      <c r="D4872" s="60" t="s">
        <v>149</v>
      </c>
    </row>
    <row r="4873" spans="1:10">
      <c r="A4873" s="2" t="s">
        <v>140</v>
      </c>
      <c r="B4873" s="2">
        <v>0</v>
      </c>
      <c r="C4873" s="2">
        <v>73.850499999999997</v>
      </c>
      <c r="D4873" s="60">
        <v>30.4513</v>
      </c>
    </row>
    <row r="4874" spans="1:10">
      <c r="A4874" s="2" t="s">
        <v>141</v>
      </c>
      <c r="B4874" s="2">
        <v>0</v>
      </c>
      <c r="C4874" s="2">
        <v>7.7</v>
      </c>
      <c r="D4874" s="60" t="s">
        <v>145</v>
      </c>
    </row>
    <row r="4875" spans="1:10">
      <c r="A4875" s="2" t="s">
        <v>141</v>
      </c>
      <c r="B4875" s="2">
        <v>0</v>
      </c>
      <c r="C4875" s="2">
        <v>23.188400000000001</v>
      </c>
      <c r="D4875" s="60" t="s">
        <v>155</v>
      </c>
    </row>
    <row r="4876" spans="1:10">
      <c r="A4876" s="2" t="s">
        <v>141</v>
      </c>
      <c r="B4876" s="2">
        <v>3.5</v>
      </c>
      <c r="C4876" s="2">
        <v>3.8</v>
      </c>
      <c r="D4876" s="60" t="s">
        <v>153</v>
      </c>
    </row>
    <row r="4877" spans="1:10">
      <c r="A4877" s="2" t="s">
        <v>141</v>
      </c>
      <c r="B4877" s="2">
        <v>3.5</v>
      </c>
      <c r="C4877" s="2">
        <v>3.8</v>
      </c>
      <c r="D4877" s="60" t="s">
        <v>154</v>
      </c>
    </row>
    <row r="4878" spans="1:10">
      <c r="A4878" s="2" t="s">
        <v>141</v>
      </c>
      <c r="B4878" s="2">
        <v>7.7</v>
      </c>
      <c r="C4878" s="2">
        <v>9</v>
      </c>
      <c r="D4878" s="60" t="s">
        <v>151</v>
      </c>
    </row>
    <row r="4879" spans="1:10">
      <c r="A4879" s="2" t="s">
        <v>141</v>
      </c>
      <c r="B4879" s="2">
        <v>9</v>
      </c>
      <c r="C4879" s="2">
        <v>9.8000000000000007</v>
      </c>
      <c r="D4879" s="60" t="s">
        <v>147</v>
      </c>
    </row>
    <row r="4880" spans="1:10">
      <c r="A4880" s="2" t="s">
        <v>141</v>
      </c>
      <c r="B4880" s="2">
        <v>9.8000000000000007</v>
      </c>
      <c r="C4880" s="2">
        <v>10.199999999999999</v>
      </c>
      <c r="D4880" s="60" t="s">
        <v>151</v>
      </c>
    </row>
    <row r="4881" spans="1:10">
      <c r="A4881" s="2" t="s">
        <v>141</v>
      </c>
      <c r="B4881" s="2">
        <v>10.199999999999999</v>
      </c>
      <c r="C4881" s="2">
        <v>23.188400000000001</v>
      </c>
      <c r="D4881" s="60" t="s">
        <v>144</v>
      </c>
    </row>
    <row r="4882" spans="1:10">
      <c r="A4882" s="2" t="s">
        <v>156</v>
      </c>
      <c r="B4882" s="2">
        <v>3.5</v>
      </c>
      <c r="C4882" s="2">
        <v>54.749699999999997</v>
      </c>
    </row>
    <row r="4883" spans="1:10">
      <c r="A4883" s="2" t="s">
        <v>148</v>
      </c>
      <c r="B4883" s="2" t="s">
        <v>99</v>
      </c>
      <c r="C4883" s="2">
        <v>0.12198299999999999</v>
      </c>
      <c r="D4883" s="60">
        <v>0</v>
      </c>
      <c r="E4883" s="2">
        <v>0</v>
      </c>
      <c r="F4883" s="2">
        <v>0.3</v>
      </c>
      <c r="G4883" s="2">
        <v>70.445899999999995</v>
      </c>
      <c r="H4883" s="2">
        <v>73.560599999999994</v>
      </c>
      <c r="I4883" s="2">
        <v>0</v>
      </c>
      <c r="J4883" s="2">
        <v>0</v>
      </c>
    </row>
    <row r="4884" spans="1:10">
      <c r="A4884" s="2" t="s">
        <v>148</v>
      </c>
      <c r="B4884" s="2" t="s">
        <v>100</v>
      </c>
      <c r="C4884" s="2">
        <v>1.4410900000000001E-2</v>
      </c>
      <c r="D4884" s="60">
        <v>0</v>
      </c>
      <c r="E4884" s="2">
        <v>26.282499999999999</v>
      </c>
      <c r="F4884" s="2">
        <v>4.1688499999999999</v>
      </c>
      <c r="G4884" s="2">
        <v>0</v>
      </c>
      <c r="H4884" s="2">
        <v>10</v>
      </c>
      <c r="I4884" s="2">
        <v>0</v>
      </c>
      <c r="J4884" s="2">
        <v>0</v>
      </c>
    </row>
    <row r="4885" spans="1:10">
      <c r="A4885" s="2" t="s">
        <v>148</v>
      </c>
      <c r="B4885" s="2" t="s">
        <v>98</v>
      </c>
      <c r="C4885" s="2">
        <v>0.171462</v>
      </c>
      <c r="D4885" s="60">
        <v>0</v>
      </c>
      <c r="E4885" s="2">
        <v>18.871200000000002</v>
      </c>
      <c r="F4885" s="2">
        <v>7.4112900000000002</v>
      </c>
      <c r="G4885" s="2">
        <v>10</v>
      </c>
      <c r="H4885" s="2">
        <v>23.517700000000001</v>
      </c>
      <c r="I4885" s="2">
        <v>0</v>
      </c>
      <c r="J4885" s="2">
        <v>0</v>
      </c>
    </row>
    <row r="4886" spans="1:10">
      <c r="A4886" s="2" t="s">
        <v>148</v>
      </c>
      <c r="B4886" s="2" t="s">
        <v>101</v>
      </c>
      <c r="C4886" s="2">
        <v>5.0430299999999997E-2</v>
      </c>
      <c r="D4886" s="60">
        <v>0</v>
      </c>
      <c r="E4886" s="2">
        <v>17.8</v>
      </c>
      <c r="F4886" s="2">
        <v>1.0711900000000001</v>
      </c>
      <c r="G4886" s="2">
        <v>23.517700000000001</v>
      </c>
      <c r="H4886" s="2">
        <v>25.428100000000001</v>
      </c>
      <c r="I4886" s="2">
        <v>0</v>
      </c>
      <c r="J4886" s="2">
        <v>0</v>
      </c>
    </row>
    <row r="4887" spans="1:10">
      <c r="A4887" s="2" t="s">
        <v>148</v>
      </c>
      <c r="B4887" s="2" t="s">
        <v>63</v>
      </c>
      <c r="C4887" s="2">
        <v>0.26169300000000001</v>
      </c>
      <c r="D4887" s="60">
        <v>18.3185</v>
      </c>
      <c r="E4887" s="2">
        <v>13.8</v>
      </c>
      <c r="F4887" s="2">
        <v>4</v>
      </c>
      <c r="G4887" s="2">
        <v>25.428100000000001</v>
      </c>
      <c r="H4887" s="2">
        <v>32.002800000000001</v>
      </c>
      <c r="I4887" s="2">
        <v>0</v>
      </c>
      <c r="J4887" s="2">
        <v>0</v>
      </c>
    </row>
    <row r="4888" spans="1:10">
      <c r="A4888" s="2" t="s">
        <v>148</v>
      </c>
      <c r="B4888" s="2" t="s">
        <v>62</v>
      </c>
      <c r="C4888" s="2">
        <v>0.38183299999999998</v>
      </c>
      <c r="D4888" s="60">
        <v>30.546700000000001</v>
      </c>
      <c r="E4888" s="2">
        <v>9.8000000000000007</v>
      </c>
      <c r="F4888" s="2">
        <v>4</v>
      </c>
      <c r="G4888" s="2">
        <v>32.002800000000001</v>
      </c>
      <c r="H4888" s="2">
        <v>37.454999999999998</v>
      </c>
      <c r="I4888" s="2">
        <v>0</v>
      </c>
      <c r="J4888" s="2">
        <v>0</v>
      </c>
    </row>
    <row r="4889" spans="1:10">
      <c r="A4889" s="2" t="s">
        <v>148</v>
      </c>
      <c r="B4889" s="2" t="s">
        <v>62</v>
      </c>
      <c r="C4889" s="2">
        <v>0.78601200000000004</v>
      </c>
      <c r="D4889" s="60">
        <v>62.881</v>
      </c>
      <c r="E4889" s="2">
        <v>3.8</v>
      </c>
      <c r="F4889" s="2">
        <v>6</v>
      </c>
      <c r="G4889" s="2">
        <v>37.454999999999998</v>
      </c>
      <c r="H4889" s="2">
        <v>44.0291</v>
      </c>
      <c r="I4889" s="2">
        <v>0</v>
      </c>
      <c r="J4889" s="2">
        <v>0</v>
      </c>
    </row>
    <row r="4890" spans="1:10">
      <c r="A4890" s="2" t="s">
        <v>148</v>
      </c>
      <c r="B4890" s="2" t="s">
        <v>101</v>
      </c>
      <c r="C4890" s="2">
        <v>1.02769</v>
      </c>
      <c r="D4890" s="60">
        <v>0</v>
      </c>
      <c r="E4890" s="2">
        <v>0.3</v>
      </c>
      <c r="F4890" s="2">
        <v>3.5</v>
      </c>
      <c r="G4890" s="2">
        <v>44.0291</v>
      </c>
      <c r="H4890" s="2">
        <v>70.445899999999995</v>
      </c>
      <c r="I4890" s="2">
        <v>0</v>
      </c>
      <c r="J4890" s="2">
        <v>0</v>
      </c>
    </row>
    <row r="4891" spans="1:10">
      <c r="A4891" s="2" t="s">
        <v>140</v>
      </c>
      <c r="B4891" s="2">
        <v>1</v>
      </c>
      <c r="C4891" s="2">
        <v>39.581800000000001</v>
      </c>
      <c r="D4891" s="60">
        <v>30.4513</v>
      </c>
      <c r="E4891" s="2">
        <v>3.5</v>
      </c>
    </row>
    <row r="4892" spans="1:10">
      <c r="A4892" s="2" t="s">
        <v>141</v>
      </c>
      <c r="B4892" s="2">
        <v>3.5</v>
      </c>
      <c r="C4892" s="2">
        <v>3.8</v>
      </c>
      <c r="D4892" s="60" t="s">
        <v>153</v>
      </c>
    </row>
    <row r="4893" spans="1:10">
      <c r="A4893" s="2" t="s">
        <v>141</v>
      </c>
      <c r="B4893" s="2">
        <v>3.5</v>
      </c>
      <c r="C4893" s="2">
        <v>11</v>
      </c>
      <c r="D4893" s="60" t="s">
        <v>145</v>
      </c>
    </row>
    <row r="4894" spans="1:10">
      <c r="A4894" s="2" t="s">
        <v>141</v>
      </c>
      <c r="B4894" s="2">
        <v>3.5</v>
      </c>
      <c r="C4894" s="2">
        <v>23.188400000000001</v>
      </c>
      <c r="D4894" s="60" t="s">
        <v>155</v>
      </c>
    </row>
    <row r="4895" spans="1:10">
      <c r="A4895" s="2" t="s">
        <v>141</v>
      </c>
      <c r="B4895" s="2">
        <v>11</v>
      </c>
      <c r="C4895" s="2">
        <v>12</v>
      </c>
      <c r="D4895" s="60" t="s">
        <v>147</v>
      </c>
    </row>
    <row r="4896" spans="1:10">
      <c r="A4896" s="2" t="s">
        <v>141</v>
      </c>
      <c r="B4896" s="2">
        <v>12</v>
      </c>
      <c r="C4896" s="2">
        <v>23.188400000000001</v>
      </c>
      <c r="D4896" s="60" t="s">
        <v>145</v>
      </c>
    </row>
    <row r="4897" spans="1:10">
      <c r="A4897" s="2" t="s">
        <v>148</v>
      </c>
      <c r="B4897" s="2" t="s">
        <v>100</v>
      </c>
      <c r="C4897" s="2">
        <v>1.9529999999999999E-2</v>
      </c>
      <c r="D4897" s="60">
        <v>0</v>
      </c>
      <c r="E4897" s="2">
        <v>24.379899999999999</v>
      </c>
      <c r="F4897" s="2">
        <v>6.0714899999999998</v>
      </c>
      <c r="G4897" s="2">
        <v>0</v>
      </c>
      <c r="H4897" s="2">
        <v>10</v>
      </c>
      <c r="I4897" s="2">
        <v>0</v>
      </c>
      <c r="J4897" s="2">
        <v>0</v>
      </c>
    </row>
    <row r="4898" spans="1:10">
      <c r="A4898" s="2" t="s">
        <v>148</v>
      </c>
      <c r="B4898" s="2" t="s">
        <v>98</v>
      </c>
      <c r="C4898" s="2">
        <v>0.104959</v>
      </c>
      <c r="D4898" s="60">
        <v>0</v>
      </c>
      <c r="E4898" s="2">
        <v>18.0762</v>
      </c>
      <c r="F4898" s="2">
        <v>6.3036300000000001</v>
      </c>
      <c r="G4898" s="2">
        <v>10</v>
      </c>
      <c r="H4898" s="2">
        <v>18.653400000000001</v>
      </c>
      <c r="I4898" s="2">
        <v>0</v>
      </c>
      <c r="J4898" s="2">
        <v>0</v>
      </c>
    </row>
    <row r="4899" spans="1:10">
      <c r="A4899" s="2" t="s">
        <v>148</v>
      </c>
      <c r="B4899" s="2" t="s">
        <v>101</v>
      </c>
      <c r="C4899" s="2">
        <v>7.6973600000000003E-3</v>
      </c>
      <c r="D4899" s="60">
        <v>0</v>
      </c>
      <c r="E4899" s="2">
        <v>17.8</v>
      </c>
      <c r="F4899" s="2">
        <v>0.27622099999999999</v>
      </c>
      <c r="G4899" s="2">
        <v>18.653400000000001</v>
      </c>
      <c r="H4899" s="2">
        <v>19.0183</v>
      </c>
      <c r="I4899" s="2">
        <v>0</v>
      </c>
      <c r="J4899" s="2">
        <v>0</v>
      </c>
    </row>
    <row r="4900" spans="1:10">
      <c r="A4900" s="2" t="s">
        <v>148</v>
      </c>
      <c r="B4900" s="2" t="s">
        <v>63</v>
      </c>
      <c r="C4900" s="2">
        <v>0.24485199999999999</v>
      </c>
      <c r="D4900" s="60">
        <v>17.139600000000002</v>
      </c>
      <c r="E4900" s="2">
        <v>11.8</v>
      </c>
      <c r="F4900" s="2">
        <v>6</v>
      </c>
      <c r="G4900" s="2">
        <v>19.0183</v>
      </c>
      <c r="H4900" s="2">
        <v>26.085100000000001</v>
      </c>
      <c r="I4900" s="2">
        <v>0</v>
      </c>
      <c r="J4900" s="2">
        <v>0</v>
      </c>
    </row>
    <row r="4901" spans="1:10">
      <c r="A4901" s="2" t="s">
        <v>148</v>
      </c>
      <c r="B4901" s="2" t="s">
        <v>62</v>
      </c>
      <c r="C4901" s="2">
        <v>0.24629499999999999</v>
      </c>
      <c r="D4901" s="60">
        <v>19.703600000000002</v>
      </c>
      <c r="E4901" s="2">
        <v>7.8</v>
      </c>
      <c r="F4901" s="2">
        <v>4</v>
      </c>
      <c r="G4901" s="2">
        <v>26.085100000000001</v>
      </c>
      <c r="H4901" s="2">
        <v>29.740600000000001</v>
      </c>
      <c r="I4901" s="2">
        <v>0</v>
      </c>
      <c r="J4901" s="2">
        <v>0</v>
      </c>
    </row>
    <row r="4902" spans="1:10">
      <c r="A4902" s="2" t="s">
        <v>148</v>
      </c>
      <c r="B4902" s="2" t="s">
        <v>62</v>
      </c>
      <c r="C4902" s="2">
        <v>0.30852600000000002</v>
      </c>
      <c r="D4902" s="60">
        <v>24.682099999999998</v>
      </c>
      <c r="E4902" s="2">
        <v>3.8</v>
      </c>
      <c r="F4902" s="2">
        <v>4</v>
      </c>
      <c r="G4902" s="2">
        <v>29.740600000000001</v>
      </c>
      <c r="H4902" s="2">
        <v>32.930500000000002</v>
      </c>
      <c r="I4902" s="2">
        <v>0</v>
      </c>
      <c r="J4902" s="2">
        <v>0</v>
      </c>
    </row>
    <row r="4903" spans="1:10">
      <c r="A4903" s="2" t="s">
        <v>148</v>
      </c>
      <c r="B4903" s="2" t="s">
        <v>101</v>
      </c>
      <c r="C4903" s="2">
        <v>2.57615E-2</v>
      </c>
      <c r="D4903" s="60">
        <v>0</v>
      </c>
      <c r="E4903" s="2">
        <v>3.5</v>
      </c>
      <c r="F4903" s="2">
        <v>0.3</v>
      </c>
      <c r="G4903" s="2">
        <v>32.930500000000002</v>
      </c>
      <c r="H4903" s="2">
        <v>33.203899999999997</v>
      </c>
      <c r="I4903" s="2">
        <v>0</v>
      </c>
      <c r="J4903" s="2">
        <v>0</v>
      </c>
    </row>
    <row r="4904" spans="1:10">
      <c r="A4904" s="2" t="s">
        <v>138</v>
      </c>
      <c r="B4904" s="2">
        <v>16</v>
      </c>
      <c r="C4904" s="2">
        <v>18.696400000000001</v>
      </c>
      <c r="D4904" s="60" t="s">
        <v>149</v>
      </c>
    </row>
    <row r="4905" spans="1:10">
      <c r="A4905" s="2" t="s">
        <v>140</v>
      </c>
      <c r="B4905" s="2">
        <v>0</v>
      </c>
      <c r="C4905" s="2">
        <v>37.550899999999999</v>
      </c>
      <c r="D4905" s="60">
        <v>25.6358</v>
      </c>
    </row>
    <row r="4906" spans="1:10">
      <c r="A4906" s="2" t="s">
        <v>141</v>
      </c>
      <c r="B4906" s="2">
        <v>0</v>
      </c>
      <c r="C4906" s="2">
        <v>7.7</v>
      </c>
      <c r="D4906" s="60" t="s">
        <v>142</v>
      </c>
    </row>
    <row r="4907" spans="1:10">
      <c r="A4907" s="2" t="s">
        <v>141</v>
      </c>
      <c r="B4907" s="2">
        <v>0</v>
      </c>
      <c r="C4907" s="2">
        <v>10.5</v>
      </c>
      <c r="D4907" s="60" t="s">
        <v>146</v>
      </c>
    </row>
    <row r="4908" spans="1:10">
      <c r="A4908" s="2" t="s">
        <v>141</v>
      </c>
      <c r="B4908" s="2">
        <v>7.7</v>
      </c>
      <c r="C4908" s="2">
        <v>19.903600000000001</v>
      </c>
      <c r="D4908" s="60" t="s">
        <v>144</v>
      </c>
    </row>
    <row r="4909" spans="1:10">
      <c r="A4909" s="2" t="s">
        <v>141</v>
      </c>
      <c r="B4909" s="2">
        <v>10.5</v>
      </c>
      <c r="C4909" s="2">
        <v>11</v>
      </c>
      <c r="D4909" s="60" t="s">
        <v>159</v>
      </c>
    </row>
    <row r="4910" spans="1:10">
      <c r="A4910" s="2" t="s">
        <v>141</v>
      </c>
      <c r="B4910" s="2">
        <v>11</v>
      </c>
      <c r="C4910" s="2">
        <v>19.903600000000001</v>
      </c>
      <c r="D4910" s="60" t="s">
        <v>155</v>
      </c>
    </row>
    <row r="4911" spans="1:10">
      <c r="A4911" s="2" t="s">
        <v>148</v>
      </c>
      <c r="B4911" s="2" t="s">
        <v>99</v>
      </c>
      <c r="C4911" s="2">
        <v>3.5944700000000003E-2</v>
      </c>
      <c r="D4911" s="60">
        <v>0</v>
      </c>
      <c r="E4911" s="2">
        <v>0</v>
      </c>
      <c r="F4911" s="2">
        <v>0.3</v>
      </c>
      <c r="G4911" s="2">
        <v>38.108400000000003</v>
      </c>
      <c r="H4911" s="2">
        <v>40.085099999999997</v>
      </c>
      <c r="I4911" s="2">
        <v>0</v>
      </c>
      <c r="J4911" s="2">
        <v>0</v>
      </c>
    </row>
    <row r="4912" spans="1:10">
      <c r="A4912" s="2" t="s">
        <v>148</v>
      </c>
      <c r="B4912" s="2" t="s">
        <v>100</v>
      </c>
      <c r="C4912" s="2">
        <v>1.7231300000000001E-2</v>
      </c>
      <c r="D4912" s="60">
        <v>0</v>
      </c>
      <c r="E4912" s="2">
        <v>20.2151</v>
      </c>
      <c r="F4912" s="2">
        <v>5.4206799999999999</v>
      </c>
      <c r="G4912" s="2">
        <v>0</v>
      </c>
      <c r="H4912" s="2">
        <v>10</v>
      </c>
      <c r="I4912" s="2">
        <v>0</v>
      </c>
      <c r="J4912" s="2">
        <v>0</v>
      </c>
    </row>
    <row r="4913" spans="1:10">
      <c r="A4913" s="2" t="s">
        <v>148</v>
      </c>
      <c r="B4913" s="2" t="s">
        <v>98</v>
      </c>
      <c r="C4913" s="2">
        <v>8.5275199999999995E-2</v>
      </c>
      <c r="D4913" s="60">
        <v>0</v>
      </c>
      <c r="E4913" s="2">
        <v>14.9252</v>
      </c>
      <c r="F4913" s="2">
        <v>5.28993</v>
      </c>
      <c r="G4913" s="2">
        <v>10</v>
      </c>
      <c r="H4913" s="2">
        <v>18.203399999999998</v>
      </c>
      <c r="I4913" s="2">
        <v>0</v>
      </c>
      <c r="J4913" s="2">
        <v>0</v>
      </c>
    </row>
    <row r="4914" spans="1:10">
      <c r="A4914" s="2" t="s">
        <v>148</v>
      </c>
      <c r="B4914" s="2" t="s">
        <v>101</v>
      </c>
      <c r="C4914" s="2">
        <v>6.5733499999999999E-4</v>
      </c>
      <c r="D4914" s="60">
        <v>0</v>
      </c>
      <c r="E4914" s="2">
        <v>14.9</v>
      </c>
      <c r="F4914" s="2">
        <v>2.5205600000000002E-2</v>
      </c>
      <c r="G4914" s="2">
        <v>18.203399999999998</v>
      </c>
      <c r="H4914" s="2">
        <v>18.2409</v>
      </c>
      <c r="I4914" s="2">
        <v>0</v>
      </c>
      <c r="J4914" s="2">
        <v>0</v>
      </c>
    </row>
    <row r="4915" spans="1:10">
      <c r="A4915" s="2" t="s">
        <v>148</v>
      </c>
      <c r="B4915" s="2" t="s">
        <v>64</v>
      </c>
      <c r="C4915" s="2">
        <v>0.13567899999999999</v>
      </c>
      <c r="D4915" s="60">
        <v>4.0703699999999996</v>
      </c>
      <c r="E4915" s="2">
        <v>11</v>
      </c>
      <c r="F4915" s="2">
        <v>3.9</v>
      </c>
      <c r="G4915" s="2">
        <v>18.2409</v>
      </c>
      <c r="H4915" s="2">
        <v>23.573499999999999</v>
      </c>
      <c r="I4915" s="2">
        <v>0</v>
      </c>
      <c r="J4915" s="2">
        <v>0</v>
      </c>
    </row>
    <row r="4916" spans="1:10">
      <c r="A4916" s="2" t="s">
        <v>148</v>
      </c>
      <c r="B4916" s="2" t="s">
        <v>101</v>
      </c>
      <c r="C4916" s="2">
        <v>3.1667599999999997E-2</v>
      </c>
      <c r="D4916" s="60">
        <v>0</v>
      </c>
      <c r="E4916" s="2">
        <v>10.3</v>
      </c>
      <c r="F4916" s="2">
        <v>0.7</v>
      </c>
      <c r="G4916" s="2">
        <v>23.573499999999999</v>
      </c>
      <c r="H4916" s="2">
        <v>24.418099999999999</v>
      </c>
      <c r="I4916" s="2">
        <v>0</v>
      </c>
      <c r="J4916" s="2">
        <v>0</v>
      </c>
    </row>
    <row r="4917" spans="1:10">
      <c r="A4917" s="2" t="s">
        <v>148</v>
      </c>
      <c r="B4917" s="2" t="s">
        <v>60</v>
      </c>
      <c r="C4917" s="2">
        <v>0.35890300000000003</v>
      </c>
      <c r="D4917" s="60">
        <v>32.301299999999998</v>
      </c>
      <c r="E4917" s="2">
        <v>4.3</v>
      </c>
      <c r="F4917" s="2">
        <v>6</v>
      </c>
      <c r="G4917" s="2">
        <v>24.418099999999999</v>
      </c>
      <c r="H4917" s="2">
        <v>30.345400000000001</v>
      </c>
      <c r="I4917" s="2">
        <v>0</v>
      </c>
      <c r="J4917" s="2">
        <v>0</v>
      </c>
    </row>
    <row r="4918" spans="1:10">
      <c r="A4918" s="2" t="s">
        <v>148</v>
      </c>
      <c r="B4918" s="2" t="s">
        <v>59</v>
      </c>
      <c r="C4918" s="2">
        <v>0.34189199999999997</v>
      </c>
      <c r="D4918" s="60">
        <v>34.1892</v>
      </c>
      <c r="E4918" s="2">
        <v>0.3</v>
      </c>
      <c r="F4918" s="2">
        <v>4</v>
      </c>
      <c r="G4918" s="2">
        <v>30.345400000000001</v>
      </c>
      <c r="H4918" s="2">
        <v>38.108400000000003</v>
      </c>
      <c r="I4918" s="2">
        <v>0</v>
      </c>
      <c r="J4918" s="2">
        <v>0</v>
      </c>
    </row>
    <row r="4919" spans="1:10">
      <c r="A4919" s="2" t="s">
        <v>138</v>
      </c>
      <c r="B4919" s="2">
        <v>17</v>
      </c>
      <c r="C4919" s="2">
        <v>19.5486</v>
      </c>
      <c r="D4919" s="60" t="s">
        <v>139</v>
      </c>
    </row>
    <row r="4920" spans="1:10">
      <c r="A4920" s="2" t="s">
        <v>140</v>
      </c>
      <c r="B4920" s="2">
        <v>0</v>
      </c>
      <c r="C4920" s="2">
        <v>51.978700000000003</v>
      </c>
      <c r="D4920" s="60">
        <v>28.269300000000001</v>
      </c>
    </row>
    <row r="4921" spans="1:10">
      <c r="A4921" s="2" t="s">
        <v>141</v>
      </c>
      <c r="B4921" s="2">
        <v>0</v>
      </c>
      <c r="C4921" s="2">
        <v>7.6</v>
      </c>
      <c r="D4921" s="60" t="s">
        <v>142</v>
      </c>
    </row>
    <row r="4922" spans="1:10">
      <c r="A4922" s="2" t="s">
        <v>141</v>
      </c>
      <c r="B4922" s="2">
        <v>0</v>
      </c>
      <c r="C4922" s="2">
        <v>21.7</v>
      </c>
      <c r="D4922" s="60" t="s">
        <v>146</v>
      </c>
    </row>
    <row r="4923" spans="1:10">
      <c r="A4923" s="2" t="s">
        <v>141</v>
      </c>
      <c r="B4923" s="2">
        <v>7.6</v>
      </c>
      <c r="C4923" s="2">
        <v>11.2</v>
      </c>
      <c r="D4923" s="60" t="s">
        <v>144</v>
      </c>
    </row>
    <row r="4924" spans="1:10">
      <c r="A4924" s="2" t="s">
        <v>141</v>
      </c>
      <c r="B4924" s="2">
        <v>11.2</v>
      </c>
      <c r="C4924" s="2">
        <v>12.9</v>
      </c>
      <c r="D4924" s="60" t="s">
        <v>145</v>
      </c>
    </row>
    <row r="4925" spans="1:10">
      <c r="A4925" s="2" t="s">
        <v>141</v>
      </c>
      <c r="B4925" s="2">
        <v>12.9</v>
      </c>
      <c r="C4925" s="2">
        <v>21.7</v>
      </c>
      <c r="D4925" s="60" t="s">
        <v>144</v>
      </c>
    </row>
    <row r="4926" spans="1:10">
      <c r="A4926" s="2" t="s">
        <v>148</v>
      </c>
      <c r="B4926" s="2" t="s">
        <v>99</v>
      </c>
      <c r="C4926" s="2">
        <v>6.4731399999999994E-2</v>
      </c>
      <c r="D4926" s="60">
        <v>0</v>
      </c>
      <c r="E4926" s="2">
        <v>0</v>
      </c>
      <c r="F4926" s="2">
        <v>0.3</v>
      </c>
      <c r="G4926" s="2">
        <v>51.243400000000001</v>
      </c>
      <c r="H4926" s="2">
        <v>53.671599999999998</v>
      </c>
      <c r="I4926" s="2">
        <v>0</v>
      </c>
      <c r="J4926" s="2">
        <v>0</v>
      </c>
    </row>
    <row r="4927" spans="1:10">
      <c r="A4927" s="2" t="s">
        <v>148</v>
      </c>
      <c r="B4927" s="2" t="s">
        <v>100</v>
      </c>
      <c r="C4927" s="2">
        <v>1.41099E-2</v>
      </c>
      <c r="D4927" s="60">
        <v>0</v>
      </c>
      <c r="E4927" s="2">
        <v>24.140599999999999</v>
      </c>
      <c r="F4927" s="2">
        <v>4.12873</v>
      </c>
      <c r="G4927" s="2">
        <v>0</v>
      </c>
      <c r="H4927" s="2">
        <v>10</v>
      </c>
      <c r="I4927" s="2">
        <v>0</v>
      </c>
      <c r="J4927" s="2">
        <v>0</v>
      </c>
    </row>
    <row r="4928" spans="1:10">
      <c r="A4928" s="2" t="s">
        <v>148</v>
      </c>
      <c r="B4928" s="2" t="s">
        <v>98</v>
      </c>
      <c r="C4928" s="2">
        <v>5.3774599999999999E-2</v>
      </c>
      <c r="D4928" s="60">
        <v>0</v>
      </c>
      <c r="E4928" s="2">
        <v>20.425000000000001</v>
      </c>
      <c r="F4928" s="2">
        <v>3.71557</v>
      </c>
      <c r="G4928" s="2">
        <v>10</v>
      </c>
      <c r="H4928" s="2">
        <v>16.929099999999998</v>
      </c>
      <c r="I4928" s="2">
        <v>0</v>
      </c>
      <c r="J4928" s="2">
        <v>0</v>
      </c>
    </row>
    <row r="4929" spans="1:10">
      <c r="A4929" s="2" t="s">
        <v>148</v>
      </c>
      <c r="B4929" s="2" t="s">
        <v>101</v>
      </c>
      <c r="C4929" s="2">
        <v>5.6514300000000005E-4</v>
      </c>
      <c r="D4929" s="60">
        <v>0</v>
      </c>
      <c r="E4929" s="2">
        <v>20.399999999999999</v>
      </c>
      <c r="F4929" s="2">
        <v>2.50365E-2</v>
      </c>
      <c r="G4929" s="2">
        <v>16.929099999999998</v>
      </c>
      <c r="H4929" s="2">
        <v>16.977</v>
      </c>
      <c r="I4929" s="2">
        <v>0</v>
      </c>
      <c r="J4929" s="2">
        <v>0</v>
      </c>
    </row>
    <row r="4930" spans="1:10">
      <c r="A4930" s="2" t="s">
        <v>148</v>
      </c>
      <c r="B4930" s="2" t="s">
        <v>61</v>
      </c>
      <c r="C4930" s="2">
        <v>0.136937</v>
      </c>
      <c r="D4930" s="60">
        <v>11.6396</v>
      </c>
      <c r="E4930" s="2">
        <v>16.399999999999999</v>
      </c>
      <c r="F4930" s="2">
        <v>4</v>
      </c>
      <c r="G4930" s="2">
        <v>16.977</v>
      </c>
      <c r="H4930" s="2">
        <v>24.4787</v>
      </c>
      <c r="I4930" s="2">
        <v>0</v>
      </c>
      <c r="J4930" s="2">
        <v>0</v>
      </c>
    </row>
    <row r="4931" spans="1:10">
      <c r="A4931" s="2" t="s">
        <v>148</v>
      </c>
      <c r="B4931" s="2" t="s">
        <v>60</v>
      </c>
      <c r="C4931" s="2">
        <v>0.24593300000000001</v>
      </c>
      <c r="D4931" s="60">
        <v>22.134</v>
      </c>
      <c r="E4931" s="2">
        <v>12.4</v>
      </c>
      <c r="F4931" s="2">
        <v>4</v>
      </c>
      <c r="G4931" s="2">
        <v>24.4787</v>
      </c>
      <c r="H4931" s="2">
        <v>31.156400000000001</v>
      </c>
      <c r="I4931" s="2">
        <v>0</v>
      </c>
      <c r="J4931" s="2">
        <v>0</v>
      </c>
    </row>
    <row r="4932" spans="1:10">
      <c r="A4932" s="2" t="s">
        <v>148</v>
      </c>
      <c r="B4932" s="2" t="s">
        <v>59</v>
      </c>
      <c r="C4932" s="2">
        <v>0.587198</v>
      </c>
      <c r="D4932" s="60">
        <v>58.719799999999999</v>
      </c>
      <c r="E4932" s="2">
        <v>6.4</v>
      </c>
      <c r="F4932" s="2">
        <v>6</v>
      </c>
      <c r="G4932" s="2">
        <v>31.156400000000001</v>
      </c>
      <c r="H4932" s="2">
        <v>38.857799999999997</v>
      </c>
      <c r="I4932" s="2">
        <v>0</v>
      </c>
      <c r="J4932" s="2">
        <v>0</v>
      </c>
    </row>
    <row r="4933" spans="1:10">
      <c r="A4933" s="2" t="s">
        <v>148</v>
      </c>
      <c r="B4933" s="2" t="s">
        <v>56</v>
      </c>
      <c r="C4933" s="2">
        <v>0.88800999999999997</v>
      </c>
      <c r="D4933" s="60">
        <v>124.321</v>
      </c>
      <c r="E4933" s="2">
        <v>0.3</v>
      </c>
      <c r="F4933" s="2">
        <v>6.1</v>
      </c>
      <c r="G4933" s="2">
        <v>38.857799999999997</v>
      </c>
      <c r="H4933" s="2">
        <v>51.243400000000001</v>
      </c>
      <c r="I4933" s="2">
        <v>0</v>
      </c>
      <c r="J4933" s="2">
        <v>0</v>
      </c>
    </row>
    <row r="4934" spans="1:10">
      <c r="A4934" s="2" t="s">
        <v>138</v>
      </c>
      <c r="B4934" s="2">
        <v>18</v>
      </c>
      <c r="C4934" s="2">
        <v>19.595500000000001</v>
      </c>
      <c r="D4934" s="60" t="s">
        <v>139</v>
      </c>
    </row>
    <row r="4935" spans="1:10">
      <c r="A4935" s="2" t="s">
        <v>140</v>
      </c>
      <c r="B4935" s="2">
        <v>0</v>
      </c>
      <c r="C4935" s="2">
        <v>51.978700000000003</v>
      </c>
      <c r="D4935" s="60">
        <v>30.3217</v>
      </c>
    </row>
    <row r="4936" spans="1:10">
      <c r="A4936" s="2" t="s">
        <v>141</v>
      </c>
      <c r="B4936" s="2">
        <v>0</v>
      </c>
      <c r="C4936" s="2">
        <v>1.6</v>
      </c>
      <c r="D4936" s="60" t="s">
        <v>158</v>
      </c>
    </row>
    <row r="4937" spans="1:10">
      <c r="A4937" s="2" t="s">
        <v>141</v>
      </c>
      <c r="B4937" s="2">
        <v>0</v>
      </c>
      <c r="C4937" s="2">
        <v>1.8</v>
      </c>
      <c r="D4937" s="60" t="s">
        <v>142</v>
      </c>
    </row>
    <row r="4938" spans="1:10">
      <c r="A4938" s="2" t="s">
        <v>141</v>
      </c>
      <c r="B4938" s="2">
        <v>0</v>
      </c>
      <c r="C4938" s="2">
        <v>2.2000000000000002</v>
      </c>
      <c r="D4938" s="60" t="s">
        <v>155</v>
      </c>
    </row>
    <row r="4939" spans="1:10">
      <c r="A4939" s="2" t="s">
        <v>141</v>
      </c>
      <c r="B4939" s="2">
        <v>1.6</v>
      </c>
      <c r="C4939" s="2">
        <v>1.9</v>
      </c>
      <c r="D4939" s="60" t="s">
        <v>174</v>
      </c>
    </row>
    <row r="4940" spans="1:10">
      <c r="A4940" s="2" t="s">
        <v>141</v>
      </c>
      <c r="B4940" s="2">
        <v>1.8</v>
      </c>
      <c r="C4940" s="2">
        <v>5.2</v>
      </c>
      <c r="D4940" s="60" t="s">
        <v>144</v>
      </c>
    </row>
    <row r="4941" spans="1:10">
      <c r="A4941" s="2" t="s">
        <v>141</v>
      </c>
      <c r="B4941" s="2">
        <v>1.9</v>
      </c>
      <c r="C4941" s="2">
        <v>2</v>
      </c>
      <c r="D4941" s="60" t="s">
        <v>158</v>
      </c>
    </row>
    <row r="4942" spans="1:10">
      <c r="A4942" s="2" t="s">
        <v>141</v>
      </c>
      <c r="B4942" s="2">
        <v>2</v>
      </c>
      <c r="C4942" s="2">
        <v>2.2000000000000002</v>
      </c>
      <c r="D4942" s="60" t="s">
        <v>176</v>
      </c>
    </row>
    <row r="4943" spans="1:10">
      <c r="A4943" s="2" t="s">
        <v>141</v>
      </c>
      <c r="B4943" s="2">
        <v>2.2000000000000002</v>
      </c>
      <c r="C4943" s="2">
        <v>23.1</v>
      </c>
      <c r="D4943" s="60" t="s">
        <v>146</v>
      </c>
    </row>
    <row r="4944" spans="1:10">
      <c r="A4944" s="2" t="s">
        <v>141</v>
      </c>
      <c r="B4944" s="2">
        <v>5.2</v>
      </c>
      <c r="C4944" s="2">
        <v>5.5</v>
      </c>
      <c r="D4944" s="60" t="s">
        <v>145</v>
      </c>
    </row>
    <row r="4945" spans="1:10">
      <c r="A4945" s="2" t="s">
        <v>141</v>
      </c>
      <c r="B4945" s="2">
        <v>5.5</v>
      </c>
      <c r="C4945" s="2">
        <v>11.3</v>
      </c>
      <c r="D4945" s="60" t="s">
        <v>144</v>
      </c>
    </row>
    <row r="4946" spans="1:10">
      <c r="A4946" s="2" t="s">
        <v>141</v>
      </c>
      <c r="B4946" s="2">
        <v>11.3</v>
      </c>
      <c r="C4946" s="2">
        <v>15.2</v>
      </c>
      <c r="D4946" s="60" t="s">
        <v>145</v>
      </c>
    </row>
    <row r="4947" spans="1:10">
      <c r="A4947" s="2" t="s">
        <v>141</v>
      </c>
      <c r="B4947" s="2">
        <v>15.2</v>
      </c>
      <c r="C4947" s="2">
        <v>23.1</v>
      </c>
      <c r="D4947" s="60" t="s">
        <v>144</v>
      </c>
    </row>
    <row r="4948" spans="1:10">
      <c r="A4948" s="2" t="s">
        <v>148</v>
      </c>
      <c r="B4948" s="2" t="s">
        <v>99</v>
      </c>
      <c r="C4948" s="2">
        <v>6.5020700000000001E-2</v>
      </c>
      <c r="D4948" s="60">
        <v>0</v>
      </c>
      <c r="E4948" s="2">
        <v>0</v>
      </c>
      <c r="F4948" s="2">
        <v>0.3</v>
      </c>
      <c r="G4948" s="2">
        <v>51.427700000000002</v>
      </c>
      <c r="H4948" s="2">
        <v>53.710599999999999</v>
      </c>
      <c r="I4948" s="2">
        <v>0</v>
      </c>
      <c r="J4948" s="2">
        <v>0</v>
      </c>
    </row>
    <row r="4949" spans="1:10">
      <c r="A4949" s="2" t="s">
        <v>148</v>
      </c>
      <c r="B4949" s="2" t="s">
        <v>100</v>
      </c>
      <c r="C4949" s="2">
        <v>1.5122099999999999E-2</v>
      </c>
      <c r="D4949" s="60">
        <v>0</v>
      </c>
      <c r="E4949" s="2">
        <v>25.897600000000001</v>
      </c>
      <c r="F4949" s="2">
        <v>4.4241299999999999</v>
      </c>
      <c r="G4949" s="2">
        <v>0</v>
      </c>
      <c r="H4949" s="2">
        <v>10</v>
      </c>
      <c r="I4949" s="2">
        <v>0</v>
      </c>
      <c r="J4949" s="2">
        <v>0</v>
      </c>
    </row>
    <row r="4950" spans="1:10">
      <c r="A4950" s="2" t="s">
        <v>148</v>
      </c>
      <c r="B4950" s="2" t="s">
        <v>98</v>
      </c>
      <c r="C4950" s="2">
        <v>7.4559899999999998E-2</v>
      </c>
      <c r="D4950" s="60">
        <v>0</v>
      </c>
      <c r="E4950" s="2">
        <v>21.215900000000001</v>
      </c>
      <c r="F4950" s="2">
        <v>4.6817000000000002</v>
      </c>
      <c r="G4950" s="2">
        <v>10</v>
      </c>
      <c r="H4950" s="2">
        <v>18.175000000000001</v>
      </c>
      <c r="I4950" s="2">
        <v>0</v>
      </c>
      <c r="J4950" s="2">
        <v>0</v>
      </c>
    </row>
    <row r="4951" spans="1:10">
      <c r="A4951" s="2" t="s">
        <v>148</v>
      </c>
      <c r="B4951" s="2" t="s">
        <v>101</v>
      </c>
      <c r="C4951" s="2">
        <v>2.9063800000000001E-2</v>
      </c>
      <c r="D4951" s="60">
        <v>0</v>
      </c>
      <c r="E4951" s="2">
        <v>20.2</v>
      </c>
      <c r="F4951" s="2">
        <v>1.0159</v>
      </c>
      <c r="G4951" s="2">
        <v>18.175000000000001</v>
      </c>
      <c r="H4951" s="2">
        <v>19.979700000000001</v>
      </c>
      <c r="I4951" s="2">
        <v>0</v>
      </c>
      <c r="J4951" s="2">
        <v>0</v>
      </c>
    </row>
    <row r="4952" spans="1:10">
      <c r="A4952" s="2" t="s">
        <v>148</v>
      </c>
      <c r="B4952" s="2" t="s">
        <v>61</v>
      </c>
      <c r="C4952" s="2">
        <v>0.17377500000000001</v>
      </c>
      <c r="D4952" s="60">
        <v>14.770899999999999</v>
      </c>
      <c r="E4952" s="2">
        <v>16.2</v>
      </c>
      <c r="F4952" s="2">
        <v>4</v>
      </c>
      <c r="G4952" s="2">
        <v>19.979700000000001</v>
      </c>
      <c r="H4952" s="2">
        <v>26.784600000000001</v>
      </c>
      <c r="I4952" s="2">
        <v>0</v>
      </c>
      <c r="J4952" s="2">
        <v>0</v>
      </c>
    </row>
    <row r="4953" spans="1:10">
      <c r="A4953" s="2" t="s">
        <v>148</v>
      </c>
      <c r="B4953" s="2" t="s">
        <v>60</v>
      </c>
      <c r="C4953" s="2">
        <v>0.28046599999999999</v>
      </c>
      <c r="D4953" s="60">
        <v>25.242000000000001</v>
      </c>
      <c r="E4953" s="2">
        <v>12.2</v>
      </c>
      <c r="F4953" s="2">
        <v>4</v>
      </c>
      <c r="G4953" s="2">
        <v>26.784600000000001</v>
      </c>
      <c r="H4953" s="2">
        <v>32.695099999999996</v>
      </c>
      <c r="I4953" s="2">
        <v>0</v>
      </c>
      <c r="J4953" s="2">
        <v>0</v>
      </c>
    </row>
    <row r="4954" spans="1:10">
      <c r="A4954" s="2" t="s">
        <v>148</v>
      </c>
      <c r="B4954" s="2" t="s">
        <v>59</v>
      </c>
      <c r="C4954" s="2">
        <v>0.389511</v>
      </c>
      <c r="D4954" s="60">
        <v>38.951099999999997</v>
      </c>
      <c r="E4954" s="2">
        <v>8.1999999999999993</v>
      </c>
      <c r="F4954" s="2">
        <v>4</v>
      </c>
      <c r="G4954" s="2">
        <v>32.695099999999996</v>
      </c>
      <c r="H4954" s="2">
        <v>37.4953</v>
      </c>
      <c r="I4954" s="2">
        <v>0</v>
      </c>
      <c r="J4954" s="2">
        <v>0</v>
      </c>
    </row>
    <row r="4955" spans="1:10">
      <c r="A4955" s="2" t="s">
        <v>148</v>
      </c>
      <c r="B4955" s="2" t="s">
        <v>59</v>
      </c>
      <c r="C4955" s="2">
        <v>0.77949599999999997</v>
      </c>
      <c r="D4955" s="60">
        <v>77.949600000000004</v>
      </c>
      <c r="E4955" s="2">
        <v>2.2000000000000002</v>
      </c>
      <c r="F4955" s="2">
        <v>6</v>
      </c>
      <c r="G4955" s="2">
        <v>37.4953</v>
      </c>
      <c r="H4955" s="2">
        <v>44.299399999999999</v>
      </c>
      <c r="I4955" s="2">
        <v>0</v>
      </c>
      <c r="J4955" s="2">
        <v>0</v>
      </c>
    </row>
    <row r="4956" spans="1:10">
      <c r="A4956" s="2" t="s">
        <v>148</v>
      </c>
      <c r="B4956" s="2" t="s">
        <v>101</v>
      </c>
      <c r="C4956" s="2">
        <v>0.33191999999999999</v>
      </c>
      <c r="D4956" s="60">
        <v>0</v>
      </c>
      <c r="E4956" s="2">
        <v>0.3</v>
      </c>
      <c r="F4956" s="2">
        <v>1.9</v>
      </c>
      <c r="G4956" s="2">
        <v>44.299399999999999</v>
      </c>
      <c r="H4956" s="2">
        <v>51.427700000000002</v>
      </c>
      <c r="I4956" s="2">
        <v>0</v>
      </c>
      <c r="J4956" s="2">
        <v>0</v>
      </c>
    </row>
    <row r="4957" spans="1:10">
      <c r="A4957" s="2" t="s">
        <v>138</v>
      </c>
      <c r="B4957" s="2">
        <v>19</v>
      </c>
      <c r="C4957" s="2">
        <v>19.6922</v>
      </c>
      <c r="D4957" s="60" t="s">
        <v>139</v>
      </c>
    </row>
    <row r="4958" spans="1:10">
      <c r="A4958" s="2" t="s">
        <v>140</v>
      </c>
      <c r="B4958" s="2">
        <v>0</v>
      </c>
      <c r="C4958" s="2">
        <v>62.875700000000002</v>
      </c>
      <c r="D4958" s="60">
        <v>25.1907</v>
      </c>
    </row>
    <row r="4959" spans="1:10">
      <c r="A4959" s="2" t="s">
        <v>141</v>
      </c>
      <c r="B4959" s="2">
        <v>0</v>
      </c>
      <c r="C4959" s="2">
        <v>2.8</v>
      </c>
      <c r="D4959" s="60" t="s">
        <v>145</v>
      </c>
    </row>
    <row r="4960" spans="1:10">
      <c r="A4960" s="2" t="s">
        <v>141</v>
      </c>
      <c r="B4960" s="2">
        <v>0</v>
      </c>
      <c r="C4960" s="2">
        <v>2.8</v>
      </c>
      <c r="D4960" s="60" t="s">
        <v>158</v>
      </c>
    </row>
    <row r="4961" spans="1:10">
      <c r="A4961" s="2" t="s">
        <v>141</v>
      </c>
      <c r="B4961" s="2">
        <v>0</v>
      </c>
      <c r="C4961" s="2">
        <v>3.1</v>
      </c>
      <c r="D4961" s="60" t="s">
        <v>155</v>
      </c>
    </row>
    <row r="4962" spans="1:10">
      <c r="A4962" s="2" t="s">
        <v>141</v>
      </c>
      <c r="B4962" s="2">
        <v>2.8</v>
      </c>
      <c r="C4962" s="2">
        <v>3.1</v>
      </c>
      <c r="D4962" s="60" t="s">
        <v>147</v>
      </c>
    </row>
    <row r="4963" spans="1:10">
      <c r="A4963" s="2" t="s">
        <v>141</v>
      </c>
      <c r="B4963" s="2">
        <v>2.8</v>
      </c>
      <c r="C4963" s="2">
        <v>3.1</v>
      </c>
      <c r="D4963" s="60" t="s">
        <v>160</v>
      </c>
    </row>
    <row r="4964" spans="1:10">
      <c r="A4964" s="2" t="s">
        <v>141</v>
      </c>
      <c r="B4964" s="2">
        <v>3.1</v>
      </c>
      <c r="C4964" s="2">
        <v>10.6</v>
      </c>
      <c r="D4964" s="60" t="s">
        <v>145</v>
      </c>
    </row>
    <row r="4965" spans="1:10">
      <c r="A4965" s="2" t="s">
        <v>141</v>
      </c>
      <c r="B4965" s="2">
        <v>3.1</v>
      </c>
      <c r="C4965" s="2">
        <v>10.6</v>
      </c>
      <c r="D4965" s="60" t="s">
        <v>146</v>
      </c>
    </row>
    <row r="4966" spans="1:10">
      <c r="A4966" s="2" t="s">
        <v>141</v>
      </c>
      <c r="B4966" s="2">
        <v>3.1</v>
      </c>
      <c r="C4966" s="2">
        <v>10.6</v>
      </c>
      <c r="D4966" s="60" t="s">
        <v>158</v>
      </c>
    </row>
    <row r="4967" spans="1:10">
      <c r="A4967" s="2" t="s">
        <v>141</v>
      </c>
      <c r="B4967" s="2">
        <v>10.6</v>
      </c>
      <c r="C4967" s="2">
        <v>11</v>
      </c>
      <c r="D4967" s="60" t="s">
        <v>147</v>
      </c>
    </row>
    <row r="4968" spans="1:10">
      <c r="A4968" s="2" t="s">
        <v>141</v>
      </c>
      <c r="B4968" s="2">
        <v>10.6</v>
      </c>
      <c r="C4968" s="2">
        <v>11</v>
      </c>
      <c r="D4968" s="60" t="s">
        <v>159</v>
      </c>
    </row>
    <row r="4969" spans="1:10">
      <c r="A4969" s="2" t="s">
        <v>141</v>
      </c>
      <c r="B4969" s="2">
        <v>10.6</v>
      </c>
      <c r="C4969" s="2">
        <v>11</v>
      </c>
      <c r="D4969" s="60" t="s">
        <v>160</v>
      </c>
    </row>
    <row r="4970" spans="1:10">
      <c r="A4970" s="2" t="s">
        <v>141</v>
      </c>
      <c r="B4970" s="2">
        <v>11</v>
      </c>
      <c r="C4970" s="2">
        <v>19.600000000000001</v>
      </c>
      <c r="D4970" s="60" t="s">
        <v>144</v>
      </c>
    </row>
    <row r="4971" spans="1:10">
      <c r="A4971" s="2" t="s">
        <v>141</v>
      </c>
      <c r="B4971" s="2">
        <v>11</v>
      </c>
      <c r="C4971" s="2">
        <v>19.600000000000001</v>
      </c>
      <c r="D4971" s="60" t="s">
        <v>155</v>
      </c>
    </row>
    <row r="4972" spans="1:10">
      <c r="A4972" s="2" t="s">
        <v>148</v>
      </c>
      <c r="B4972" s="2" t="s">
        <v>99</v>
      </c>
      <c r="C4972" s="2">
        <v>9.0373599999999998E-2</v>
      </c>
      <c r="D4972" s="60">
        <v>0</v>
      </c>
      <c r="E4972" s="2">
        <v>0</v>
      </c>
      <c r="F4972" s="2">
        <v>0.3</v>
      </c>
      <c r="G4972" s="2">
        <v>60.403100000000002</v>
      </c>
      <c r="H4972" s="2">
        <v>63.587299999999999</v>
      </c>
      <c r="I4972" s="2">
        <v>0</v>
      </c>
      <c r="J4972" s="2">
        <v>0</v>
      </c>
    </row>
    <row r="4973" spans="1:10">
      <c r="A4973" s="2" t="s">
        <v>148</v>
      </c>
      <c r="B4973" s="2" t="s">
        <v>100</v>
      </c>
      <c r="C4973" s="2">
        <v>1.02968E-2</v>
      </c>
      <c r="D4973" s="60">
        <v>0</v>
      </c>
      <c r="E4973" s="2">
        <v>22.294499999999999</v>
      </c>
      <c r="F4973" s="2">
        <v>2.89622</v>
      </c>
      <c r="G4973" s="2">
        <v>0</v>
      </c>
      <c r="H4973" s="2">
        <v>10.000500000000001</v>
      </c>
      <c r="I4973" s="2">
        <v>0</v>
      </c>
      <c r="J4973" s="2">
        <v>0</v>
      </c>
    </row>
    <row r="4974" spans="1:10">
      <c r="A4974" s="2" t="s">
        <v>148</v>
      </c>
      <c r="B4974" s="2" t="s">
        <v>98</v>
      </c>
      <c r="C4974" s="2">
        <v>5.4295999999999997E-2</v>
      </c>
      <c r="D4974" s="60">
        <v>0</v>
      </c>
      <c r="E4974" s="2">
        <v>18.904499999999999</v>
      </c>
      <c r="F4974" s="2">
        <v>3.3900299999999999</v>
      </c>
      <c r="G4974" s="2">
        <v>10.000500000000001</v>
      </c>
      <c r="H4974" s="2">
        <v>18.272600000000001</v>
      </c>
      <c r="I4974" s="2">
        <v>0</v>
      </c>
      <c r="J4974" s="2">
        <v>0</v>
      </c>
    </row>
    <row r="4975" spans="1:10">
      <c r="A4975" s="2" t="s">
        <v>148</v>
      </c>
      <c r="B4975" s="2" t="s">
        <v>64</v>
      </c>
      <c r="C4975" s="2">
        <v>0.16749</v>
      </c>
      <c r="D4975" s="60">
        <v>5.0247099999999998</v>
      </c>
      <c r="E4975" s="2">
        <v>15</v>
      </c>
      <c r="F4975" s="2">
        <v>3.9</v>
      </c>
      <c r="G4975" s="2">
        <v>18.283899999999999</v>
      </c>
      <c r="H4975" s="2">
        <v>28.070699999999999</v>
      </c>
      <c r="I4975" s="2">
        <v>0</v>
      </c>
      <c r="J4975" s="2">
        <v>0</v>
      </c>
    </row>
    <row r="4976" spans="1:10">
      <c r="A4976" s="2" t="s">
        <v>148</v>
      </c>
      <c r="B4976" s="2" t="s">
        <v>62</v>
      </c>
      <c r="C4976" s="2">
        <v>0.33761999999999998</v>
      </c>
      <c r="D4976" s="60">
        <v>27.009599999999999</v>
      </c>
      <c r="E4976" s="2">
        <v>11</v>
      </c>
      <c r="F4976" s="2">
        <v>4</v>
      </c>
      <c r="G4976" s="2">
        <v>28.070699999999999</v>
      </c>
      <c r="H4976" s="2">
        <v>37.012500000000003</v>
      </c>
      <c r="I4976" s="2">
        <v>0</v>
      </c>
      <c r="J4976" s="2">
        <v>0</v>
      </c>
    </row>
    <row r="4977" spans="1:10">
      <c r="A4977" s="2" t="s">
        <v>148</v>
      </c>
      <c r="B4977" s="2" t="s">
        <v>101</v>
      </c>
      <c r="C4977" s="2">
        <v>7.8178200000000003E-2</v>
      </c>
      <c r="D4977" s="60">
        <v>0</v>
      </c>
      <c r="E4977" s="2">
        <v>10.3</v>
      </c>
      <c r="F4977" s="2">
        <v>0.7</v>
      </c>
      <c r="G4977" s="2">
        <v>37.012500000000003</v>
      </c>
      <c r="H4977" s="2">
        <v>38.3919</v>
      </c>
      <c r="I4977" s="2">
        <v>0</v>
      </c>
      <c r="J4977" s="2">
        <v>0</v>
      </c>
    </row>
    <row r="4978" spans="1:10">
      <c r="A4978" s="2" t="s">
        <v>148</v>
      </c>
      <c r="B4978" s="2" t="s">
        <v>59</v>
      </c>
      <c r="C4978" s="2">
        <v>0.894783</v>
      </c>
      <c r="D4978" s="60">
        <v>89.478300000000004</v>
      </c>
      <c r="E4978" s="2">
        <v>4.3</v>
      </c>
      <c r="F4978" s="2">
        <v>6</v>
      </c>
      <c r="G4978" s="2">
        <v>38.3919</v>
      </c>
      <c r="H4978" s="2">
        <v>48.030799999999999</v>
      </c>
      <c r="I4978" s="2">
        <v>0</v>
      </c>
      <c r="J4978" s="2">
        <v>0</v>
      </c>
    </row>
    <row r="4979" spans="1:10">
      <c r="A4979" s="2" t="s">
        <v>148</v>
      </c>
      <c r="B4979" s="2" t="s">
        <v>62</v>
      </c>
      <c r="C4979" s="2">
        <v>0.85745300000000002</v>
      </c>
      <c r="D4979" s="60">
        <v>68.596199999999996</v>
      </c>
      <c r="E4979" s="2">
        <v>0.3</v>
      </c>
      <c r="F4979" s="2">
        <v>4</v>
      </c>
      <c r="G4979" s="2">
        <v>48.030799999999999</v>
      </c>
      <c r="H4979" s="2">
        <v>60.403100000000002</v>
      </c>
      <c r="I4979" s="2">
        <v>0</v>
      </c>
      <c r="J4979" s="2">
        <v>0</v>
      </c>
    </row>
    <row r="4980" spans="1:10">
      <c r="A4980" s="2" t="s">
        <v>138</v>
      </c>
      <c r="B4980" s="2">
        <v>20</v>
      </c>
      <c r="C4980" s="2">
        <v>19.6145</v>
      </c>
      <c r="D4980" s="60" t="s">
        <v>149</v>
      </c>
    </row>
    <row r="4981" spans="1:10">
      <c r="A4981" s="2" t="s">
        <v>140</v>
      </c>
      <c r="B4981" s="2">
        <v>0</v>
      </c>
      <c r="C4981" s="2">
        <v>54.820799999999998</v>
      </c>
      <c r="D4981" s="60">
        <v>28.321999999999999</v>
      </c>
    </row>
    <row r="4982" spans="1:10">
      <c r="A4982" s="2" t="s">
        <v>141</v>
      </c>
      <c r="B4982" s="2">
        <v>0</v>
      </c>
      <c r="C4982" s="2">
        <v>2.2000000000000002</v>
      </c>
      <c r="D4982" s="60" t="s">
        <v>158</v>
      </c>
    </row>
    <row r="4983" spans="1:10">
      <c r="A4983" s="2" t="s">
        <v>141</v>
      </c>
      <c r="B4983" s="2">
        <v>0</v>
      </c>
      <c r="C4983" s="2">
        <v>7</v>
      </c>
      <c r="D4983" s="60" t="s">
        <v>145</v>
      </c>
    </row>
    <row r="4984" spans="1:10">
      <c r="A4984" s="2" t="s">
        <v>141</v>
      </c>
      <c r="B4984" s="2">
        <v>0</v>
      </c>
      <c r="C4984" s="2">
        <v>21.735900000000001</v>
      </c>
      <c r="D4984" s="60" t="s">
        <v>155</v>
      </c>
    </row>
    <row r="4985" spans="1:10">
      <c r="A4985" s="2" t="s">
        <v>141</v>
      </c>
      <c r="B4985" s="2">
        <v>2.2000000000000002</v>
      </c>
      <c r="C4985" s="2">
        <v>2.5</v>
      </c>
      <c r="D4985" s="60" t="s">
        <v>160</v>
      </c>
    </row>
    <row r="4986" spans="1:10">
      <c r="A4986" s="2" t="s">
        <v>141</v>
      </c>
      <c r="B4986" s="2">
        <v>3.5</v>
      </c>
      <c r="C4986" s="2">
        <v>3.8</v>
      </c>
      <c r="D4986" s="60" t="s">
        <v>153</v>
      </c>
    </row>
    <row r="4987" spans="1:10">
      <c r="A4987" s="2" t="s">
        <v>141</v>
      </c>
      <c r="B4987" s="2">
        <v>3.5</v>
      </c>
      <c r="C4987" s="2">
        <v>3.8</v>
      </c>
      <c r="D4987" s="60" t="s">
        <v>154</v>
      </c>
    </row>
    <row r="4988" spans="1:10">
      <c r="A4988" s="2" t="s">
        <v>141</v>
      </c>
      <c r="B4988" s="2">
        <v>7</v>
      </c>
      <c r="C4988" s="2">
        <v>7.4</v>
      </c>
      <c r="D4988" s="60" t="s">
        <v>147</v>
      </c>
    </row>
    <row r="4989" spans="1:10">
      <c r="A4989" s="2" t="s">
        <v>141</v>
      </c>
      <c r="B4989" s="2">
        <v>7.4</v>
      </c>
      <c r="C4989" s="2">
        <v>8.8000000000000007</v>
      </c>
      <c r="D4989" s="60" t="s">
        <v>144</v>
      </c>
    </row>
    <row r="4990" spans="1:10">
      <c r="A4990" s="2" t="s">
        <v>141</v>
      </c>
      <c r="B4990" s="2">
        <v>8.8000000000000007</v>
      </c>
      <c r="C4990" s="2">
        <v>9</v>
      </c>
      <c r="D4990" s="60" t="s">
        <v>145</v>
      </c>
    </row>
    <row r="4991" spans="1:10">
      <c r="A4991" s="2" t="s">
        <v>141</v>
      </c>
      <c r="B4991" s="2">
        <v>9</v>
      </c>
      <c r="C4991" s="2">
        <v>21.735900000000001</v>
      </c>
      <c r="D4991" s="60" t="s">
        <v>144</v>
      </c>
    </row>
    <row r="4992" spans="1:10">
      <c r="A4992" s="2" t="s">
        <v>156</v>
      </c>
      <c r="B4992" s="2">
        <v>3.5</v>
      </c>
      <c r="C4992" s="2">
        <v>44.4313</v>
      </c>
    </row>
    <row r="4993" spans="1:10">
      <c r="A4993" s="2" t="s">
        <v>148</v>
      </c>
      <c r="B4993" s="2" t="s">
        <v>99</v>
      </c>
      <c r="C4993" s="2">
        <v>7.1214100000000002E-2</v>
      </c>
      <c r="D4993" s="60">
        <v>0</v>
      </c>
      <c r="E4993" s="2">
        <v>0</v>
      </c>
      <c r="F4993" s="2">
        <v>0.3</v>
      </c>
      <c r="G4993" s="2">
        <v>53.750100000000003</v>
      </c>
      <c r="H4993" s="2">
        <v>56.292700000000004</v>
      </c>
      <c r="I4993" s="2">
        <v>0</v>
      </c>
      <c r="J4993" s="2">
        <v>0</v>
      </c>
    </row>
    <row r="4994" spans="1:10">
      <c r="A4994" s="2" t="s">
        <v>148</v>
      </c>
      <c r="B4994" s="2" t="s">
        <v>100</v>
      </c>
      <c r="C4994" s="2">
        <v>1.6403999999999998E-2</v>
      </c>
      <c r="D4994" s="60">
        <v>0</v>
      </c>
      <c r="E4994" s="2">
        <v>23.351099999999999</v>
      </c>
      <c r="F4994" s="2">
        <v>4.9708899999999998</v>
      </c>
      <c r="G4994" s="2">
        <v>0</v>
      </c>
      <c r="H4994" s="2">
        <v>10</v>
      </c>
      <c r="I4994" s="2">
        <v>0</v>
      </c>
      <c r="J4994" s="2">
        <v>0</v>
      </c>
    </row>
    <row r="4995" spans="1:10">
      <c r="A4995" s="2" t="s">
        <v>148</v>
      </c>
      <c r="B4995" s="2" t="s">
        <v>98</v>
      </c>
      <c r="C4995" s="2">
        <v>0.20800299999999999</v>
      </c>
      <c r="D4995" s="60">
        <v>0</v>
      </c>
      <c r="E4995" s="2">
        <v>14.710100000000001</v>
      </c>
      <c r="F4995" s="2">
        <v>8.6409599999999998</v>
      </c>
      <c r="G4995" s="2">
        <v>10</v>
      </c>
      <c r="H4995" s="2">
        <v>23.8826</v>
      </c>
      <c r="I4995" s="2">
        <v>0</v>
      </c>
      <c r="J4995" s="2">
        <v>0</v>
      </c>
    </row>
    <row r="4996" spans="1:10">
      <c r="A4996" s="2" t="s">
        <v>148</v>
      </c>
      <c r="B4996" s="2" t="s">
        <v>101</v>
      </c>
      <c r="C4996" s="2">
        <v>4.3066E-2</v>
      </c>
      <c r="D4996" s="60">
        <v>0</v>
      </c>
      <c r="E4996" s="2">
        <v>13.8</v>
      </c>
      <c r="F4996" s="2">
        <v>0.91011900000000001</v>
      </c>
      <c r="G4996" s="2">
        <v>23.8826</v>
      </c>
      <c r="H4996" s="2">
        <v>25.193999999999999</v>
      </c>
      <c r="I4996" s="2">
        <v>0</v>
      </c>
      <c r="J4996" s="2">
        <v>0</v>
      </c>
    </row>
    <row r="4997" spans="1:10">
      <c r="A4997" s="2" t="s">
        <v>148</v>
      </c>
      <c r="B4997" s="2" t="s">
        <v>63</v>
      </c>
      <c r="C4997" s="2">
        <v>0.24406</v>
      </c>
      <c r="D4997" s="60">
        <v>17.084199999999999</v>
      </c>
      <c r="E4997" s="2">
        <v>9.8000000000000007</v>
      </c>
      <c r="F4997" s="2">
        <v>4</v>
      </c>
      <c r="G4997" s="2">
        <v>25.193999999999999</v>
      </c>
      <c r="H4997" s="2">
        <v>30.284700000000001</v>
      </c>
      <c r="I4997" s="2">
        <v>0</v>
      </c>
      <c r="J4997" s="2">
        <v>0</v>
      </c>
    </row>
    <row r="4998" spans="1:10">
      <c r="A4998" s="2" t="s">
        <v>148</v>
      </c>
      <c r="B4998" s="2" t="s">
        <v>62</v>
      </c>
      <c r="C4998" s="2">
        <v>0.52524700000000002</v>
      </c>
      <c r="D4998" s="60">
        <v>42.019799999999996</v>
      </c>
      <c r="E4998" s="2">
        <v>3.8</v>
      </c>
      <c r="F4998" s="2">
        <v>6</v>
      </c>
      <c r="G4998" s="2">
        <v>30.284700000000001</v>
      </c>
      <c r="H4998" s="2">
        <v>36.2194</v>
      </c>
      <c r="I4998" s="2">
        <v>0</v>
      </c>
      <c r="J4998" s="2">
        <v>0</v>
      </c>
    </row>
    <row r="4999" spans="1:10">
      <c r="A4999" s="2" t="s">
        <v>148</v>
      </c>
      <c r="B4999" s="2" t="s">
        <v>101</v>
      </c>
      <c r="C4999" s="2">
        <v>0.59870100000000004</v>
      </c>
      <c r="D4999" s="60">
        <v>0</v>
      </c>
      <c r="E4999" s="2">
        <v>0.3</v>
      </c>
      <c r="F4999" s="2">
        <v>3.5</v>
      </c>
      <c r="G4999" s="2">
        <v>36.2194</v>
      </c>
      <c r="H4999" s="2">
        <v>53.750100000000003</v>
      </c>
      <c r="I4999" s="2">
        <v>0</v>
      </c>
      <c r="J4999" s="2">
        <v>0</v>
      </c>
    </row>
    <row r="5000" spans="1:10">
      <c r="A5000" s="2" t="s">
        <v>140</v>
      </c>
      <c r="B5000" s="2">
        <v>1</v>
      </c>
      <c r="C5000" s="2">
        <v>24.593</v>
      </c>
      <c r="D5000" s="60">
        <v>28.321999999999999</v>
      </c>
      <c r="E5000" s="2">
        <v>3.5</v>
      </c>
    </row>
    <row r="5001" spans="1:10">
      <c r="A5001" s="2" t="s">
        <v>141</v>
      </c>
      <c r="B5001" s="2">
        <v>3.5</v>
      </c>
      <c r="C5001" s="2">
        <v>3.8</v>
      </c>
      <c r="D5001" s="60" t="s">
        <v>153</v>
      </c>
    </row>
    <row r="5002" spans="1:10">
      <c r="A5002" s="2" t="s">
        <v>141</v>
      </c>
      <c r="B5002" s="2">
        <v>3.5</v>
      </c>
      <c r="C5002" s="2">
        <v>13.1</v>
      </c>
      <c r="D5002" s="60" t="s">
        <v>155</v>
      </c>
    </row>
    <row r="5003" spans="1:10">
      <c r="A5003" s="2" t="s">
        <v>141</v>
      </c>
      <c r="B5003" s="2">
        <v>3.5</v>
      </c>
      <c r="C5003" s="2">
        <v>21.735900000000001</v>
      </c>
      <c r="D5003" s="60" t="s">
        <v>144</v>
      </c>
    </row>
    <row r="5004" spans="1:10">
      <c r="A5004" s="2" t="s">
        <v>141</v>
      </c>
      <c r="B5004" s="2">
        <v>13.1</v>
      </c>
      <c r="C5004" s="2">
        <v>21.735900000000001</v>
      </c>
      <c r="D5004" s="60" t="s">
        <v>161</v>
      </c>
    </row>
    <row r="5005" spans="1:10">
      <c r="A5005" s="2" t="s">
        <v>148</v>
      </c>
      <c r="B5005" s="2" t="s">
        <v>100</v>
      </c>
      <c r="C5005" s="2">
        <v>2.72102E-2</v>
      </c>
      <c r="D5005" s="60">
        <v>0</v>
      </c>
      <c r="E5005" s="2">
        <v>19.090599999999998</v>
      </c>
      <c r="F5005" s="2">
        <v>9.2313600000000005</v>
      </c>
      <c r="G5005" s="2">
        <v>0</v>
      </c>
      <c r="H5005" s="2">
        <v>10</v>
      </c>
      <c r="I5005" s="2">
        <v>0</v>
      </c>
      <c r="J5005" s="2">
        <v>0</v>
      </c>
    </row>
    <row r="5006" spans="1:10">
      <c r="A5006" s="2" t="s">
        <v>148</v>
      </c>
      <c r="B5006" s="2" t="s">
        <v>98</v>
      </c>
      <c r="C5006" s="2">
        <v>6.67083E-3</v>
      </c>
      <c r="D5006" s="60">
        <v>0</v>
      </c>
      <c r="E5006" s="2">
        <v>18.302800000000001</v>
      </c>
      <c r="F5006" s="2">
        <v>0.78776999999999997</v>
      </c>
      <c r="G5006" s="2">
        <v>10</v>
      </c>
      <c r="H5006" s="2">
        <v>10.761100000000001</v>
      </c>
      <c r="I5006" s="2">
        <v>0</v>
      </c>
      <c r="J5006" s="2">
        <v>0</v>
      </c>
    </row>
    <row r="5007" spans="1:10">
      <c r="A5007" s="2" t="s">
        <v>148</v>
      </c>
      <c r="B5007" s="2" t="s">
        <v>101</v>
      </c>
      <c r="C5007" s="2">
        <v>9.7322400000000003E-2</v>
      </c>
      <c r="D5007" s="60">
        <v>0</v>
      </c>
      <c r="E5007" s="2">
        <v>11.8</v>
      </c>
      <c r="F5007" s="2">
        <v>6.50284</v>
      </c>
      <c r="G5007" s="2">
        <v>10.761100000000001</v>
      </c>
      <c r="H5007" s="2">
        <v>16.4178</v>
      </c>
      <c r="I5007" s="2">
        <v>0</v>
      </c>
      <c r="J5007" s="2">
        <v>0</v>
      </c>
    </row>
    <row r="5008" spans="1:10">
      <c r="A5008" s="2" t="s">
        <v>148</v>
      </c>
      <c r="B5008" s="2" t="s">
        <v>63</v>
      </c>
      <c r="C5008" s="2">
        <v>9.9797300000000005E-2</v>
      </c>
      <c r="D5008" s="60">
        <v>6.9858099999999999</v>
      </c>
      <c r="E5008" s="2">
        <v>7.8</v>
      </c>
      <c r="F5008" s="2">
        <v>4</v>
      </c>
      <c r="G5008" s="2">
        <v>16.4178</v>
      </c>
      <c r="H5008" s="2">
        <v>19.088999999999999</v>
      </c>
      <c r="I5008" s="2">
        <v>0</v>
      </c>
      <c r="J5008" s="2">
        <v>0</v>
      </c>
    </row>
    <row r="5009" spans="1:10">
      <c r="A5009" s="2" t="s">
        <v>148</v>
      </c>
      <c r="B5009" s="2" t="s">
        <v>63</v>
      </c>
      <c r="C5009" s="2">
        <v>0.128501</v>
      </c>
      <c r="D5009" s="60">
        <v>8.9950899999999994</v>
      </c>
      <c r="E5009" s="2">
        <v>3.8</v>
      </c>
      <c r="F5009" s="2">
        <v>4</v>
      </c>
      <c r="G5009" s="2">
        <v>19.088999999999999</v>
      </c>
      <c r="H5009" s="2">
        <v>21.3279</v>
      </c>
      <c r="I5009" s="2">
        <v>0</v>
      </c>
      <c r="J5009" s="2">
        <v>0</v>
      </c>
    </row>
    <row r="5010" spans="1:10">
      <c r="A5010" s="2" t="s">
        <v>148</v>
      </c>
      <c r="B5010" s="2" t="s">
        <v>101</v>
      </c>
      <c r="C5010" s="2">
        <v>1.0808999999999999E-2</v>
      </c>
      <c r="D5010" s="60">
        <v>0</v>
      </c>
      <c r="E5010" s="2">
        <v>3.5</v>
      </c>
      <c r="F5010" s="2">
        <v>0.3</v>
      </c>
      <c r="G5010" s="2">
        <v>21.3279</v>
      </c>
      <c r="H5010" s="2">
        <v>21.510400000000001</v>
      </c>
      <c r="I5010" s="2">
        <v>0</v>
      </c>
      <c r="J5010" s="2">
        <v>0</v>
      </c>
    </row>
    <row r="5011" spans="1:10">
      <c r="A5011" s="2" t="s">
        <v>138</v>
      </c>
      <c r="B5011" s="2">
        <v>21</v>
      </c>
      <c r="C5011" s="2">
        <v>18.0976</v>
      </c>
      <c r="D5011" s="60" t="s">
        <v>149</v>
      </c>
    </row>
    <row r="5012" spans="1:10">
      <c r="A5012" s="2" t="s">
        <v>140</v>
      </c>
      <c r="B5012" s="2">
        <v>0</v>
      </c>
      <c r="C5012" s="2">
        <v>33.837400000000002</v>
      </c>
      <c r="D5012" s="60">
        <v>24.734200000000001</v>
      </c>
    </row>
    <row r="5013" spans="1:10">
      <c r="A5013" s="2" t="s">
        <v>141</v>
      </c>
      <c r="B5013" s="2">
        <v>0</v>
      </c>
      <c r="C5013" s="2">
        <v>0.4</v>
      </c>
      <c r="D5013" s="60" t="s">
        <v>157</v>
      </c>
    </row>
    <row r="5014" spans="1:10">
      <c r="A5014" s="2" t="s">
        <v>141</v>
      </c>
      <c r="B5014" s="2">
        <v>0</v>
      </c>
      <c r="C5014" s="2">
        <v>6.8</v>
      </c>
      <c r="D5014" s="60" t="s">
        <v>142</v>
      </c>
    </row>
    <row r="5015" spans="1:10">
      <c r="A5015" s="2" t="s">
        <v>141</v>
      </c>
      <c r="B5015" s="2">
        <v>0</v>
      </c>
      <c r="C5015" s="2">
        <v>8.6999999999999993</v>
      </c>
      <c r="D5015" s="60" t="s">
        <v>146</v>
      </c>
    </row>
    <row r="5016" spans="1:10">
      <c r="A5016" s="2" t="s">
        <v>141</v>
      </c>
      <c r="B5016" s="2">
        <v>6.8</v>
      </c>
      <c r="C5016" s="2">
        <v>19.288599999999999</v>
      </c>
      <c r="D5016" s="60" t="s">
        <v>144</v>
      </c>
    </row>
    <row r="5017" spans="1:10">
      <c r="A5017" s="2" t="s">
        <v>141</v>
      </c>
      <c r="B5017" s="2">
        <v>8.6999999999999993</v>
      </c>
      <c r="C5017" s="2">
        <v>13.4</v>
      </c>
      <c r="D5017" s="60" t="s">
        <v>155</v>
      </c>
    </row>
    <row r="5018" spans="1:10">
      <c r="A5018" s="2" t="s">
        <v>141</v>
      </c>
      <c r="B5018" s="2">
        <v>13.4</v>
      </c>
      <c r="C5018" s="2">
        <v>19.288599999999999</v>
      </c>
      <c r="D5018" s="60" t="s">
        <v>161</v>
      </c>
    </row>
    <row r="5019" spans="1:10">
      <c r="A5019" s="2" t="s">
        <v>148</v>
      </c>
      <c r="B5019" s="2" t="s">
        <v>99</v>
      </c>
      <c r="C5019" s="2">
        <v>2.9765799999999999E-2</v>
      </c>
      <c r="D5019" s="60">
        <v>0</v>
      </c>
      <c r="E5019" s="2">
        <v>0</v>
      </c>
      <c r="F5019" s="2">
        <v>0.3</v>
      </c>
      <c r="G5019" s="2">
        <v>34.651699999999998</v>
      </c>
      <c r="H5019" s="2">
        <v>36.509300000000003</v>
      </c>
      <c r="I5019" s="2">
        <v>0</v>
      </c>
      <c r="J5019" s="2">
        <v>0</v>
      </c>
    </row>
    <row r="5020" spans="1:10">
      <c r="A5020" s="2" t="s">
        <v>148</v>
      </c>
      <c r="B5020" s="2" t="s">
        <v>100</v>
      </c>
      <c r="C5020" s="2">
        <v>1.8161299999999998E-2</v>
      </c>
      <c r="D5020" s="60">
        <v>0</v>
      </c>
      <c r="E5020" s="2">
        <v>18.895</v>
      </c>
      <c r="F5020" s="2">
        <v>5.8392499999999998</v>
      </c>
      <c r="G5020" s="2">
        <v>0</v>
      </c>
      <c r="H5020" s="2">
        <v>10</v>
      </c>
      <c r="I5020" s="2">
        <v>0</v>
      </c>
      <c r="J5020" s="2">
        <v>0</v>
      </c>
    </row>
    <row r="5021" spans="1:10">
      <c r="A5021" s="2" t="s">
        <v>148</v>
      </c>
      <c r="B5021" s="2" t="s">
        <v>98</v>
      </c>
      <c r="C5021" s="2">
        <v>2.1448800000000001E-2</v>
      </c>
      <c r="D5021" s="60">
        <v>0</v>
      </c>
      <c r="E5021" s="2">
        <v>16.8476</v>
      </c>
      <c r="F5021" s="2">
        <v>2.0474199999999998</v>
      </c>
      <c r="G5021" s="2">
        <v>10</v>
      </c>
      <c r="H5021" s="2">
        <v>13.034599999999999</v>
      </c>
      <c r="I5021" s="2">
        <v>0</v>
      </c>
      <c r="J5021" s="2">
        <v>0</v>
      </c>
    </row>
    <row r="5022" spans="1:10">
      <c r="A5022" s="2" t="s">
        <v>148</v>
      </c>
      <c r="B5022" s="2" t="s">
        <v>101</v>
      </c>
      <c r="C5022" s="2">
        <v>9.6073099999999995E-2</v>
      </c>
      <c r="D5022" s="60">
        <v>0</v>
      </c>
      <c r="E5022" s="2">
        <v>12.3</v>
      </c>
      <c r="F5022" s="2">
        <v>4.5475500000000002</v>
      </c>
      <c r="G5022" s="2">
        <v>13.034599999999999</v>
      </c>
      <c r="H5022" s="2">
        <v>19.406099999999999</v>
      </c>
      <c r="I5022" s="2">
        <v>0</v>
      </c>
      <c r="J5022" s="2">
        <v>0</v>
      </c>
    </row>
    <row r="5023" spans="1:10">
      <c r="A5023" s="2" t="s">
        <v>148</v>
      </c>
      <c r="B5023" s="2" t="s">
        <v>63</v>
      </c>
      <c r="C5023" s="2">
        <v>0.149613</v>
      </c>
      <c r="D5023" s="60">
        <v>10.472899999999999</v>
      </c>
      <c r="E5023" s="2">
        <v>8.3000000000000007</v>
      </c>
      <c r="F5023" s="2">
        <v>4</v>
      </c>
      <c r="G5023" s="2">
        <v>19.406099999999999</v>
      </c>
      <c r="H5023" s="2">
        <v>23.967099999999999</v>
      </c>
      <c r="I5023" s="2">
        <v>0</v>
      </c>
      <c r="J5023" s="2">
        <v>0</v>
      </c>
    </row>
    <row r="5024" spans="1:10">
      <c r="A5024" s="2" t="s">
        <v>148</v>
      </c>
      <c r="B5024" s="2" t="s">
        <v>60</v>
      </c>
      <c r="C5024" s="2">
        <v>0.20943800000000001</v>
      </c>
      <c r="D5024" s="60">
        <v>18.849399999999999</v>
      </c>
      <c r="E5024" s="2">
        <v>4.3</v>
      </c>
      <c r="F5024" s="2">
        <v>4</v>
      </c>
      <c r="G5024" s="2">
        <v>23.967099999999999</v>
      </c>
      <c r="H5024" s="2">
        <v>27.512699999999999</v>
      </c>
      <c r="I5024" s="2">
        <v>0</v>
      </c>
      <c r="J5024" s="2">
        <v>0</v>
      </c>
    </row>
    <row r="5025" spans="1:10">
      <c r="A5025" s="2" t="s">
        <v>148</v>
      </c>
      <c r="B5025" s="2" t="s">
        <v>60</v>
      </c>
      <c r="C5025" s="2">
        <v>0.28167599999999998</v>
      </c>
      <c r="D5025" s="60">
        <v>25.350899999999999</v>
      </c>
      <c r="E5025" s="2">
        <v>0.3</v>
      </c>
      <c r="F5025" s="2">
        <v>4</v>
      </c>
      <c r="G5025" s="2">
        <v>27.512699999999999</v>
      </c>
      <c r="H5025" s="2">
        <v>34.651699999999998</v>
      </c>
      <c r="I5025" s="2">
        <v>0</v>
      </c>
      <c r="J5025" s="2">
        <v>0</v>
      </c>
    </row>
    <row r="5026" spans="1:10">
      <c r="A5026" s="2" t="s">
        <v>130</v>
      </c>
      <c r="B5026" s="2" t="s">
        <v>131</v>
      </c>
      <c r="C5026" s="2" t="s">
        <v>162</v>
      </c>
      <c r="D5026" s="60" t="s">
        <v>133</v>
      </c>
      <c r="E5026" s="2">
        <v>11</v>
      </c>
      <c r="F5026" s="2">
        <v>2016</v>
      </c>
    </row>
    <row r="5027" spans="1:10">
      <c r="A5027" s="2" t="s">
        <v>134</v>
      </c>
      <c r="B5027" s="2" t="s">
        <v>79</v>
      </c>
      <c r="C5027" s="2">
        <v>28</v>
      </c>
      <c r="D5027" s="60" t="s">
        <v>291</v>
      </c>
      <c r="E5027" s="2" t="s">
        <v>136</v>
      </c>
      <c r="F5027" s="2" t="s">
        <v>137</v>
      </c>
      <c r="G5027" s="2" t="s">
        <v>129</v>
      </c>
      <c r="H5027" s="2" t="s">
        <v>273</v>
      </c>
    </row>
    <row r="5028" spans="1:10">
      <c r="A5028" s="2" t="s">
        <v>138</v>
      </c>
      <c r="B5028" s="2">
        <v>1</v>
      </c>
      <c r="C5028" s="2">
        <v>19.4481</v>
      </c>
      <c r="D5028" s="60" t="s">
        <v>149</v>
      </c>
    </row>
    <row r="5029" spans="1:10">
      <c r="A5029" s="2" t="s">
        <v>140</v>
      </c>
      <c r="B5029" s="2">
        <v>0</v>
      </c>
      <c r="C5029" s="2">
        <v>49.959400000000002</v>
      </c>
      <c r="D5029" s="60">
        <v>27.305499999999999</v>
      </c>
    </row>
    <row r="5030" spans="1:10">
      <c r="A5030" s="2" t="s">
        <v>141</v>
      </c>
      <c r="B5030" s="2">
        <v>0</v>
      </c>
      <c r="C5030" s="2">
        <v>7</v>
      </c>
      <c r="D5030" s="60" t="s">
        <v>142</v>
      </c>
    </row>
    <row r="5031" spans="1:10">
      <c r="A5031" s="2" t="s">
        <v>141</v>
      </c>
      <c r="B5031" s="2">
        <v>0</v>
      </c>
      <c r="C5031" s="2">
        <v>8</v>
      </c>
      <c r="D5031" s="60" t="s">
        <v>143</v>
      </c>
    </row>
    <row r="5032" spans="1:10">
      <c r="A5032" s="2" t="s">
        <v>141</v>
      </c>
      <c r="B5032" s="2">
        <v>7</v>
      </c>
      <c r="C5032" s="2">
        <v>8</v>
      </c>
      <c r="D5032" s="60" t="s">
        <v>144</v>
      </c>
    </row>
    <row r="5033" spans="1:10">
      <c r="A5033" s="2" t="s">
        <v>141</v>
      </c>
      <c r="B5033" s="2">
        <v>8</v>
      </c>
      <c r="C5033" s="2">
        <v>8.5</v>
      </c>
      <c r="D5033" s="60" t="s">
        <v>147</v>
      </c>
    </row>
    <row r="5034" spans="1:10">
      <c r="A5034" s="2" t="s">
        <v>141</v>
      </c>
      <c r="B5034" s="2">
        <v>8</v>
      </c>
      <c r="C5034" s="2">
        <v>11</v>
      </c>
      <c r="D5034" s="60" t="s">
        <v>146</v>
      </c>
    </row>
    <row r="5035" spans="1:10">
      <c r="A5035" s="2" t="s">
        <v>141</v>
      </c>
      <c r="B5035" s="2">
        <v>8.5</v>
      </c>
      <c r="C5035" s="2">
        <v>11</v>
      </c>
      <c r="D5035" s="60" t="s">
        <v>144</v>
      </c>
    </row>
    <row r="5036" spans="1:10">
      <c r="A5036" s="2" t="s">
        <v>141</v>
      </c>
      <c r="B5036" s="2">
        <v>11</v>
      </c>
      <c r="C5036" s="2">
        <v>12</v>
      </c>
      <c r="D5036" s="60" t="s">
        <v>151</v>
      </c>
    </row>
    <row r="5037" spans="1:10">
      <c r="A5037" s="2" t="s">
        <v>141</v>
      </c>
      <c r="B5037" s="2">
        <v>11</v>
      </c>
      <c r="C5037" s="2">
        <v>12</v>
      </c>
      <c r="D5037" s="60" t="s">
        <v>161</v>
      </c>
    </row>
    <row r="5038" spans="1:10">
      <c r="A5038" s="2" t="s">
        <v>141</v>
      </c>
      <c r="B5038" s="2">
        <v>12</v>
      </c>
      <c r="C5038" s="2">
        <v>14</v>
      </c>
      <c r="D5038" s="60" t="s">
        <v>152</v>
      </c>
    </row>
    <row r="5039" spans="1:10">
      <c r="A5039" s="2" t="s">
        <v>141</v>
      </c>
      <c r="B5039" s="2">
        <v>12</v>
      </c>
      <c r="C5039" s="2">
        <v>20.991700000000002</v>
      </c>
      <c r="D5039" s="60" t="s">
        <v>144</v>
      </c>
    </row>
    <row r="5040" spans="1:10">
      <c r="A5040" s="2" t="s">
        <v>141</v>
      </c>
      <c r="B5040" s="2">
        <v>12.1</v>
      </c>
      <c r="C5040" s="2">
        <v>12.4</v>
      </c>
      <c r="D5040" s="60" t="s">
        <v>154</v>
      </c>
    </row>
    <row r="5041" spans="1:10">
      <c r="A5041" s="2" t="s">
        <v>141</v>
      </c>
      <c r="B5041" s="2">
        <v>14</v>
      </c>
      <c r="C5041" s="2">
        <v>20.991700000000002</v>
      </c>
      <c r="D5041" s="60" t="s">
        <v>146</v>
      </c>
    </row>
    <row r="5042" spans="1:10">
      <c r="A5042" s="2" t="s">
        <v>156</v>
      </c>
      <c r="B5042" s="2">
        <v>12.1</v>
      </c>
      <c r="C5042" s="2">
        <v>45.6417</v>
      </c>
    </row>
    <row r="5043" spans="1:10">
      <c r="A5043" s="2" t="s">
        <v>148</v>
      </c>
      <c r="B5043" s="2" t="s">
        <v>99</v>
      </c>
      <c r="C5043" s="2">
        <v>6.0166999999999998E-2</v>
      </c>
      <c r="D5043" s="60">
        <v>0</v>
      </c>
      <c r="E5043" s="2">
        <v>0</v>
      </c>
      <c r="F5043" s="2">
        <v>0.3</v>
      </c>
      <c r="G5043" s="2">
        <v>49.369100000000003</v>
      </c>
      <c r="H5043" s="2">
        <v>51.784999999999997</v>
      </c>
      <c r="I5043" s="2">
        <v>0</v>
      </c>
      <c r="J5043" s="2">
        <v>0</v>
      </c>
    </row>
    <row r="5044" spans="1:10">
      <c r="A5044" s="2" t="s">
        <v>148</v>
      </c>
      <c r="B5044" s="2" t="s">
        <v>100</v>
      </c>
      <c r="C5044" s="2">
        <v>1.54358E-2</v>
      </c>
      <c r="D5044" s="60">
        <v>0</v>
      </c>
      <c r="E5044" s="2">
        <v>22.655799999999999</v>
      </c>
      <c r="F5044" s="2">
        <v>4.6497200000000003</v>
      </c>
      <c r="G5044" s="2">
        <v>0</v>
      </c>
      <c r="H5044" s="2">
        <v>10</v>
      </c>
      <c r="I5044" s="2">
        <v>0</v>
      </c>
      <c r="J5044" s="2">
        <v>0</v>
      </c>
    </row>
    <row r="5045" spans="1:10">
      <c r="A5045" s="2" t="s">
        <v>148</v>
      </c>
      <c r="B5045" s="2" t="s">
        <v>98</v>
      </c>
      <c r="C5045" s="2">
        <v>0.29626000000000002</v>
      </c>
      <c r="D5045" s="60">
        <v>0</v>
      </c>
      <c r="E5045" s="2">
        <v>12.548400000000001</v>
      </c>
      <c r="F5045" s="2">
        <v>10.1075</v>
      </c>
      <c r="G5045" s="2">
        <v>10</v>
      </c>
      <c r="H5045" s="2">
        <v>26.912400000000002</v>
      </c>
      <c r="I5045" s="2">
        <v>0</v>
      </c>
      <c r="J5045" s="2">
        <v>0</v>
      </c>
    </row>
    <row r="5046" spans="1:10">
      <c r="A5046" s="2" t="s">
        <v>148</v>
      </c>
      <c r="B5046" s="2" t="s">
        <v>101</v>
      </c>
      <c r="C5046" s="2">
        <v>0.15559100000000001</v>
      </c>
      <c r="D5046" s="60">
        <v>0</v>
      </c>
      <c r="E5046" s="2">
        <v>10.4</v>
      </c>
      <c r="F5046" s="2">
        <v>2.1483599999999998</v>
      </c>
      <c r="G5046" s="2">
        <v>26.912400000000002</v>
      </c>
      <c r="H5046" s="2">
        <v>32.348500000000001</v>
      </c>
      <c r="I5046" s="2">
        <v>0</v>
      </c>
      <c r="J5046" s="2">
        <v>0</v>
      </c>
    </row>
    <row r="5047" spans="1:10">
      <c r="A5047" s="2" t="s">
        <v>148</v>
      </c>
      <c r="B5047" s="2" t="s">
        <v>59</v>
      </c>
      <c r="C5047" s="2">
        <v>0.38325500000000001</v>
      </c>
      <c r="D5047" s="60">
        <v>38.325499999999998</v>
      </c>
      <c r="E5047" s="2">
        <v>6.4</v>
      </c>
      <c r="F5047" s="2">
        <v>4</v>
      </c>
      <c r="G5047" s="2">
        <v>32.348500000000001</v>
      </c>
      <c r="H5047" s="2">
        <v>37.254100000000001</v>
      </c>
      <c r="I5047" s="2">
        <v>0</v>
      </c>
      <c r="J5047" s="2">
        <v>0</v>
      </c>
    </row>
    <row r="5048" spans="1:10">
      <c r="A5048" s="2" t="s">
        <v>148</v>
      </c>
      <c r="B5048" s="2" t="s">
        <v>56</v>
      </c>
      <c r="C5048" s="2">
        <v>0.82047099999999995</v>
      </c>
      <c r="D5048" s="60">
        <v>114.866</v>
      </c>
      <c r="E5048" s="2">
        <v>0.3</v>
      </c>
      <c r="F5048" s="2">
        <v>6.1</v>
      </c>
      <c r="G5048" s="2">
        <v>37.254100000000001</v>
      </c>
      <c r="H5048" s="2">
        <v>49.369100000000003</v>
      </c>
      <c r="I5048" s="2">
        <v>0</v>
      </c>
      <c r="J5048" s="2">
        <v>0</v>
      </c>
    </row>
    <row r="5049" spans="1:10">
      <c r="A5049" s="2" t="s">
        <v>138</v>
      </c>
      <c r="B5049" s="2">
        <v>2</v>
      </c>
      <c r="C5049" s="2">
        <v>19.713100000000001</v>
      </c>
      <c r="D5049" s="60" t="s">
        <v>175</v>
      </c>
    </row>
    <row r="5050" spans="1:10">
      <c r="A5050" s="2" t="s">
        <v>140</v>
      </c>
      <c r="B5050" s="2">
        <v>0</v>
      </c>
      <c r="C5050" s="2">
        <v>60.390799999999999</v>
      </c>
      <c r="D5050" s="60">
        <v>28.758500000000002</v>
      </c>
      <c r="E5050" s="2">
        <v>0</v>
      </c>
      <c r="F5050" s="2">
        <v>14</v>
      </c>
    </row>
    <row r="5051" spans="1:10">
      <c r="A5051" s="2" t="s">
        <v>141</v>
      </c>
      <c r="B5051" s="2">
        <v>0</v>
      </c>
      <c r="C5051" s="2">
        <v>6.9</v>
      </c>
      <c r="D5051" s="60" t="s">
        <v>142</v>
      </c>
    </row>
    <row r="5052" spans="1:10">
      <c r="A5052" s="2" t="s">
        <v>141</v>
      </c>
      <c r="B5052" s="2">
        <v>0</v>
      </c>
      <c r="C5052" s="2">
        <v>9.5</v>
      </c>
      <c r="D5052" s="60" t="s">
        <v>146</v>
      </c>
    </row>
    <row r="5053" spans="1:10">
      <c r="A5053" s="2" t="s">
        <v>141</v>
      </c>
      <c r="B5053" s="2">
        <v>6.9</v>
      </c>
      <c r="C5053" s="2">
        <v>9.5</v>
      </c>
      <c r="D5053" s="60" t="s">
        <v>145</v>
      </c>
    </row>
    <row r="5054" spans="1:10">
      <c r="A5054" s="2" t="s">
        <v>141</v>
      </c>
      <c r="B5054" s="2">
        <v>9.5</v>
      </c>
      <c r="C5054" s="2">
        <v>22.0075</v>
      </c>
      <c r="D5054" s="60" t="s">
        <v>147</v>
      </c>
    </row>
    <row r="5055" spans="1:10">
      <c r="A5055" s="2" t="s">
        <v>141</v>
      </c>
      <c r="B5055" s="2">
        <v>9.5</v>
      </c>
      <c r="C5055" s="2">
        <v>22.0075</v>
      </c>
      <c r="D5055" s="60" t="s">
        <v>155</v>
      </c>
    </row>
    <row r="5056" spans="1:10">
      <c r="A5056" s="2" t="s">
        <v>148</v>
      </c>
      <c r="B5056" s="2" t="s">
        <v>99</v>
      </c>
      <c r="C5056" s="2">
        <v>8.4769499999999998E-2</v>
      </c>
      <c r="D5056" s="60">
        <v>0</v>
      </c>
      <c r="E5056" s="2">
        <v>0</v>
      </c>
      <c r="F5056" s="2">
        <v>0.3</v>
      </c>
      <c r="G5056" s="2">
        <v>58.660699999999999</v>
      </c>
      <c r="H5056" s="2">
        <v>61.3964</v>
      </c>
      <c r="I5056" s="2">
        <v>0</v>
      </c>
      <c r="J5056" s="2">
        <v>0</v>
      </c>
    </row>
    <row r="5057" spans="1:10">
      <c r="A5057" s="2" t="s">
        <v>148</v>
      </c>
      <c r="B5057" s="2" t="s">
        <v>98</v>
      </c>
      <c r="C5057" s="2">
        <v>0.25381300000000001</v>
      </c>
      <c r="D5057" s="60">
        <v>0</v>
      </c>
      <c r="E5057" s="2">
        <v>11.4308</v>
      </c>
      <c r="F5057" s="2">
        <v>2.5691799999999998</v>
      </c>
      <c r="G5057" s="2">
        <v>33.189300000000003</v>
      </c>
      <c r="H5057" s="2">
        <v>37.5989</v>
      </c>
      <c r="I5057" s="2">
        <v>0</v>
      </c>
      <c r="J5057" s="2">
        <v>0</v>
      </c>
    </row>
    <row r="5058" spans="1:10">
      <c r="A5058" s="2" t="s">
        <v>148</v>
      </c>
      <c r="B5058" s="2" t="s">
        <v>101</v>
      </c>
      <c r="C5058" s="2">
        <v>0.119445</v>
      </c>
      <c r="D5058" s="60">
        <v>0</v>
      </c>
      <c r="E5058" s="2">
        <v>10.4</v>
      </c>
      <c r="F5058" s="2">
        <v>1.0308200000000001</v>
      </c>
      <c r="G5058" s="2">
        <v>37.5989</v>
      </c>
      <c r="H5058" s="2">
        <v>39.200099999999999</v>
      </c>
      <c r="I5058" s="2">
        <v>0</v>
      </c>
      <c r="J5058" s="2">
        <v>0</v>
      </c>
    </row>
    <row r="5059" spans="1:10">
      <c r="A5059" s="2" t="s">
        <v>148</v>
      </c>
      <c r="B5059" s="2" t="s">
        <v>62</v>
      </c>
      <c r="C5059" s="2">
        <v>0.55470299999999995</v>
      </c>
      <c r="D5059" s="60">
        <v>44.376199999999997</v>
      </c>
      <c r="E5059" s="2">
        <v>6.4</v>
      </c>
      <c r="F5059" s="2">
        <v>4</v>
      </c>
      <c r="G5059" s="2">
        <v>39.200099999999999</v>
      </c>
      <c r="H5059" s="2">
        <v>44.585599999999999</v>
      </c>
      <c r="I5059" s="2">
        <v>0</v>
      </c>
      <c r="J5059" s="2">
        <v>0</v>
      </c>
    </row>
    <row r="5060" spans="1:10">
      <c r="A5060" s="2" t="s">
        <v>148</v>
      </c>
      <c r="B5060" s="2" t="s">
        <v>55</v>
      </c>
      <c r="C5060" s="2">
        <v>1.1662999999999999</v>
      </c>
      <c r="D5060" s="60">
        <v>169.113</v>
      </c>
      <c r="E5060" s="2">
        <v>0.3</v>
      </c>
      <c r="F5060" s="2">
        <v>6.1</v>
      </c>
      <c r="G5060" s="2">
        <v>44.585599999999999</v>
      </c>
      <c r="H5060" s="2">
        <v>58.660699999999999</v>
      </c>
      <c r="I5060" s="2">
        <v>0</v>
      </c>
      <c r="J5060" s="2">
        <v>0</v>
      </c>
    </row>
    <row r="5061" spans="1:10">
      <c r="A5061" s="2" t="s">
        <v>138</v>
      </c>
      <c r="B5061" s="2">
        <v>3</v>
      </c>
      <c r="C5061" s="2">
        <v>19.819099999999999</v>
      </c>
      <c r="D5061" s="60" t="s">
        <v>149</v>
      </c>
    </row>
    <row r="5062" spans="1:10">
      <c r="A5062" s="2" t="s">
        <v>140</v>
      </c>
      <c r="B5062" s="2">
        <v>0</v>
      </c>
      <c r="C5062" s="2">
        <v>68.869799999999998</v>
      </c>
      <c r="D5062" s="60">
        <v>29.738900000000001</v>
      </c>
    </row>
    <row r="5063" spans="1:10">
      <c r="A5063" s="2" t="s">
        <v>141</v>
      </c>
      <c r="B5063" s="2">
        <v>0</v>
      </c>
      <c r="C5063" s="2">
        <v>4.5</v>
      </c>
      <c r="D5063" s="60" t="s">
        <v>146</v>
      </c>
    </row>
    <row r="5064" spans="1:10">
      <c r="A5064" s="2" t="s">
        <v>141</v>
      </c>
      <c r="B5064" s="2">
        <v>0</v>
      </c>
      <c r="C5064" s="2">
        <v>6.8</v>
      </c>
      <c r="D5064" s="60" t="s">
        <v>142</v>
      </c>
    </row>
    <row r="5065" spans="1:10">
      <c r="A5065" s="2" t="s">
        <v>141</v>
      </c>
      <c r="B5065" s="2">
        <v>4.5</v>
      </c>
      <c r="C5065" s="2">
        <v>6.8</v>
      </c>
      <c r="D5065" s="60" t="s">
        <v>155</v>
      </c>
    </row>
    <row r="5066" spans="1:10">
      <c r="A5066" s="2" t="s">
        <v>141</v>
      </c>
      <c r="B5066" s="2">
        <v>6.8</v>
      </c>
      <c r="C5066" s="2">
        <v>14.3</v>
      </c>
      <c r="D5066" s="60" t="s">
        <v>145</v>
      </c>
    </row>
    <row r="5067" spans="1:10">
      <c r="A5067" s="2" t="s">
        <v>141</v>
      </c>
      <c r="B5067" s="2">
        <v>6.8</v>
      </c>
      <c r="C5067" s="2">
        <v>22.692900000000002</v>
      </c>
      <c r="D5067" s="60" t="s">
        <v>146</v>
      </c>
    </row>
    <row r="5068" spans="1:10">
      <c r="A5068" s="2" t="s">
        <v>141</v>
      </c>
      <c r="B5068" s="2">
        <v>14.3</v>
      </c>
      <c r="C5068" s="2">
        <v>15</v>
      </c>
      <c r="D5068" s="60" t="s">
        <v>147</v>
      </c>
    </row>
    <row r="5069" spans="1:10">
      <c r="A5069" s="2" t="s">
        <v>141</v>
      </c>
      <c r="B5069" s="2">
        <v>15</v>
      </c>
      <c r="C5069" s="2">
        <v>22.692900000000002</v>
      </c>
      <c r="D5069" s="60" t="s">
        <v>144</v>
      </c>
    </row>
    <row r="5070" spans="1:10">
      <c r="A5070" s="2" t="s">
        <v>148</v>
      </c>
      <c r="B5070" s="2" t="s">
        <v>99</v>
      </c>
      <c r="C5070" s="2">
        <v>0.10748199999999999</v>
      </c>
      <c r="D5070" s="60">
        <v>0</v>
      </c>
      <c r="E5070" s="2">
        <v>0</v>
      </c>
      <c r="F5070" s="2">
        <v>0.3</v>
      </c>
      <c r="G5070" s="2">
        <v>66.096699999999998</v>
      </c>
      <c r="H5070" s="2">
        <v>69.084400000000002</v>
      </c>
      <c r="I5070" s="2">
        <v>0</v>
      </c>
      <c r="J5070" s="2">
        <v>0</v>
      </c>
    </row>
    <row r="5071" spans="1:10">
      <c r="A5071" s="2" t="s">
        <v>148</v>
      </c>
      <c r="B5071" s="2" t="s">
        <v>100</v>
      </c>
      <c r="C5071" s="2">
        <v>1.0913900000000001E-2</v>
      </c>
      <c r="D5071" s="60">
        <v>0</v>
      </c>
      <c r="E5071" s="2">
        <v>26.721299999999999</v>
      </c>
      <c r="F5071" s="2">
        <v>3.0175700000000001</v>
      </c>
      <c r="G5071" s="2">
        <v>0</v>
      </c>
      <c r="H5071" s="2">
        <v>10.0001</v>
      </c>
      <c r="I5071" s="2">
        <v>0</v>
      </c>
      <c r="J5071" s="2">
        <v>0</v>
      </c>
    </row>
    <row r="5072" spans="1:10">
      <c r="A5072" s="2" t="s">
        <v>148</v>
      </c>
      <c r="B5072" s="2" t="s">
        <v>98</v>
      </c>
      <c r="C5072" s="2">
        <v>0.16997999999999999</v>
      </c>
      <c r="D5072" s="60">
        <v>0</v>
      </c>
      <c r="E5072" s="2">
        <v>20.043700000000001</v>
      </c>
      <c r="F5072" s="2">
        <v>6.6776200000000001</v>
      </c>
      <c r="G5072" s="2">
        <v>10.0001</v>
      </c>
      <c r="H5072" s="2">
        <v>25.159700000000001</v>
      </c>
      <c r="I5072" s="2">
        <v>0</v>
      </c>
      <c r="J5072" s="2">
        <v>0</v>
      </c>
    </row>
    <row r="5073" spans="1:10">
      <c r="A5073" s="2" t="s">
        <v>148</v>
      </c>
      <c r="B5073" s="2" t="s">
        <v>101</v>
      </c>
      <c r="C5073" s="2">
        <v>2.18221E-3</v>
      </c>
      <c r="D5073" s="60">
        <v>0</v>
      </c>
      <c r="E5073" s="2">
        <v>20</v>
      </c>
      <c r="F5073" s="2">
        <v>4.3716199999999997E-2</v>
      </c>
      <c r="G5073" s="2">
        <v>25.159700000000001</v>
      </c>
      <c r="H5073" s="2">
        <v>25.261399999999998</v>
      </c>
      <c r="I5073" s="2">
        <v>0</v>
      </c>
      <c r="J5073" s="2">
        <v>0</v>
      </c>
    </row>
    <row r="5074" spans="1:10">
      <c r="A5074" s="2" t="s">
        <v>148</v>
      </c>
      <c r="B5074" s="2" t="s">
        <v>64</v>
      </c>
      <c r="C5074" s="2">
        <v>0.25418000000000002</v>
      </c>
      <c r="D5074" s="60">
        <v>7.6254099999999996</v>
      </c>
      <c r="E5074" s="2">
        <v>16.3</v>
      </c>
      <c r="F5074" s="2">
        <v>3.7</v>
      </c>
      <c r="G5074" s="2">
        <v>25.261399999999998</v>
      </c>
      <c r="H5074" s="2">
        <v>33.577599999999997</v>
      </c>
      <c r="I5074" s="2">
        <v>0</v>
      </c>
      <c r="J5074" s="2">
        <v>0</v>
      </c>
    </row>
    <row r="5075" spans="1:10">
      <c r="A5075" s="2" t="s">
        <v>148</v>
      </c>
      <c r="B5075" s="2" t="s">
        <v>59</v>
      </c>
      <c r="C5075" s="2">
        <v>0.44665899999999997</v>
      </c>
      <c r="D5075" s="60">
        <v>44.665900000000001</v>
      </c>
      <c r="E5075" s="2">
        <v>12.3</v>
      </c>
      <c r="F5075" s="2">
        <v>4</v>
      </c>
      <c r="G5075" s="2">
        <v>33.577599999999997</v>
      </c>
      <c r="H5075" s="2">
        <v>41.460999999999999</v>
      </c>
      <c r="I5075" s="2">
        <v>0</v>
      </c>
      <c r="J5075" s="2">
        <v>0</v>
      </c>
    </row>
    <row r="5076" spans="1:10">
      <c r="A5076" s="2" t="s">
        <v>148</v>
      </c>
      <c r="B5076" s="2" t="s">
        <v>58</v>
      </c>
      <c r="C5076" s="2">
        <v>0.63112599999999996</v>
      </c>
      <c r="D5076" s="60">
        <v>66.268199999999993</v>
      </c>
      <c r="E5076" s="2">
        <v>8.3000000000000007</v>
      </c>
      <c r="F5076" s="2">
        <v>4</v>
      </c>
      <c r="G5076" s="2">
        <v>41.460999999999999</v>
      </c>
      <c r="H5076" s="2">
        <v>47.862499999999997</v>
      </c>
      <c r="I5076" s="2">
        <v>0</v>
      </c>
      <c r="J5076" s="2">
        <v>0</v>
      </c>
    </row>
    <row r="5077" spans="1:10">
      <c r="A5077" s="2" t="s">
        <v>148</v>
      </c>
      <c r="B5077" s="2" t="s">
        <v>62</v>
      </c>
      <c r="C5077" s="2">
        <v>0.80413599999999996</v>
      </c>
      <c r="D5077" s="60">
        <v>64.330799999999996</v>
      </c>
      <c r="E5077" s="2">
        <v>4.3</v>
      </c>
      <c r="F5077" s="2">
        <v>4</v>
      </c>
      <c r="G5077" s="2">
        <v>47.862499999999997</v>
      </c>
      <c r="H5077" s="2">
        <v>53.218299999999999</v>
      </c>
      <c r="I5077" s="2">
        <v>0</v>
      </c>
      <c r="J5077" s="2">
        <v>0</v>
      </c>
    </row>
    <row r="5078" spans="1:10">
      <c r="A5078" s="2" t="s">
        <v>148</v>
      </c>
      <c r="B5078" s="2" t="s">
        <v>55</v>
      </c>
      <c r="C5078" s="2">
        <v>1.0439700000000001</v>
      </c>
      <c r="D5078" s="60">
        <v>151.376</v>
      </c>
      <c r="E5078" s="2">
        <v>0.3</v>
      </c>
      <c r="F5078" s="2">
        <v>4</v>
      </c>
      <c r="G5078" s="2">
        <v>53.218299999999999</v>
      </c>
      <c r="H5078" s="2">
        <v>66.096699999999998</v>
      </c>
      <c r="I5078" s="2">
        <v>0</v>
      </c>
      <c r="J5078" s="2">
        <v>0</v>
      </c>
    </row>
    <row r="5079" spans="1:10">
      <c r="A5079" s="2" t="s">
        <v>138</v>
      </c>
      <c r="B5079" s="2">
        <v>4</v>
      </c>
      <c r="C5079" s="2">
        <v>18.389600000000002</v>
      </c>
      <c r="D5079" s="60" t="s">
        <v>149</v>
      </c>
    </row>
    <row r="5080" spans="1:10">
      <c r="A5080" s="2" t="s">
        <v>140</v>
      </c>
      <c r="B5080" s="2">
        <v>0</v>
      </c>
      <c r="C5080" s="2">
        <v>36.016300000000001</v>
      </c>
      <c r="D5080" s="60">
        <v>24.837299999999999</v>
      </c>
    </row>
    <row r="5081" spans="1:10">
      <c r="A5081" s="2" t="s">
        <v>141</v>
      </c>
      <c r="B5081" s="2">
        <v>0</v>
      </c>
      <c r="C5081" s="2">
        <v>1.4</v>
      </c>
      <c r="D5081" s="60" t="s">
        <v>152</v>
      </c>
    </row>
    <row r="5082" spans="1:10">
      <c r="A5082" s="2" t="s">
        <v>141</v>
      </c>
      <c r="B5082" s="2">
        <v>0</v>
      </c>
      <c r="C5082" s="2">
        <v>5.2</v>
      </c>
      <c r="D5082" s="60" t="s">
        <v>142</v>
      </c>
    </row>
    <row r="5083" spans="1:10">
      <c r="A5083" s="2" t="s">
        <v>141</v>
      </c>
      <c r="B5083" s="2">
        <v>0</v>
      </c>
      <c r="C5083" s="2">
        <v>5.2</v>
      </c>
      <c r="D5083" s="60" t="s">
        <v>158</v>
      </c>
    </row>
    <row r="5084" spans="1:10">
      <c r="A5084" s="2" t="s">
        <v>141</v>
      </c>
      <c r="B5084" s="2">
        <v>1.4</v>
      </c>
      <c r="C5084" s="2">
        <v>5.2</v>
      </c>
      <c r="D5084" s="60" t="s">
        <v>155</v>
      </c>
    </row>
    <row r="5085" spans="1:10">
      <c r="A5085" s="2" t="s">
        <v>141</v>
      </c>
      <c r="B5085" s="2">
        <v>5.2</v>
      </c>
      <c r="C5085" s="2">
        <v>5.6</v>
      </c>
      <c r="D5085" s="60" t="s">
        <v>147</v>
      </c>
    </row>
    <row r="5086" spans="1:10">
      <c r="A5086" s="2" t="s">
        <v>141</v>
      </c>
      <c r="B5086" s="2">
        <v>5.2</v>
      </c>
      <c r="C5086" s="2">
        <v>5.6</v>
      </c>
      <c r="D5086" s="60" t="s">
        <v>177</v>
      </c>
    </row>
    <row r="5087" spans="1:10">
      <c r="A5087" s="2" t="s">
        <v>141</v>
      </c>
      <c r="B5087" s="2">
        <v>5.2</v>
      </c>
      <c r="C5087" s="2">
        <v>8</v>
      </c>
      <c r="D5087" s="60" t="s">
        <v>152</v>
      </c>
    </row>
    <row r="5088" spans="1:10">
      <c r="A5088" s="2" t="s">
        <v>141</v>
      </c>
      <c r="B5088" s="2">
        <v>5.6</v>
      </c>
      <c r="C5088" s="2">
        <v>12.7</v>
      </c>
      <c r="D5088" s="60" t="s">
        <v>158</v>
      </c>
    </row>
    <row r="5089" spans="1:10">
      <c r="A5089" s="2" t="s">
        <v>141</v>
      </c>
      <c r="B5089" s="2">
        <v>5.6</v>
      </c>
      <c r="C5089" s="2">
        <v>19.266100000000002</v>
      </c>
      <c r="D5089" s="60" t="s">
        <v>144</v>
      </c>
    </row>
    <row r="5090" spans="1:10">
      <c r="A5090" s="2" t="s">
        <v>141</v>
      </c>
      <c r="B5090" s="2">
        <v>8</v>
      </c>
      <c r="C5090" s="2">
        <v>12.7</v>
      </c>
      <c r="D5090" s="60" t="s">
        <v>146</v>
      </c>
    </row>
    <row r="5091" spans="1:10">
      <c r="A5091" s="2" t="s">
        <v>141</v>
      </c>
      <c r="B5091" s="2">
        <v>12.7</v>
      </c>
      <c r="C5091" s="2">
        <v>13.3</v>
      </c>
      <c r="D5091" s="60" t="s">
        <v>161</v>
      </c>
    </row>
    <row r="5092" spans="1:10">
      <c r="A5092" s="2" t="s">
        <v>141</v>
      </c>
      <c r="B5092" s="2">
        <v>12.7</v>
      </c>
      <c r="C5092" s="2">
        <v>13.3</v>
      </c>
      <c r="D5092" s="60" t="s">
        <v>174</v>
      </c>
    </row>
    <row r="5093" spans="1:10">
      <c r="A5093" s="2" t="s">
        <v>141</v>
      </c>
      <c r="B5093" s="2">
        <v>13.3</v>
      </c>
      <c r="C5093" s="2">
        <v>19.266100000000002</v>
      </c>
      <c r="D5093" s="60" t="s">
        <v>146</v>
      </c>
    </row>
    <row r="5094" spans="1:10">
      <c r="A5094" s="2" t="s">
        <v>148</v>
      </c>
      <c r="B5094" s="2" t="s">
        <v>99</v>
      </c>
      <c r="C5094" s="2">
        <v>3.3293200000000002E-2</v>
      </c>
      <c r="D5094" s="60">
        <v>0</v>
      </c>
      <c r="E5094" s="2">
        <v>0</v>
      </c>
      <c r="F5094" s="2">
        <v>0.3</v>
      </c>
      <c r="G5094" s="2">
        <v>36.650799999999997</v>
      </c>
      <c r="H5094" s="2">
        <v>38.6081</v>
      </c>
      <c r="I5094" s="2">
        <v>0</v>
      </c>
      <c r="J5094" s="2">
        <v>0</v>
      </c>
    </row>
    <row r="5095" spans="1:10">
      <c r="A5095" s="2" t="s">
        <v>148</v>
      </c>
      <c r="B5095" s="2" t="s">
        <v>100</v>
      </c>
      <c r="C5095" s="2">
        <v>1.7301500000000001E-2</v>
      </c>
      <c r="D5095" s="60">
        <v>0</v>
      </c>
      <c r="E5095" s="2">
        <v>19.345700000000001</v>
      </c>
      <c r="F5095" s="2">
        <v>5.4916099999999997</v>
      </c>
      <c r="G5095" s="2">
        <v>0</v>
      </c>
      <c r="H5095" s="2">
        <v>10</v>
      </c>
      <c r="I5095" s="2">
        <v>0</v>
      </c>
      <c r="J5095" s="2">
        <v>0</v>
      </c>
    </row>
    <row r="5096" spans="1:10">
      <c r="A5096" s="2" t="s">
        <v>148</v>
      </c>
      <c r="B5096" s="2" t="s">
        <v>98</v>
      </c>
      <c r="C5096" s="2">
        <v>3.0847200000000002E-2</v>
      </c>
      <c r="D5096" s="60">
        <v>0</v>
      </c>
      <c r="E5096" s="2">
        <v>16.6784</v>
      </c>
      <c r="F5096" s="2">
        <v>2.6672799999999999</v>
      </c>
      <c r="G5096" s="2">
        <v>10</v>
      </c>
      <c r="H5096" s="2">
        <v>14.156599999999999</v>
      </c>
      <c r="I5096" s="2">
        <v>0</v>
      </c>
      <c r="J5096" s="2">
        <v>0</v>
      </c>
    </row>
    <row r="5097" spans="1:10">
      <c r="A5097" s="2" t="s">
        <v>148</v>
      </c>
      <c r="B5097" s="2" t="s">
        <v>101</v>
      </c>
      <c r="C5097" s="2">
        <v>9.6120999999999998E-2</v>
      </c>
      <c r="D5097" s="60">
        <v>0</v>
      </c>
      <c r="E5097" s="2">
        <v>12.6</v>
      </c>
      <c r="F5097" s="2">
        <v>4.0783800000000001</v>
      </c>
      <c r="G5097" s="2">
        <v>14.156599999999999</v>
      </c>
      <c r="H5097" s="2">
        <v>20.183700000000002</v>
      </c>
      <c r="I5097" s="2">
        <v>0</v>
      </c>
      <c r="J5097" s="2">
        <v>0</v>
      </c>
    </row>
    <row r="5098" spans="1:10">
      <c r="A5098" s="2" t="s">
        <v>148</v>
      </c>
      <c r="B5098" s="2" t="s">
        <v>61</v>
      </c>
      <c r="C5098" s="2">
        <v>0.162855</v>
      </c>
      <c r="D5098" s="60">
        <v>13.842700000000001</v>
      </c>
      <c r="E5098" s="2">
        <v>8.6</v>
      </c>
      <c r="F5098" s="2">
        <v>4</v>
      </c>
      <c r="G5098" s="2">
        <v>20.183700000000002</v>
      </c>
      <c r="H5098" s="2">
        <v>25.063800000000001</v>
      </c>
      <c r="I5098" s="2">
        <v>0</v>
      </c>
      <c r="J5098" s="2">
        <v>0</v>
      </c>
    </row>
    <row r="5099" spans="1:10">
      <c r="A5099" s="2" t="s">
        <v>148</v>
      </c>
      <c r="B5099" s="2" t="s">
        <v>64</v>
      </c>
      <c r="C5099" s="2">
        <v>0.20400199999999999</v>
      </c>
      <c r="D5099" s="60">
        <v>6.12005</v>
      </c>
      <c r="E5099" s="2">
        <v>5</v>
      </c>
      <c r="F5099" s="2">
        <v>3.6</v>
      </c>
      <c r="G5099" s="2">
        <v>25.063800000000001</v>
      </c>
      <c r="H5099" s="2">
        <v>28.5002</v>
      </c>
      <c r="I5099" s="2">
        <v>0</v>
      </c>
      <c r="J5099" s="2">
        <v>0</v>
      </c>
    </row>
    <row r="5100" spans="1:10">
      <c r="A5100" s="2" t="s">
        <v>148</v>
      </c>
      <c r="B5100" s="2" t="s">
        <v>64</v>
      </c>
      <c r="C5100" s="2">
        <v>0.36086299999999999</v>
      </c>
      <c r="D5100" s="60">
        <v>10.825900000000001</v>
      </c>
      <c r="E5100" s="2">
        <v>0.3</v>
      </c>
      <c r="F5100" s="2">
        <v>4.7</v>
      </c>
      <c r="G5100" s="2">
        <v>28.5002</v>
      </c>
      <c r="H5100" s="2">
        <v>36.650799999999997</v>
      </c>
      <c r="I5100" s="2">
        <v>0</v>
      </c>
      <c r="J5100" s="2">
        <v>0</v>
      </c>
    </row>
    <row r="5101" spans="1:10">
      <c r="A5101" s="2" t="s">
        <v>138</v>
      </c>
      <c r="B5101" s="2">
        <v>5</v>
      </c>
      <c r="C5101" s="2">
        <v>19.3627</v>
      </c>
      <c r="D5101" s="60" t="s">
        <v>139</v>
      </c>
    </row>
    <row r="5102" spans="1:10">
      <c r="A5102" s="2" t="s">
        <v>140</v>
      </c>
      <c r="B5102" s="2">
        <v>0</v>
      </c>
      <c r="C5102" s="2">
        <v>46.389899999999997</v>
      </c>
      <c r="D5102" s="60">
        <v>28.604800000000001</v>
      </c>
    </row>
    <row r="5103" spans="1:10">
      <c r="A5103" s="2" t="s">
        <v>141</v>
      </c>
      <c r="B5103" s="2">
        <v>0</v>
      </c>
      <c r="C5103" s="2">
        <v>4.5999999999999996</v>
      </c>
      <c r="D5103" s="60" t="s">
        <v>158</v>
      </c>
    </row>
    <row r="5104" spans="1:10">
      <c r="A5104" s="2" t="s">
        <v>141</v>
      </c>
      <c r="B5104" s="2">
        <v>0</v>
      </c>
      <c r="C5104" s="2">
        <v>6.8</v>
      </c>
      <c r="D5104" s="60" t="s">
        <v>142</v>
      </c>
    </row>
    <row r="5105" spans="1:10">
      <c r="A5105" s="2" t="s">
        <v>141</v>
      </c>
      <c r="B5105" s="2">
        <v>0</v>
      </c>
      <c r="C5105" s="2">
        <v>21.9</v>
      </c>
      <c r="D5105" s="60" t="s">
        <v>146</v>
      </c>
    </row>
    <row r="5106" spans="1:10">
      <c r="A5106" s="2" t="s">
        <v>141</v>
      </c>
      <c r="B5106" s="2">
        <v>4.5999999999999996</v>
      </c>
      <c r="C5106" s="2">
        <v>6.4</v>
      </c>
      <c r="D5106" s="60" t="s">
        <v>174</v>
      </c>
    </row>
    <row r="5107" spans="1:10">
      <c r="A5107" s="2" t="s">
        <v>141</v>
      </c>
      <c r="B5107" s="2">
        <v>6.8</v>
      </c>
      <c r="C5107" s="2">
        <v>21.9</v>
      </c>
      <c r="D5107" s="60" t="s">
        <v>144</v>
      </c>
    </row>
    <row r="5108" spans="1:10">
      <c r="A5108" s="2" t="s">
        <v>148</v>
      </c>
      <c r="B5108" s="2" t="s">
        <v>99</v>
      </c>
      <c r="C5108" s="2">
        <v>5.2841399999999997E-2</v>
      </c>
      <c r="D5108" s="60">
        <v>0</v>
      </c>
      <c r="E5108" s="2">
        <v>0</v>
      </c>
      <c r="F5108" s="2">
        <v>0.3</v>
      </c>
      <c r="G5108" s="2">
        <v>46.309399999999997</v>
      </c>
      <c r="H5108" s="2">
        <v>48.479900000000001</v>
      </c>
      <c r="I5108" s="2">
        <v>0</v>
      </c>
      <c r="J5108" s="2">
        <v>0</v>
      </c>
    </row>
    <row r="5109" spans="1:10">
      <c r="A5109" s="2" t="s">
        <v>148</v>
      </c>
      <c r="B5109" s="2" t="s">
        <v>100</v>
      </c>
      <c r="C5109" s="2">
        <v>1.59217E-2</v>
      </c>
      <c r="D5109" s="60">
        <v>0</v>
      </c>
      <c r="E5109" s="2">
        <v>23.826599999999999</v>
      </c>
      <c r="F5109" s="2">
        <v>4.7781099999999999</v>
      </c>
      <c r="G5109" s="2">
        <v>0</v>
      </c>
      <c r="H5109" s="2">
        <v>10</v>
      </c>
      <c r="I5109" s="2">
        <v>0</v>
      </c>
      <c r="J5109" s="2">
        <v>0</v>
      </c>
    </row>
    <row r="5110" spans="1:10">
      <c r="A5110" s="2" t="s">
        <v>148</v>
      </c>
      <c r="B5110" s="2" t="s">
        <v>98</v>
      </c>
      <c r="C5110" s="2">
        <v>0.57698199999999999</v>
      </c>
      <c r="D5110" s="60">
        <v>0</v>
      </c>
      <c r="E5110" s="2">
        <v>9.4595400000000005</v>
      </c>
      <c r="F5110" s="2">
        <v>14.367100000000001</v>
      </c>
      <c r="G5110" s="2">
        <v>10</v>
      </c>
      <c r="H5110" s="2">
        <v>31.984000000000002</v>
      </c>
      <c r="I5110" s="2">
        <v>0</v>
      </c>
      <c r="J5110" s="2">
        <v>0</v>
      </c>
    </row>
    <row r="5111" spans="1:10">
      <c r="A5111" s="2" t="s">
        <v>148</v>
      </c>
      <c r="B5111" s="2" t="s">
        <v>101</v>
      </c>
      <c r="C5111" s="2">
        <v>0.48773699999999998</v>
      </c>
      <c r="D5111" s="60">
        <v>0</v>
      </c>
      <c r="E5111" s="2">
        <v>4.3</v>
      </c>
      <c r="F5111" s="2">
        <v>5.1595399999999998</v>
      </c>
      <c r="G5111" s="2">
        <v>31.984000000000002</v>
      </c>
      <c r="H5111" s="2">
        <v>37.183199999999999</v>
      </c>
      <c r="I5111" s="2">
        <v>0</v>
      </c>
      <c r="J5111" s="2">
        <v>0</v>
      </c>
    </row>
    <row r="5112" spans="1:10">
      <c r="A5112" s="2" t="s">
        <v>148</v>
      </c>
      <c r="B5112" s="2" t="s">
        <v>56</v>
      </c>
      <c r="C5112" s="2">
        <v>0.51045300000000005</v>
      </c>
      <c r="D5112" s="60">
        <v>71.463399999999993</v>
      </c>
      <c r="E5112" s="2">
        <v>0.3</v>
      </c>
      <c r="F5112" s="2">
        <v>4</v>
      </c>
      <c r="G5112" s="2">
        <v>37.183199999999999</v>
      </c>
      <c r="H5112" s="2">
        <v>46.309399999999997</v>
      </c>
      <c r="I5112" s="2">
        <v>0</v>
      </c>
      <c r="J5112" s="2">
        <v>0</v>
      </c>
    </row>
    <row r="5113" spans="1:10">
      <c r="A5113" s="2" t="s">
        <v>138</v>
      </c>
      <c r="B5113" s="2">
        <v>6</v>
      </c>
      <c r="C5113" s="2">
        <v>18.782800000000002</v>
      </c>
      <c r="D5113" s="60" t="s">
        <v>149</v>
      </c>
    </row>
    <row r="5114" spans="1:10">
      <c r="A5114" s="2" t="s">
        <v>140</v>
      </c>
      <c r="B5114" s="2">
        <v>0</v>
      </c>
      <c r="C5114" s="2">
        <v>39.350099999999998</v>
      </c>
      <c r="D5114" s="60">
        <v>25.487100000000002</v>
      </c>
    </row>
    <row r="5115" spans="1:10">
      <c r="A5115" s="2" t="s">
        <v>141</v>
      </c>
      <c r="B5115" s="2">
        <v>0</v>
      </c>
      <c r="C5115" s="2">
        <v>6.9</v>
      </c>
      <c r="D5115" s="60" t="s">
        <v>142</v>
      </c>
    </row>
    <row r="5116" spans="1:10">
      <c r="A5116" s="2" t="s">
        <v>141</v>
      </c>
      <c r="B5116" s="2">
        <v>0</v>
      </c>
      <c r="C5116" s="2">
        <v>6.9</v>
      </c>
      <c r="D5116" s="60" t="s">
        <v>146</v>
      </c>
    </row>
    <row r="5117" spans="1:10">
      <c r="A5117" s="2" t="s">
        <v>141</v>
      </c>
      <c r="B5117" s="2">
        <v>6.9</v>
      </c>
      <c r="C5117" s="2">
        <v>10</v>
      </c>
      <c r="D5117" s="60" t="s">
        <v>144</v>
      </c>
    </row>
    <row r="5118" spans="1:10">
      <c r="A5118" s="2" t="s">
        <v>141</v>
      </c>
      <c r="B5118" s="2">
        <v>6.9</v>
      </c>
      <c r="C5118" s="2">
        <v>10</v>
      </c>
      <c r="D5118" s="60" t="s">
        <v>155</v>
      </c>
    </row>
    <row r="5119" spans="1:10">
      <c r="A5119" s="2" t="s">
        <v>141</v>
      </c>
      <c r="B5119" s="2">
        <v>10</v>
      </c>
      <c r="C5119" s="2">
        <v>10.7</v>
      </c>
      <c r="D5119" s="60" t="s">
        <v>151</v>
      </c>
    </row>
    <row r="5120" spans="1:10">
      <c r="A5120" s="2" t="s">
        <v>141</v>
      </c>
      <c r="B5120" s="2">
        <v>10</v>
      </c>
      <c r="C5120" s="2">
        <v>19.720400000000001</v>
      </c>
      <c r="D5120" s="60" t="s">
        <v>161</v>
      </c>
    </row>
    <row r="5121" spans="1:10">
      <c r="A5121" s="2" t="s">
        <v>141</v>
      </c>
      <c r="B5121" s="2">
        <v>10.7</v>
      </c>
      <c r="C5121" s="2">
        <v>19.720400000000001</v>
      </c>
      <c r="D5121" s="60" t="s">
        <v>144</v>
      </c>
    </row>
    <row r="5122" spans="1:10">
      <c r="A5122" s="2" t="s">
        <v>148</v>
      </c>
      <c r="B5122" s="2" t="s">
        <v>99</v>
      </c>
      <c r="C5122" s="2">
        <v>3.9073200000000002E-2</v>
      </c>
      <c r="D5122" s="60">
        <v>0</v>
      </c>
      <c r="E5122" s="2">
        <v>0</v>
      </c>
      <c r="F5122" s="2">
        <v>0.3</v>
      </c>
      <c r="G5122" s="2">
        <v>39.727200000000003</v>
      </c>
      <c r="H5122" s="2">
        <v>41.798999999999999</v>
      </c>
      <c r="I5122" s="2">
        <v>0</v>
      </c>
      <c r="J5122" s="2">
        <v>0</v>
      </c>
    </row>
    <row r="5123" spans="1:10">
      <c r="A5123" s="2" t="s">
        <v>148</v>
      </c>
      <c r="B5123" s="2" t="s">
        <v>100</v>
      </c>
      <c r="C5123" s="2">
        <v>1.6454900000000001E-2</v>
      </c>
      <c r="D5123" s="60">
        <v>0</v>
      </c>
      <c r="E5123" s="2">
        <v>20.363</v>
      </c>
      <c r="F5123" s="2">
        <v>5.1241000000000003</v>
      </c>
      <c r="G5123" s="2">
        <v>0</v>
      </c>
      <c r="H5123" s="2">
        <v>10</v>
      </c>
      <c r="I5123" s="2">
        <v>0</v>
      </c>
      <c r="J5123" s="2">
        <v>0</v>
      </c>
    </row>
    <row r="5124" spans="1:10">
      <c r="A5124" s="2" t="s">
        <v>148</v>
      </c>
      <c r="B5124" s="2" t="s">
        <v>98</v>
      </c>
      <c r="C5124" s="2">
        <v>3.6923999999999998E-2</v>
      </c>
      <c r="D5124" s="60">
        <v>0</v>
      </c>
      <c r="E5124" s="2">
        <v>17.3673</v>
      </c>
      <c r="F5124" s="2">
        <v>2.9957199999999999</v>
      </c>
      <c r="G5124" s="2">
        <v>10</v>
      </c>
      <c r="H5124" s="2">
        <v>14.9117</v>
      </c>
      <c r="I5124" s="2">
        <v>0</v>
      </c>
      <c r="J5124" s="2">
        <v>0</v>
      </c>
    </row>
    <row r="5125" spans="1:10">
      <c r="A5125" s="2" t="s">
        <v>148</v>
      </c>
      <c r="B5125" s="2" t="s">
        <v>101</v>
      </c>
      <c r="C5125" s="2">
        <v>0.34705000000000003</v>
      </c>
      <c r="D5125" s="60">
        <v>0</v>
      </c>
      <c r="E5125" s="2">
        <v>8.3000000000000007</v>
      </c>
      <c r="F5125" s="2">
        <v>9.0672800000000002</v>
      </c>
      <c r="G5125" s="2">
        <v>14.9117</v>
      </c>
      <c r="H5125" s="2">
        <v>27.716799999999999</v>
      </c>
      <c r="I5125" s="2">
        <v>0</v>
      </c>
      <c r="J5125" s="2">
        <v>0</v>
      </c>
    </row>
    <row r="5126" spans="1:10">
      <c r="A5126" s="2" t="s">
        <v>148</v>
      </c>
      <c r="B5126" s="2" t="s">
        <v>62</v>
      </c>
      <c r="C5126" s="2">
        <v>0.278026</v>
      </c>
      <c r="D5126" s="60">
        <v>22.242100000000001</v>
      </c>
      <c r="E5126" s="2">
        <v>4.3</v>
      </c>
      <c r="F5126" s="2">
        <v>4</v>
      </c>
      <c r="G5126" s="2">
        <v>27.716799999999999</v>
      </c>
      <c r="H5126" s="2">
        <v>31.619800000000001</v>
      </c>
      <c r="I5126" s="2">
        <v>0</v>
      </c>
      <c r="J5126" s="2">
        <v>0</v>
      </c>
    </row>
    <row r="5127" spans="1:10">
      <c r="A5127" s="2" t="s">
        <v>148</v>
      </c>
      <c r="B5127" s="2" t="s">
        <v>59</v>
      </c>
      <c r="C5127" s="2">
        <v>0.37134099999999998</v>
      </c>
      <c r="D5127" s="60">
        <v>37.134099999999997</v>
      </c>
      <c r="E5127" s="2">
        <v>0.3</v>
      </c>
      <c r="F5127" s="2">
        <v>4</v>
      </c>
      <c r="G5127" s="2">
        <v>31.619800000000001</v>
      </c>
      <c r="H5127" s="2">
        <v>39.727200000000003</v>
      </c>
      <c r="I5127" s="2">
        <v>0</v>
      </c>
      <c r="J5127" s="2">
        <v>0</v>
      </c>
    </row>
    <row r="5128" spans="1:10">
      <c r="A5128" s="2" t="s">
        <v>138</v>
      </c>
      <c r="B5128" s="2">
        <v>7</v>
      </c>
      <c r="C5128" s="2">
        <v>19.485199999999999</v>
      </c>
      <c r="D5128" s="60" t="s">
        <v>149</v>
      </c>
    </row>
    <row r="5129" spans="1:10">
      <c r="A5129" s="2" t="s">
        <v>140</v>
      </c>
      <c r="B5129" s="2">
        <v>0</v>
      </c>
      <c r="C5129" s="2">
        <v>50.990200000000002</v>
      </c>
      <c r="D5129" s="60">
        <v>27.463000000000001</v>
      </c>
    </row>
    <row r="5130" spans="1:10">
      <c r="A5130" s="2" t="s">
        <v>141</v>
      </c>
      <c r="B5130" s="2">
        <v>0</v>
      </c>
      <c r="C5130" s="2">
        <v>7.1</v>
      </c>
      <c r="D5130" s="60" t="s">
        <v>142</v>
      </c>
    </row>
    <row r="5131" spans="1:10">
      <c r="A5131" s="2" t="s">
        <v>141</v>
      </c>
      <c r="B5131" s="2">
        <v>0</v>
      </c>
      <c r="C5131" s="2">
        <v>8.6999999999999993</v>
      </c>
      <c r="D5131" s="60" t="s">
        <v>158</v>
      </c>
    </row>
    <row r="5132" spans="1:10">
      <c r="A5132" s="2" t="s">
        <v>141</v>
      </c>
      <c r="B5132" s="2">
        <v>0</v>
      </c>
      <c r="C5132" s="2">
        <v>13.3</v>
      </c>
      <c r="D5132" s="60" t="s">
        <v>146</v>
      </c>
    </row>
    <row r="5133" spans="1:10">
      <c r="A5133" s="2" t="s">
        <v>141</v>
      </c>
      <c r="B5133" s="2">
        <v>7.1</v>
      </c>
      <c r="C5133" s="2">
        <v>8.6999999999999993</v>
      </c>
      <c r="D5133" s="60" t="s">
        <v>144</v>
      </c>
    </row>
    <row r="5134" spans="1:10">
      <c r="A5134" s="2" t="s">
        <v>141</v>
      </c>
      <c r="B5134" s="2">
        <v>8.6999999999999993</v>
      </c>
      <c r="C5134" s="2">
        <v>9</v>
      </c>
      <c r="D5134" s="60" t="s">
        <v>145</v>
      </c>
    </row>
    <row r="5135" spans="1:10">
      <c r="A5135" s="2" t="s">
        <v>141</v>
      </c>
      <c r="B5135" s="2">
        <v>8.6999999999999993</v>
      </c>
      <c r="C5135" s="2">
        <v>9</v>
      </c>
      <c r="D5135" s="60" t="s">
        <v>160</v>
      </c>
    </row>
    <row r="5136" spans="1:10">
      <c r="A5136" s="2" t="s">
        <v>141</v>
      </c>
      <c r="B5136" s="2">
        <v>9</v>
      </c>
      <c r="C5136" s="2">
        <v>21.101800000000001</v>
      </c>
      <c r="D5136" s="60" t="s">
        <v>144</v>
      </c>
    </row>
    <row r="5137" spans="1:10">
      <c r="A5137" s="2" t="s">
        <v>141</v>
      </c>
      <c r="B5137" s="2">
        <v>13.3</v>
      </c>
      <c r="C5137" s="2">
        <v>21.101800000000001</v>
      </c>
      <c r="D5137" s="60" t="s">
        <v>161</v>
      </c>
    </row>
    <row r="5138" spans="1:10">
      <c r="A5138" s="2" t="s">
        <v>148</v>
      </c>
      <c r="B5138" s="2" t="s">
        <v>99</v>
      </c>
      <c r="C5138" s="2">
        <v>6.2430399999999997E-2</v>
      </c>
      <c r="D5138" s="60">
        <v>0</v>
      </c>
      <c r="E5138" s="2">
        <v>0</v>
      </c>
      <c r="F5138" s="2">
        <v>0.3</v>
      </c>
      <c r="G5138" s="2">
        <v>50.295000000000002</v>
      </c>
      <c r="H5138" s="2">
        <v>52.743200000000002</v>
      </c>
      <c r="I5138" s="2">
        <v>0</v>
      </c>
      <c r="J5138" s="2">
        <v>0</v>
      </c>
    </row>
    <row r="5139" spans="1:10">
      <c r="A5139" s="2" t="s">
        <v>148</v>
      </c>
      <c r="B5139" s="2" t="s">
        <v>100</v>
      </c>
      <c r="C5139" s="2">
        <v>1.3973299999999999E-2</v>
      </c>
      <c r="D5139" s="60">
        <v>0</v>
      </c>
      <c r="E5139" s="2">
        <v>23.3567</v>
      </c>
      <c r="F5139" s="2">
        <v>4.1063200000000002</v>
      </c>
      <c r="G5139" s="2">
        <v>0</v>
      </c>
      <c r="H5139" s="2">
        <v>10</v>
      </c>
      <c r="I5139" s="2">
        <v>0</v>
      </c>
      <c r="J5139" s="2">
        <v>0</v>
      </c>
    </row>
    <row r="5140" spans="1:10">
      <c r="A5140" s="2" t="s">
        <v>148</v>
      </c>
      <c r="B5140" s="2" t="s">
        <v>98</v>
      </c>
      <c r="C5140" s="2">
        <v>5.3753200000000001E-2</v>
      </c>
      <c r="D5140" s="60">
        <v>0</v>
      </c>
      <c r="E5140" s="2">
        <v>19.660499999999999</v>
      </c>
      <c r="F5140" s="2">
        <v>3.6962299999999999</v>
      </c>
      <c r="G5140" s="2">
        <v>10</v>
      </c>
      <c r="H5140" s="2">
        <v>16.988</v>
      </c>
      <c r="I5140" s="2">
        <v>0</v>
      </c>
      <c r="J5140" s="2">
        <v>0</v>
      </c>
    </row>
    <row r="5141" spans="1:10">
      <c r="A5141" s="2" t="s">
        <v>148</v>
      </c>
      <c r="B5141" s="2" t="s">
        <v>101</v>
      </c>
      <c r="C5141" s="2">
        <v>0.33010499999999998</v>
      </c>
      <c r="D5141" s="60">
        <v>0</v>
      </c>
      <c r="E5141" s="2">
        <v>12.4</v>
      </c>
      <c r="F5141" s="2">
        <v>7.2604699999999998</v>
      </c>
      <c r="G5141" s="2">
        <v>16.988</v>
      </c>
      <c r="H5141" s="2">
        <v>30.0687</v>
      </c>
      <c r="I5141" s="2">
        <v>0</v>
      </c>
      <c r="J5141" s="2">
        <v>0</v>
      </c>
    </row>
    <row r="5142" spans="1:10">
      <c r="A5142" s="2" t="s">
        <v>148</v>
      </c>
      <c r="B5142" s="2" t="s">
        <v>62</v>
      </c>
      <c r="C5142" s="2">
        <v>0.55566700000000002</v>
      </c>
      <c r="D5142" s="60">
        <v>44.453299999999999</v>
      </c>
      <c r="E5142" s="2">
        <v>6.4</v>
      </c>
      <c r="F5142" s="2">
        <v>6</v>
      </c>
      <c r="G5142" s="2">
        <v>30.0687</v>
      </c>
      <c r="H5142" s="2">
        <v>37.984299999999998</v>
      </c>
      <c r="I5142" s="2">
        <v>0</v>
      </c>
      <c r="J5142" s="2">
        <v>0</v>
      </c>
    </row>
    <row r="5143" spans="1:10">
      <c r="A5143" s="2" t="s">
        <v>148</v>
      </c>
      <c r="B5143" s="2" t="s">
        <v>56</v>
      </c>
      <c r="C5143" s="2">
        <v>0.85218700000000003</v>
      </c>
      <c r="D5143" s="60">
        <v>119.306</v>
      </c>
      <c r="E5143" s="2">
        <v>0.3</v>
      </c>
      <c r="F5143" s="2">
        <v>6.1</v>
      </c>
      <c r="G5143" s="2">
        <v>37.984299999999998</v>
      </c>
      <c r="H5143" s="2">
        <v>50.295000000000002</v>
      </c>
      <c r="I5143" s="2">
        <v>0</v>
      </c>
      <c r="J5143" s="2">
        <v>0</v>
      </c>
    </row>
    <row r="5144" spans="1:10">
      <c r="A5144" s="2" t="s">
        <v>138</v>
      </c>
      <c r="B5144" s="2">
        <v>8</v>
      </c>
      <c r="C5144" s="2">
        <v>19.498100000000001</v>
      </c>
      <c r="D5144" s="60" t="s">
        <v>139</v>
      </c>
    </row>
    <row r="5145" spans="1:10">
      <c r="A5145" s="2" t="s">
        <v>140</v>
      </c>
      <c r="B5145" s="2">
        <v>0</v>
      </c>
      <c r="C5145" s="2">
        <v>49.664099999999998</v>
      </c>
      <c r="D5145" s="60">
        <v>29.319900000000001</v>
      </c>
    </row>
    <row r="5146" spans="1:10">
      <c r="A5146" s="2" t="s">
        <v>141</v>
      </c>
      <c r="B5146" s="2">
        <v>0</v>
      </c>
      <c r="C5146" s="2">
        <v>7.6</v>
      </c>
      <c r="D5146" s="60" t="s">
        <v>142</v>
      </c>
    </row>
    <row r="5147" spans="1:10">
      <c r="A5147" s="2" t="s">
        <v>141</v>
      </c>
      <c r="B5147" s="2">
        <v>0</v>
      </c>
      <c r="C5147" s="2">
        <v>11.4</v>
      </c>
      <c r="D5147" s="60" t="s">
        <v>146</v>
      </c>
    </row>
    <row r="5148" spans="1:10">
      <c r="A5148" s="2" t="s">
        <v>141</v>
      </c>
      <c r="B5148" s="2">
        <v>7.6</v>
      </c>
      <c r="C5148" s="2">
        <v>9.6</v>
      </c>
      <c r="D5148" s="60" t="s">
        <v>145</v>
      </c>
    </row>
    <row r="5149" spans="1:10">
      <c r="A5149" s="2" t="s">
        <v>141</v>
      </c>
      <c r="B5149" s="2">
        <v>9.6</v>
      </c>
      <c r="C5149" s="2">
        <v>12</v>
      </c>
      <c r="D5149" s="60" t="s">
        <v>147</v>
      </c>
    </row>
    <row r="5150" spans="1:10">
      <c r="A5150" s="2" t="s">
        <v>141</v>
      </c>
      <c r="B5150" s="2">
        <v>11.4</v>
      </c>
      <c r="C5150" s="2">
        <v>12</v>
      </c>
      <c r="D5150" s="60" t="s">
        <v>159</v>
      </c>
    </row>
    <row r="5151" spans="1:10">
      <c r="A5151" s="2" t="s">
        <v>141</v>
      </c>
      <c r="B5151" s="2">
        <v>12</v>
      </c>
      <c r="C5151" s="2">
        <v>22.4</v>
      </c>
      <c r="D5151" s="60" t="s">
        <v>144</v>
      </c>
    </row>
    <row r="5152" spans="1:10">
      <c r="A5152" s="2" t="s">
        <v>141</v>
      </c>
      <c r="B5152" s="2">
        <v>12</v>
      </c>
      <c r="C5152" s="2">
        <v>22.4</v>
      </c>
      <c r="D5152" s="60" t="s">
        <v>146</v>
      </c>
    </row>
    <row r="5153" spans="1:10">
      <c r="A5153" s="2" t="s">
        <v>148</v>
      </c>
      <c r="B5153" s="2" t="s">
        <v>99</v>
      </c>
      <c r="C5153" s="2">
        <v>5.9798900000000002E-2</v>
      </c>
      <c r="D5153" s="60">
        <v>0</v>
      </c>
      <c r="E5153" s="2">
        <v>0</v>
      </c>
      <c r="F5153" s="2">
        <v>0.3</v>
      </c>
      <c r="G5153" s="2">
        <v>49.287700000000001</v>
      </c>
      <c r="H5153" s="2">
        <v>51.545299999999997</v>
      </c>
      <c r="I5153" s="2">
        <v>0</v>
      </c>
      <c r="J5153" s="2">
        <v>0</v>
      </c>
    </row>
    <row r="5154" spans="1:10">
      <c r="A5154" s="2" t="s">
        <v>148</v>
      </c>
      <c r="B5154" s="2" t="s">
        <v>100</v>
      </c>
      <c r="C5154" s="2">
        <v>1.5295100000000001E-2</v>
      </c>
      <c r="D5154" s="60">
        <v>0</v>
      </c>
      <c r="E5154" s="2">
        <v>24.799600000000002</v>
      </c>
      <c r="F5154" s="2">
        <v>4.52034</v>
      </c>
      <c r="G5154" s="2">
        <v>0</v>
      </c>
      <c r="H5154" s="2">
        <v>10</v>
      </c>
      <c r="I5154" s="2">
        <v>0</v>
      </c>
      <c r="J5154" s="2">
        <v>0</v>
      </c>
    </row>
    <row r="5155" spans="1:10">
      <c r="A5155" s="2" t="s">
        <v>148</v>
      </c>
      <c r="B5155" s="2" t="s">
        <v>98</v>
      </c>
      <c r="C5155" s="2">
        <v>2.1668300000000001E-2</v>
      </c>
      <c r="D5155" s="60">
        <v>0</v>
      </c>
      <c r="E5155" s="2">
        <v>22.797499999999999</v>
      </c>
      <c r="F5155" s="2">
        <v>2.0020600000000002</v>
      </c>
      <c r="G5155" s="2">
        <v>10</v>
      </c>
      <c r="H5155" s="2">
        <v>13.42</v>
      </c>
      <c r="I5155" s="2">
        <v>0</v>
      </c>
      <c r="J5155" s="2">
        <v>0</v>
      </c>
    </row>
    <row r="5156" spans="1:10">
      <c r="A5156" s="2" t="s">
        <v>148</v>
      </c>
      <c r="B5156" s="2" t="s">
        <v>101</v>
      </c>
      <c r="C5156" s="2">
        <v>1.24949E-2</v>
      </c>
      <c r="D5156" s="60">
        <v>0</v>
      </c>
      <c r="E5156" s="2">
        <v>22</v>
      </c>
      <c r="F5156" s="2">
        <v>0.79754100000000006</v>
      </c>
      <c r="G5156" s="2">
        <v>13.42</v>
      </c>
      <c r="H5156" s="2">
        <v>14.8179</v>
      </c>
      <c r="I5156" s="2">
        <v>0</v>
      </c>
      <c r="J5156" s="2">
        <v>0</v>
      </c>
    </row>
    <row r="5157" spans="1:10">
      <c r="A5157" s="2" t="s">
        <v>148</v>
      </c>
      <c r="B5157" s="2" t="s">
        <v>63</v>
      </c>
      <c r="C5157" s="2">
        <v>0.107</v>
      </c>
      <c r="D5157" s="60">
        <v>7.4899800000000001</v>
      </c>
      <c r="E5157" s="2">
        <v>18</v>
      </c>
      <c r="F5157" s="2">
        <v>4</v>
      </c>
      <c r="G5157" s="2">
        <v>14.8179</v>
      </c>
      <c r="H5157" s="2">
        <v>21.834499999999998</v>
      </c>
      <c r="I5157" s="2">
        <v>0</v>
      </c>
      <c r="J5157" s="2">
        <v>0</v>
      </c>
    </row>
    <row r="5158" spans="1:10">
      <c r="A5158" s="2" t="s">
        <v>148</v>
      </c>
      <c r="B5158" s="2" t="s">
        <v>61</v>
      </c>
      <c r="C5158" s="2">
        <v>0.338258</v>
      </c>
      <c r="D5158" s="60">
        <v>28.751999999999999</v>
      </c>
      <c r="E5158" s="2">
        <v>12</v>
      </c>
      <c r="F5158" s="2">
        <v>6</v>
      </c>
      <c r="G5158" s="2">
        <v>21.834499999999998</v>
      </c>
      <c r="H5158" s="2">
        <v>31.105699999999999</v>
      </c>
      <c r="I5158" s="2">
        <v>0</v>
      </c>
      <c r="J5158" s="2">
        <v>0</v>
      </c>
    </row>
    <row r="5159" spans="1:10">
      <c r="A5159" s="2" t="s">
        <v>148</v>
      </c>
      <c r="B5159" s="2" t="s">
        <v>101</v>
      </c>
      <c r="C5159" s="2">
        <v>0.12992400000000001</v>
      </c>
      <c r="D5159" s="60">
        <v>0</v>
      </c>
      <c r="E5159" s="2">
        <v>10.4</v>
      </c>
      <c r="F5159" s="2">
        <v>1.6</v>
      </c>
      <c r="G5159" s="2">
        <v>31.105699999999999</v>
      </c>
      <c r="H5159" s="2">
        <v>33.160800000000002</v>
      </c>
      <c r="I5159" s="2">
        <v>0</v>
      </c>
      <c r="J5159" s="2">
        <v>0</v>
      </c>
    </row>
    <row r="5160" spans="1:10">
      <c r="A5160" s="2" t="s">
        <v>148</v>
      </c>
      <c r="B5160" s="2" t="s">
        <v>59</v>
      </c>
      <c r="C5160" s="2">
        <v>0.39500200000000002</v>
      </c>
      <c r="D5160" s="60">
        <v>39.5002</v>
      </c>
      <c r="E5160" s="2">
        <v>6.4</v>
      </c>
      <c r="F5160" s="2">
        <v>4</v>
      </c>
      <c r="G5160" s="2">
        <v>33.160800000000002</v>
      </c>
      <c r="H5160" s="2">
        <v>37.556699999999999</v>
      </c>
      <c r="I5160" s="2">
        <v>0</v>
      </c>
      <c r="J5160" s="2">
        <v>0</v>
      </c>
    </row>
    <row r="5161" spans="1:10">
      <c r="A5161" s="2" t="s">
        <v>148</v>
      </c>
      <c r="B5161" s="2" t="s">
        <v>56</v>
      </c>
      <c r="C5161" s="2">
        <v>0.82542400000000005</v>
      </c>
      <c r="D5161" s="60">
        <v>115.559</v>
      </c>
      <c r="E5161" s="2">
        <v>0.3</v>
      </c>
      <c r="F5161" s="2">
        <v>6.1</v>
      </c>
      <c r="G5161" s="2">
        <v>37.556699999999999</v>
      </c>
      <c r="H5161" s="2">
        <v>49.287700000000001</v>
      </c>
      <c r="I5161" s="2">
        <v>0</v>
      </c>
      <c r="J5161" s="2">
        <v>0</v>
      </c>
    </row>
    <row r="5162" spans="1:10">
      <c r="A5162" s="2" t="s">
        <v>138</v>
      </c>
      <c r="B5162" s="2">
        <v>9</v>
      </c>
      <c r="C5162" s="2">
        <v>19.693300000000001</v>
      </c>
      <c r="D5162" s="60" t="s">
        <v>149</v>
      </c>
    </row>
    <row r="5163" spans="1:10">
      <c r="A5163" s="2" t="s">
        <v>140</v>
      </c>
      <c r="B5163" s="2">
        <v>0</v>
      </c>
      <c r="C5163" s="2">
        <v>59.247900000000001</v>
      </c>
      <c r="D5163" s="60">
        <v>28.613600000000002</v>
      </c>
    </row>
    <row r="5164" spans="1:10">
      <c r="A5164" s="2" t="s">
        <v>141</v>
      </c>
      <c r="B5164" s="2">
        <v>0</v>
      </c>
      <c r="C5164" s="2">
        <v>6.9</v>
      </c>
      <c r="D5164" s="60" t="s">
        <v>142</v>
      </c>
    </row>
    <row r="5165" spans="1:10">
      <c r="A5165" s="2" t="s">
        <v>141</v>
      </c>
      <c r="B5165" s="2">
        <v>0</v>
      </c>
      <c r="C5165" s="2">
        <v>8.9</v>
      </c>
      <c r="D5165" s="60" t="s">
        <v>146</v>
      </c>
    </row>
    <row r="5166" spans="1:10">
      <c r="A5166" s="2" t="s">
        <v>141</v>
      </c>
      <c r="B5166" s="2">
        <v>6.9</v>
      </c>
      <c r="C5166" s="2">
        <v>11.8</v>
      </c>
      <c r="D5166" s="60" t="s">
        <v>147</v>
      </c>
    </row>
    <row r="5167" spans="1:10">
      <c r="A5167" s="2" t="s">
        <v>141</v>
      </c>
      <c r="B5167" s="2">
        <v>8.9</v>
      </c>
      <c r="C5167" s="2">
        <v>9.6</v>
      </c>
      <c r="D5167" s="60" t="s">
        <v>159</v>
      </c>
    </row>
    <row r="5168" spans="1:10">
      <c r="A5168" s="2" t="s">
        <v>141</v>
      </c>
      <c r="B5168" s="2">
        <v>9.6</v>
      </c>
      <c r="C5168" s="2">
        <v>11.8</v>
      </c>
      <c r="D5168" s="60" t="s">
        <v>146</v>
      </c>
    </row>
    <row r="5169" spans="1:10">
      <c r="A5169" s="2" t="s">
        <v>141</v>
      </c>
      <c r="B5169" s="2">
        <v>11.8</v>
      </c>
      <c r="C5169" s="2">
        <v>12.1</v>
      </c>
      <c r="D5169" s="60" t="s">
        <v>154</v>
      </c>
    </row>
    <row r="5170" spans="1:10">
      <c r="A5170" s="2" t="s">
        <v>141</v>
      </c>
      <c r="B5170" s="2">
        <v>11.8</v>
      </c>
      <c r="C5170" s="2">
        <v>12.2</v>
      </c>
      <c r="D5170" s="60" t="s">
        <v>151</v>
      </c>
    </row>
    <row r="5171" spans="1:10">
      <c r="A5171" s="2" t="s">
        <v>141</v>
      </c>
      <c r="B5171" s="2">
        <v>11.8</v>
      </c>
      <c r="C5171" s="2">
        <v>12.2</v>
      </c>
      <c r="D5171" s="60" t="s">
        <v>159</v>
      </c>
    </row>
    <row r="5172" spans="1:10">
      <c r="A5172" s="2" t="s">
        <v>141</v>
      </c>
      <c r="B5172" s="2">
        <v>12.2</v>
      </c>
      <c r="C5172" s="2">
        <v>21.906199999999998</v>
      </c>
      <c r="D5172" s="60" t="s">
        <v>144</v>
      </c>
    </row>
    <row r="5173" spans="1:10">
      <c r="A5173" s="2" t="s">
        <v>141</v>
      </c>
      <c r="B5173" s="2">
        <v>12.2</v>
      </c>
      <c r="C5173" s="2">
        <v>21.906199999999998</v>
      </c>
      <c r="D5173" s="60" t="s">
        <v>155</v>
      </c>
    </row>
    <row r="5174" spans="1:10">
      <c r="A5174" s="2" t="s">
        <v>156</v>
      </c>
      <c r="B5174" s="2">
        <v>11.8</v>
      </c>
      <c r="C5174" s="2">
        <v>23.6295</v>
      </c>
    </row>
    <row r="5175" spans="1:10">
      <c r="A5175" s="2" t="s">
        <v>148</v>
      </c>
      <c r="B5175" s="2" t="s">
        <v>99</v>
      </c>
      <c r="C5175" s="2">
        <v>8.1892000000000006E-2</v>
      </c>
      <c r="D5175" s="60">
        <v>0</v>
      </c>
      <c r="E5175" s="2">
        <v>0</v>
      </c>
      <c r="F5175" s="2">
        <v>0.3</v>
      </c>
      <c r="G5175" s="2">
        <v>57.650799999999997</v>
      </c>
      <c r="H5175" s="2">
        <v>60.3521</v>
      </c>
      <c r="I5175" s="2">
        <v>0</v>
      </c>
      <c r="J5175" s="2">
        <v>0</v>
      </c>
    </row>
    <row r="5176" spans="1:10">
      <c r="A5176" s="2" t="s">
        <v>148</v>
      </c>
      <c r="B5176" s="2" t="s">
        <v>100</v>
      </c>
      <c r="C5176" s="2">
        <v>2.8469499999999998E-2</v>
      </c>
      <c r="D5176" s="60">
        <v>0</v>
      </c>
      <c r="E5176" s="2">
        <v>18.908300000000001</v>
      </c>
      <c r="F5176" s="2">
        <v>9.7052999999999994</v>
      </c>
      <c r="G5176" s="2">
        <v>0</v>
      </c>
      <c r="H5176" s="2">
        <v>10</v>
      </c>
      <c r="I5176" s="2">
        <v>0</v>
      </c>
      <c r="J5176" s="2">
        <v>0</v>
      </c>
    </row>
    <row r="5177" spans="1:10">
      <c r="A5177" s="2" t="s">
        <v>148</v>
      </c>
      <c r="B5177" s="2" t="s">
        <v>101</v>
      </c>
      <c r="C5177" s="2">
        <v>5.9335999999999998E-3</v>
      </c>
      <c r="D5177" s="60">
        <v>0</v>
      </c>
      <c r="E5177" s="2">
        <v>18.2</v>
      </c>
      <c r="F5177" s="2">
        <v>0.70832099999999998</v>
      </c>
      <c r="G5177" s="2">
        <v>10</v>
      </c>
      <c r="H5177" s="2">
        <v>10.650600000000001</v>
      </c>
      <c r="I5177" s="2">
        <v>0</v>
      </c>
      <c r="J5177" s="2">
        <v>0</v>
      </c>
    </row>
    <row r="5178" spans="1:10">
      <c r="A5178" s="2" t="s">
        <v>148</v>
      </c>
      <c r="B5178" s="2" t="s">
        <v>64</v>
      </c>
      <c r="C5178" s="2">
        <v>8.3600499999999994E-2</v>
      </c>
      <c r="D5178" s="60">
        <v>2.5080100000000001</v>
      </c>
      <c r="E5178" s="2">
        <v>12.2</v>
      </c>
      <c r="F5178" s="2">
        <v>6</v>
      </c>
      <c r="G5178" s="2">
        <v>10.650600000000001</v>
      </c>
      <c r="H5178" s="2">
        <v>15.641299999999999</v>
      </c>
      <c r="I5178" s="2">
        <v>0</v>
      </c>
      <c r="J5178" s="2">
        <v>0</v>
      </c>
    </row>
    <row r="5179" spans="1:10">
      <c r="A5179" s="2" t="s">
        <v>148</v>
      </c>
      <c r="B5179" s="2" t="s">
        <v>101</v>
      </c>
      <c r="C5179" s="2">
        <v>0.42499100000000001</v>
      </c>
      <c r="D5179" s="60">
        <v>0</v>
      </c>
      <c r="E5179" s="2">
        <v>8.3000000000000007</v>
      </c>
      <c r="F5179" s="2">
        <v>3.9</v>
      </c>
      <c r="G5179" s="2">
        <v>15.641299999999999</v>
      </c>
      <c r="H5179" s="2">
        <v>41.402200000000001</v>
      </c>
      <c r="I5179" s="2">
        <v>0</v>
      </c>
      <c r="J5179" s="2">
        <v>0</v>
      </c>
    </row>
    <row r="5180" spans="1:10">
      <c r="A5180" s="2" t="s">
        <v>148</v>
      </c>
      <c r="B5180" s="2" t="s">
        <v>57</v>
      </c>
      <c r="C5180" s="2">
        <v>0.60567700000000002</v>
      </c>
      <c r="D5180" s="60">
        <v>72.681200000000004</v>
      </c>
      <c r="E5180" s="2">
        <v>4.3</v>
      </c>
      <c r="F5180" s="2">
        <v>4</v>
      </c>
      <c r="G5180" s="2">
        <v>41.402200000000001</v>
      </c>
      <c r="H5180" s="2">
        <v>46.290500000000002</v>
      </c>
      <c r="I5180" s="2">
        <v>0</v>
      </c>
      <c r="J5180" s="2">
        <v>0</v>
      </c>
    </row>
    <row r="5181" spans="1:10">
      <c r="A5181" s="2" t="s">
        <v>148</v>
      </c>
      <c r="B5181" s="2" t="s">
        <v>55</v>
      </c>
      <c r="C5181" s="2">
        <v>0.79111900000000002</v>
      </c>
      <c r="D5181" s="60">
        <v>114.712</v>
      </c>
      <c r="E5181" s="2">
        <v>0.3</v>
      </c>
      <c r="F5181" s="2">
        <v>4</v>
      </c>
      <c r="G5181" s="2">
        <v>46.290500000000002</v>
      </c>
      <c r="H5181" s="2">
        <v>57.650799999999997</v>
      </c>
      <c r="I5181" s="2">
        <v>0</v>
      </c>
      <c r="J5181" s="2">
        <v>0</v>
      </c>
    </row>
    <row r="5182" spans="1:10">
      <c r="A5182" s="2" t="s">
        <v>138</v>
      </c>
      <c r="B5182" s="2">
        <v>10</v>
      </c>
      <c r="C5182" s="2">
        <v>18.782699999999998</v>
      </c>
      <c r="D5182" s="60" t="s">
        <v>139</v>
      </c>
    </row>
    <row r="5183" spans="1:10">
      <c r="A5183" s="2" t="s">
        <v>140</v>
      </c>
      <c r="B5183" s="2">
        <v>0</v>
      </c>
      <c r="C5183" s="2">
        <v>41.217100000000002</v>
      </c>
      <c r="D5183" s="60">
        <v>23.455400000000001</v>
      </c>
    </row>
    <row r="5184" spans="1:10">
      <c r="A5184" s="2" t="s">
        <v>141</v>
      </c>
      <c r="B5184" s="2">
        <v>0</v>
      </c>
      <c r="C5184" s="2">
        <v>6.3</v>
      </c>
      <c r="D5184" s="60" t="s">
        <v>142</v>
      </c>
    </row>
    <row r="5185" spans="1:10">
      <c r="A5185" s="2" t="s">
        <v>141</v>
      </c>
      <c r="B5185" s="2">
        <v>0</v>
      </c>
      <c r="C5185" s="2">
        <v>18.3</v>
      </c>
      <c r="D5185" s="60" t="s">
        <v>155</v>
      </c>
    </row>
    <row r="5186" spans="1:10">
      <c r="A5186" s="2" t="s">
        <v>141</v>
      </c>
      <c r="B5186" s="2">
        <v>6.3</v>
      </c>
      <c r="C5186" s="2">
        <v>10.5</v>
      </c>
      <c r="D5186" s="60" t="s">
        <v>145</v>
      </c>
    </row>
    <row r="5187" spans="1:10">
      <c r="A5187" s="2" t="s">
        <v>141</v>
      </c>
      <c r="B5187" s="2">
        <v>10.5</v>
      </c>
      <c r="C5187" s="2">
        <v>18.3</v>
      </c>
      <c r="D5187" s="60" t="s">
        <v>144</v>
      </c>
    </row>
    <row r="5188" spans="1:10">
      <c r="A5188" s="2" t="s">
        <v>148</v>
      </c>
      <c r="B5188" s="2" t="s">
        <v>99</v>
      </c>
      <c r="C5188" s="2">
        <v>4.2245699999999997E-2</v>
      </c>
      <c r="D5188" s="60">
        <v>0</v>
      </c>
      <c r="E5188" s="2">
        <v>0</v>
      </c>
      <c r="F5188" s="2">
        <v>0.3</v>
      </c>
      <c r="G5188" s="2">
        <v>41.232599999999998</v>
      </c>
      <c r="H5188" s="2">
        <v>43.553199999999997</v>
      </c>
      <c r="I5188" s="2">
        <v>0</v>
      </c>
      <c r="J5188" s="2">
        <v>0</v>
      </c>
    </row>
    <row r="5189" spans="1:10">
      <c r="A5189" s="2" t="s">
        <v>148</v>
      </c>
      <c r="B5189" s="2" t="s">
        <v>100</v>
      </c>
      <c r="C5189" s="2">
        <v>1.45475E-2</v>
      </c>
      <c r="D5189" s="60">
        <v>0</v>
      </c>
      <c r="E5189" s="2">
        <v>18.971</v>
      </c>
      <c r="F5189" s="2">
        <v>4.4843799999999998</v>
      </c>
      <c r="G5189" s="2">
        <v>0</v>
      </c>
      <c r="H5189" s="2">
        <v>10</v>
      </c>
      <c r="I5189" s="2">
        <v>0</v>
      </c>
      <c r="J5189" s="2">
        <v>0</v>
      </c>
    </row>
    <row r="5190" spans="1:10">
      <c r="A5190" s="2" t="s">
        <v>148</v>
      </c>
      <c r="B5190" s="2" t="s">
        <v>98</v>
      </c>
      <c r="C5190" s="2">
        <v>0.127501</v>
      </c>
      <c r="D5190" s="60">
        <v>0</v>
      </c>
      <c r="E5190" s="2">
        <v>12.715999999999999</v>
      </c>
      <c r="F5190" s="2">
        <v>6.2549700000000001</v>
      </c>
      <c r="G5190" s="2">
        <v>10</v>
      </c>
      <c r="H5190" s="2">
        <v>21.407</v>
      </c>
      <c r="I5190" s="2">
        <v>0</v>
      </c>
      <c r="J5190" s="2">
        <v>0</v>
      </c>
    </row>
    <row r="5191" spans="1:10">
      <c r="A5191" s="2" t="s">
        <v>148</v>
      </c>
      <c r="B5191" s="2" t="s">
        <v>101</v>
      </c>
      <c r="C5191" s="2">
        <v>1.5470299999999999E-2</v>
      </c>
      <c r="D5191" s="60">
        <v>0</v>
      </c>
      <c r="E5191" s="2">
        <v>12.3</v>
      </c>
      <c r="F5191" s="2">
        <v>0.41602699999999998</v>
      </c>
      <c r="G5191" s="2">
        <v>21.407</v>
      </c>
      <c r="H5191" s="2">
        <v>22.107199999999999</v>
      </c>
      <c r="I5191" s="2">
        <v>0</v>
      </c>
      <c r="J5191" s="2">
        <v>0</v>
      </c>
    </row>
    <row r="5192" spans="1:10">
      <c r="A5192" s="2" t="s">
        <v>148</v>
      </c>
      <c r="B5192" s="2" t="s">
        <v>63</v>
      </c>
      <c r="C5192" s="2">
        <v>0.200459</v>
      </c>
      <c r="D5192" s="60">
        <v>14.0321</v>
      </c>
      <c r="E5192" s="2">
        <v>8.3000000000000007</v>
      </c>
      <c r="F5192" s="2">
        <v>4</v>
      </c>
      <c r="G5192" s="2">
        <v>22.107199999999999</v>
      </c>
      <c r="H5192" s="2">
        <v>28.044799999999999</v>
      </c>
      <c r="I5192" s="2">
        <v>0</v>
      </c>
      <c r="J5192" s="2">
        <v>0</v>
      </c>
    </row>
    <row r="5193" spans="1:10">
      <c r="A5193" s="2" t="s">
        <v>148</v>
      </c>
      <c r="B5193" s="2" t="s">
        <v>62</v>
      </c>
      <c r="C5193" s="2">
        <v>0.290993</v>
      </c>
      <c r="D5193" s="60">
        <v>23.279399999999999</v>
      </c>
      <c r="E5193" s="2">
        <v>4.3</v>
      </c>
      <c r="F5193" s="2">
        <v>4</v>
      </c>
      <c r="G5193" s="2">
        <v>28.044799999999999</v>
      </c>
      <c r="H5193" s="2">
        <v>32.589300000000001</v>
      </c>
      <c r="I5193" s="2">
        <v>0</v>
      </c>
      <c r="J5193" s="2">
        <v>0</v>
      </c>
    </row>
    <row r="5194" spans="1:10">
      <c r="A5194" s="2" t="s">
        <v>148</v>
      </c>
      <c r="B5194" s="2" t="s">
        <v>62</v>
      </c>
      <c r="C5194" s="2">
        <v>0.39672499999999999</v>
      </c>
      <c r="D5194" s="60">
        <v>31.738</v>
      </c>
      <c r="E5194" s="2">
        <v>0.3</v>
      </c>
      <c r="F5194" s="2">
        <v>4</v>
      </c>
      <c r="G5194" s="2">
        <v>32.589300000000001</v>
      </c>
      <c r="H5194" s="2">
        <v>41.232599999999998</v>
      </c>
      <c r="I5194" s="2">
        <v>0</v>
      </c>
      <c r="J5194" s="2">
        <v>0</v>
      </c>
    </row>
    <row r="5195" spans="1:10">
      <c r="A5195" s="2" t="s">
        <v>138</v>
      </c>
      <c r="B5195" s="2">
        <v>11</v>
      </c>
      <c r="C5195" s="2">
        <v>16.986799999999999</v>
      </c>
      <c r="D5195" s="60" t="s">
        <v>149</v>
      </c>
    </row>
    <row r="5196" spans="1:10">
      <c r="A5196" s="2" t="s">
        <v>140</v>
      </c>
      <c r="B5196" s="2">
        <v>0</v>
      </c>
      <c r="C5196" s="2">
        <v>29.786799999999999</v>
      </c>
      <c r="D5196" s="60">
        <v>23.35</v>
      </c>
    </row>
    <row r="5197" spans="1:10">
      <c r="A5197" s="2" t="s">
        <v>141</v>
      </c>
      <c r="B5197" s="2">
        <v>0</v>
      </c>
      <c r="C5197" s="2">
        <v>3.7</v>
      </c>
      <c r="D5197" s="60" t="s">
        <v>142</v>
      </c>
    </row>
    <row r="5198" spans="1:10">
      <c r="A5198" s="2" t="s">
        <v>141</v>
      </c>
      <c r="B5198" s="2">
        <v>0</v>
      </c>
      <c r="C5198" s="2">
        <v>5.0999999999999996</v>
      </c>
      <c r="D5198" s="60" t="s">
        <v>155</v>
      </c>
    </row>
    <row r="5199" spans="1:10">
      <c r="A5199" s="2" t="s">
        <v>141</v>
      </c>
      <c r="B5199" s="2">
        <v>3.7</v>
      </c>
      <c r="C5199" s="2">
        <v>18.226299999999998</v>
      </c>
      <c r="D5199" s="60" t="s">
        <v>144</v>
      </c>
    </row>
    <row r="5200" spans="1:10">
      <c r="A5200" s="2" t="s">
        <v>141</v>
      </c>
      <c r="B5200" s="2">
        <v>5.0999999999999996</v>
      </c>
      <c r="C5200" s="2">
        <v>18.226299999999998</v>
      </c>
      <c r="D5200" s="60" t="s">
        <v>161</v>
      </c>
    </row>
    <row r="5201" spans="1:10">
      <c r="A5201" s="2" t="s">
        <v>148</v>
      </c>
      <c r="B5201" s="2" t="s">
        <v>99</v>
      </c>
      <c r="C5201" s="2">
        <v>2.3609499999999999E-2</v>
      </c>
      <c r="D5201" s="60">
        <v>0</v>
      </c>
      <c r="E5201" s="2">
        <v>0</v>
      </c>
      <c r="F5201" s="2">
        <v>0.3</v>
      </c>
      <c r="G5201" s="2">
        <v>30.821100000000001</v>
      </c>
      <c r="H5201" s="2">
        <v>32.562899999999999</v>
      </c>
      <c r="I5201" s="2">
        <v>0</v>
      </c>
      <c r="J5201" s="2">
        <v>0</v>
      </c>
    </row>
    <row r="5202" spans="1:10">
      <c r="A5202" s="2" t="s">
        <v>148</v>
      </c>
      <c r="B5202" s="2" t="s">
        <v>100</v>
      </c>
      <c r="C5202" s="2">
        <v>1.90805E-2</v>
      </c>
      <c r="D5202" s="60">
        <v>0</v>
      </c>
      <c r="E5202" s="2">
        <v>17.0639</v>
      </c>
      <c r="F5202" s="2">
        <v>6.2860500000000004</v>
      </c>
      <c r="G5202" s="2">
        <v>0</v>
      </c>
      <c r="H5202" s="2">
        <v>10</v>
      </c>
      <c r="I5202" s="2">
        <v>0</v>
      </c>
      <c r="J5202" s="2">
        <v>0</v>
      </c>
    </row>
    <row r="5203" spans="1:10">
      <c r="A5203" s="2" t="s">
        <v>148</v>
      </c>
      <c r="B5203" s="2" t="s">
        <v>101</v>
      </c>
      <c r="C5203" s="2">
        <v>0.34115800000000002</v>
      </c>
      <c r="D5203" s="60">
        <v>0</v>
      </c>
      <c r="E5203" s="2">
        <v>4.3</v>
      </c>
      <c r="F5203" s="2">
        <v>12.7639</v>
      </c>
      <c r="G5203" s="2">
        <v>10</v>
      </c>
      <c r="H5203" s="2">
        <v>24.3506</v>
      </c>
      <c r="I5203" s="2">
        <v>0</v>
      </c>
      <c r="J5203" s="2">
        <v>0</v>
      </c>
    </row>
    <row r="5204" spans="1:10">
      <c r="A5204" s="2" t="s">
        <v>148</v>
      </c>
      <c r="B5204" s="2" t="s">
        <v>63</v>
      </c>
      <c r="C5204" s="2">
        <v>0.22156999999999999</v>
      </c>
      <c r="D5204" s="60">
        <v>15.5099</v>
      </c>
      <c r="E5204" s="2">
        <v>0.3</v>
      </c>
      <c r="F5204" s="2">
        <v>4</v>
      </c>
      <c r="G5204" s="2">
        <v>24.3506</v>
      </c>
      <c r="H5204" s="2">
        <v>30.821100000000001</v>
      </c>
      <c r="I5204" s="2">
        <v>0</v>
      </c>
      <c r="J5204" s="2">
        <v>0</v>
      </c>
    </row>
    <row r="5205" spans="1:10">
      <c r="A5205" s="2" t="s">
        <v>138</v>
      </c>
      <c r="B5205" s="2">
        <v>12</v>
      </c>
      <c r="C5205" s="2">
        <v>19.395099999999999</v>
      </c>
      <c r="D5205" s="60" t="s">
        <v>149</v>
      </c>
    </row>
    <row r="5206" spans="1:10">
      <c r="A5206" s="2" t="s">
        <v>140</v>
      </c>
      <c r="B5206" s="2">
        <v>0</v>
      </c>
      <c r="C5206" s="2">
        <v>48.627600000000001</v>
      </c>
      <c r="D5206" s="60">
        <v>27.0974</v>
      </c>
    </row>
    <row r="5207" spans="1:10">
      <c r="A5207" s="2" t="s">
        <v>141</v>
      </c>
      <c r="B5207" s="2">
        <v>0</v>
      </c>
      <c r="C5207" s="2">
        <v>6.8</v>
      </c>
      <c r="D5207" s="60" t="s">
        <v>142</v>
      </c>
    </row>
    <row r="5208" spans="1:10">
      <c r="A5208" s="2" t="s">
        <v>141</v>
      </c>
      <c r="B5208" s="2">
        <v>0</v>
      </c>
      <c r="C5208" s="2">
        <v>10.7</v>
      </c>
      <c r="D5208" s="60" t="s">
        <v>146</v>
      </c>
    </row>
    <row r="5209" spans="1:10">
      <c r="A5209" s="2" t="s">
        <v>141</v>
      </c>
      <c r="B5209" s="2">
        <v>6.8</v>
      </c>
      <c r="C5209" s="2">
        <v>8.5</v>
      </c>
      <c r="D5209" s="60" t="s">
        <v>144</v>
      </c>
    </row>
    <row r="5210" spans="1:10">
      <c r="A5210" s="2" t="s">
        <v>141</v>
      </c>
      <c r="B5210" s="2">
        <v>8.5</v>
      </c>
      <c r="C5210" s="2">
        <v>9</v>
      </c>
      <c r="D5210" s="60" t="s">
        <v>145</v>
      </c>
    </row>
    <row r="5211" spans="1:10">
      <c r="A5211" s="2" t="s">
        <v>141</v>
      </c>
      <c r="B5211" s="2">
        <v>9</v>
      </c>
      <c r="C5211" s="2">
        <v>10.7</v>
      </c>
      <c r="D5211" s="60" t="s">
        <v>144</v>
      </c>
    </row>
    <row r="5212" spans="1:10">
      <c r="A5212" s="2" t="s">
        <v>141</v>
      </c>
      <c r="B5212" s="2">
        <v>10.7</v>
      </c>
      <c r="C5212" s="2">
        <v>12.2</v>
      </c>
      <c r="D5212" s="60" t="s">
        <v>147</v>
      </c>
    </row>
    <row r="5213" spans="1:10">
      <c r="A5213" s="2" t="s">
        <v>141</v>
      </c>
      <c r="B5213" s="2">
        <v>10.7</v>
      </c>
      <c r="C5213" s="2">
        <v>12.2</v>
      </c>
      <c r="D5213" s="60" t="s">
        <v>161</v>
      </c>
    </row>
    <row r="5214" spans="1:10">
      <c r="A5214" s="2" t="s">
        <v>141</v>
      </c>
      <c r="B5214" s="2">
        <v>12.2</v>
      </c>
      <c r="C5214" s="2">
        <v>12.5</v>
      </c>
      <c r="D5214" s="60" t="s">
        <v>154</v>
      </c>
    </row>
    <row r="5215" spans="1:10">
      <c r="A5215" s="2" t="s">
        <v>141</v>
      </c>
      <c r="B5215" s="2">
        <v>12.2</v>
      </c>
      <c r="C5215" s="2">
        <v>20.8462</v>
      </c>
      <c r="D5215" s="60" t="s">
        <v>144</v>
      </c>
    </row>
    <row r="5216" spans="1:10">
      <c r="A5216" s="2" t="s">
        <v>141</v>
      </c>
      <c r="B5216" s="2">
        <v>12.2</v>
      </c>
      <c r="C5216" s="2">
        <v>20.8462</v>
      </c>
      <c r="D5216" s="60" t="s">
        <v>155</v>
      </c>
    </row>
    <row r="5217" spans="1:10">
      <c r="A5217" s="2" t="s">
        <v>156</v>
      </c>
      <c r="B5217" s="2">
        <v>12.2</v>
      </c>
      <c r="C5217" s="2">
        <v>38.2318</v>
      </c>
    </row>
    <row r="5218" spans="1:10">
      <c r="A5218" s="2" t="s">
        <v>148</v>
      </c>
      <c r="B5218" s="2" t="s">
        <v>99</v>
      </c>
      <c r="C5218" s="2">
        <v>5.7297899999999999E-2</v>
      </c>
      <c r="D5218" s="60">
        <v>0</v>
      </c>
      <c r="E5218" s="2">
        <v>0</v>
      </c>
      <c r="F5218" s="2">
        <v>0.3</v>
      </c>
      <c r="G5218" s="2">
        <v>48.170099999999998</v>
      </c>
      <c r="H5218" s="2">
        <v>50.5441</v>
      </c>
      <c r="I5218" s="2">
        <v>0</v>
      </c>
      <c r="J5218" s="2">
        <v>0</v>
      </c>
    </row>
    <row r="5219" spans="1:10">
      <c r="A5219" s="2" t="s">
        <v>148</v>
      </c>
      <c r="B5219" s="2" t="s">
        <v>100</v>
      </c>
      <c r="C5219" s="2">
        <v>1.7928199999999998E-2</v>
      </c>
      <c r="D5219" s="60">
        <v>0</v>
      </c>
      <c r="E5219" s="2">
        <v>21.479900000000001</v>
      </c>
      <c r="F5219" s="2">
        <v>5.6175100000000002</v>
      </c>
      <c r="G5219" s="2">
        <v>0</v>
      </c>
      <c r="H5219" s="2">
        <v>10</v>
      </c>
      <c r="I5219" s="2">
        <v>0</v>
      </c>
      <c r="J5219" s="2">
        <v>0</v>
      </c>
    </row>
    <row r="5220" spans="1:10">
      <c r="A5220" s="2" t="s">
        <v>148</v>
      </c>
      <c r="B5220" s="2" t="s">
        <v>98</v>
      </c>
      <c r="C5220" s="2">
        <v>0.14666000000000001</v>
      </c>
      <c r="D5220" s="60">
        <v>0</v>
      </c>
      <c r="E5220" s="2">
        <v>14.054600000000001</v>
      </c>
      <c r="F5220" s="2">
        <v>7.4252700000000003</v>
      </c>
      <c r="G5220" s="2">
        <v>10</v>
      </c>
      <c r="H5220" s="2">
        <v>20.893999999999998</v>
      </c>
      <c r="I5220" s="2">
        <v>0</v>
      </c>
      <c r="J5220" s="2">
        <v>0</v>
      </c>
    </row>
    <row r="5221" spans="1:10">
      <c r="A5221" s="2" t="s">
        <v>148</v>
      </c>
      <c r="B5221" s="2" t="s">
        <v>101</v>
      </c>
      <c r="C5221" s="2">
        <v>0.200155</v>
      </c>
      <c r="D5221" s="60">
        <v>0</v>
      </c>
      <c r="E5221" s="2">
        <v>10.4</v>
      </c>
      <c r="F5221" s="2">
        <v>3.6546400000000001</v>
      </c>
      <c r="G5221" s="2">
        <v>20.893999999999998</v>
      </c>
      <c r="H5221" s="2">
        <v>31.465299999999999</v>
      </c>
      <c r="I5221" s="2">
        <v>0</v>
      </c>
      <c r="J5221" s="2">
        <v>0</v>
      </c>
    </row>
    <row r="5222" spans="1:10">
      <c r="A5222" s="2" t="s">
        <v>148</v>
      </c>
      <c r="B5222" s="2" t="s">
        <v>59</v>
      </c>
      <c r="C5222" s="2">
        <v>0.36345100000000002</v>
      </c>
      <c r="D5222" s="60">
        <v>36.345100000000002</v>
      </c>
      <c r="E5222" s="2">
        <v>6.4</v>
      </c>
      <c r="F5222" s="2">
        <v>4</v>
      </c>
      <c r="G5222" s="2">
        <v>31.465299999999999</v>
      </c>
      <c r="H5222" s="2">
        <v>36.308799999999998</v>
      </c>
      <c r="I5222" s="2">
        <v>0</v>
      </c>
      <c r="J5222" s="2">
        <v>0</v>
      </c>
    </row>
    <row r="5223" spans="1:10">
      <c r="A5223" s="2" t="s">
        <v>148</v>
      </c>
      <c r="B5223" s="2" t="s">
        <v>56</v>
      </c>
      <c r="C5223" s="2">
        <v>0.780304</v>
      </c>
      <c r="D5223" s="60">
        <v>109.242</v>
      </c>
      <c r="E5223" s="2">
        <v>0.3</v>
      </c>
      <c r="F5223" s="2">
        <v>6.1</v>
      </c>
      <c r="G5223" s="2">
        <v>36.308799999999998</v>
      </c>
      <c r="H5223" s="2">
        <v>48.170099999999998</v>
      </c>
      <c r="I5223" s="2">
        <v>0</v>
      </c>
      <c r="J5223" s="2">
        <v>0</v>
      </c>
    </row>
    <row r="5224" spans="1:10">
      <c r="A5224" s="2" t="s">
        <v>138</v>
      </c>
      <c r="B5224" s="2">
        <v>13</v>
      </c>
      <c r="C5224" s="2">
        <v>12.7874</v>
      </c>
      <c r="D5224" s="60" t="s">
        <v>149</v>
      </c>
    </row>
    <row r="5225" spans="1:10">
      <c r="A5225" s="2" t="s">
        <v>140</v>
      </c>
      <c r="B5225" s="2">
        <v>0</v>
      </c>
      <c r="C5225" s="2">
        <v>23.5</v>
      </c>
      <c r="D5225" s="60">
        <v>20.708600000000001</v>
      </c>
    </row>
    <row r="5226" spans="1:10">
      <c r="A5226" s="2" t="s">
        <v>141</v>
      </c>
      <c r="B5226" s="2">
        <v>0</v>
      </c>
      <c r="C5226" s="2">
        <v>6.3</v>
      </c>
      <c r="D5226" s="60" t="s">
        <v>142</v>
      </c>
    </row>
    <row r="5227" spans="1:10">
      <c r="A5227" s="2" t="s">
        <v>141</v>
      </c>
      <c r="B5227" s="2">
        <v>0</v>
      </c>
      <c r="C5227" s="2">
        <v>6.3</v>
      </c>
      <c r="D5227" s="60" t="s">
        <v>155</v>
      </c>
    </row>
    <row r="5228" spans="1:10">
      <c r="A5228" s="2" t="s">
        <v>141</v>
      </c>
      <c r="B5228" s="2">
        <v>0</v>
      </c>
      <c r="C5228" s="2">
        <v>6.3</v>
      </c>
      <c r="D5228" s="60" t="s">
        <v>158</v>
      </c>
    </row>
    <row r="5229" spans="1:10">
      <c r="A5229" s="2" t="s">
        <v>141</v>
      </c>
      <c r="B5229" s="2">
        <v>6.3</v>
      </c>
      <c r="C5229" s="2">
        <v>6.6</v>
      </c>
      <c r="D5229" s="60" t="s">
        <v>176</v>
      </c>
    </row>
    <row r="5230" spans="1:10">
      <c r="A5230" s="2" t="s">
        <v>141</v>
      </c>
      <c r="B5230" s="2">
        <v>6.3</v>
      </c>
      <c r="C5230" s="2">
        <v>16.3797</v>
      </c>
      <c r="D5230" s="60" t="s">
        <v>144</v>
      </c>
    </row>
    <row r="5231" spans="1:10">
      <c r="A5231" s="2" t="s">
        <v>141</v>
      </c>
      <c r="B5231" s="2">
        <v>6.3</v>
      </c>
      <c r="C5231" s="2">
        <v>16.3797</v>
      </c>
      <c r="D5231" s="60" t="s">
        <v>152</v>
      </c>
    </row>
    <row r="5232" spans="1:10">
      <c r="A5232" s="2" t="s">
        <v>141</v>
      </c>
      <c r="B5232" s="2">
        <v>6.6</v>
      </c>
      <c r="C5232" s="2">
        <v>7.3</v>
      </c>
      <c r="D5232" s="60" t="s">
        <v>158</v>
      </c>
    </row>
    <row r="5233" spans="1:10">
      <c r="A5233" s="2" t="s">
        <v>141</v>
      </c>
      <c r="B5233" s="2">
        <v>7.3</v>
      </c>
      <c r="C5233" s="2">
        <v>7.6</v>
      </c>
      <c r="D5233" s="60" t="s">
        <v>176</v>
      </c>
    </row>
    <row r="5234" spans="1:10">
      <c r="A5234" s="2" t="s">
        <v>148</v>
      </c>
      <c r="B5234" s="2" t="s">
        <v>99</v>
      </c>
      <c r="C5234" s="2">
        <v>1.5338900000000001E-2</v>
      </c>
      <c r="D5234" s="60">
        <v>0</v>
      </c>
      <c r="E5234" s="2">
        <v>0</v>
      </c>
      <c r="F5234" s="2">
        <v>0.3</v>
      </c>
      <c r="G5234" s="2">
        <v>24.771999999999998</v>
      </c>
      <c r="H5234" s="2">
        <v>26.332999999999998</v>
      </c>
      <c r="I5234" s="2">
        <v>0</v>
      </c>
      <c r="J5234" s="2">
        <v>0</v>
      </c>
    </row>
    <row r="5235" spans="1:10">
      <c r="A5235" s="2" t="s">
        <v>148</v>
      </c>
      <c r="B5235" s="2" t="s">
        <v>100</v>
      </c>
      <c r="C5235" s="2">
        <v>2.0734099999999998E-2</v>
      </c>
      <c r="D5235" s="60">
        <v>0</v>
      </c>
      <c r="E5235" s="2">
        <v>13.6347</v>
      </c>
      <c r="F5235" s="2">
        <v>7.0739599999999996</v>
      </c>
      <c r="G5235" s="2">
        <v>0</v>
      </c>
      <c r="H5235" s="2">
        <v>10</v>
      </c>
      <c r="I5235" s="2">
        <v>0</v>
      </c>
      <c r="J5235" s="2">
        <v>0</v>
      </c>
    </row>
    <row r="5236" spans="1:10">
      <c r="A5236" s="2" t="s">
        <v>148</v>
      </c>
      <c r="B5236" s="2" t="s">
        <v>101</v>
      </c>
      <c r="C5236" s="2">
        <v>2.7339600000000002E-4</v>
      </c>
      <c r="D5236" s="60">
        <v>0</v>
      </c>
      <c r="E5236" s="2">
        <v>13.6</v>
      </c>
      <c r="F5236" s="2">
        <v>3.4657500000000001E-2</v>
      </c>
      <c r="G5236" s="2">
        <v>10</v>
      </c>
      <c r="H5236" s="2">
        <v>10.043900000000001</v>
      </c>
      <c r="I5236" s="2">
        <v>0</v>
      </c>
      <c r="J5236" s="2">
        <v>0</v>
      </c>
    </row>
    <row r="5237" spans="1:10">
      <c r="A5237" s="2" t="s">
        <v>148</v>
      </c>
      <c r="B5237" s="2" t="s">
        <v>64</v>
      </c>
      <c r="C5237" s="2">
        <v>4.2785700000000003E-2</v>
      </c>
      <c r="D5237" s="60">
        <v>1.2835700000000001</v>
      </c>
      <c r="E5237" s="2">
        <v>10</v>
      </c>
      <c r="F5237" s="2">
        <v>3.6</v>
      </c>
      <c r="G5237" s="2">
        <v>10.043900000000001</v>
      </c>
      <c r="H5237" s="2">
        <v>14.3232</v>
      </c>
      <c r="I5237" s="2">
        <v>0</v>
      </c>
      <c r="J5237" s="2">
        <v>0</v>
      </c>
    </row>
    <row r="5238" spans="1:10">
      <c r="A5238" s="2" t="s">
        <v>148</v>
      </c>
      <c r="B5238" s="2" t="s">
        <v>64</v>
      </c>
      <c r="C5238" s="2">
        <v>7.6192300000000004E-2</v>
      </c>
      <c r="D5238" s="60">
        <v>2.2857699999999999</v>
      </c>
      <c r="E5238" s="2">
        <v>6.3</v>
      </c>
      <c r="F5238" s="2">
        <v>3.7</v>
      </c>
      <c r="G5238" s="2">
        <v>14.3232</v>
      </c>
      <c r="H5238" s="2">
        <v>17.8291</v>
      </c>
      <c r="I5238" s="2">
        <v>0</v>
      </c>
      <c r="J5238" s="2">
        <v>0</v>
      </c>
    </row>
    <row r="5239" spans="1:10">
      <c r="A5239" s="2" t="s">
        <v>148</v>
      </c>
      <c r="B5239" s="2" t="s">
        <v>63</v>
      </c>
      <c r="C5239" s="2">
        <v>0.19581200000000001</v>
      </c>
      <c r="D5239" s="60">
        <v>13.706799999999999</v>
      </c>
      <c r="E5239" s="2">
        <v>0.3</v>
      </c>
      <c r="F5239" s="2">
        <v>6</v>
      </c>
      <c r="G5239" s="2">
        <v>17.8291</v>
      </c>
      <c r="H5239" s="2">
        <v>24.771999999999998</v>
      </c>
      <c r="I5239" s="2">
        <v>0</v>
      </c>
      <c r="J5239" s="2">
        <v>0</v>
      </c>
    </row>
    <row r="5240" spans="1:10">
      <c r="A5240" s="2" t="s">
        <v>138</v>
      </c>
      <c r="B5240" s="2">
        <v>14</v>
      </c>
      <c r="C5240" s="2">
        <v>19.368600000000001</v>
      </c>
      <c r="D5240" s="60" t="s">
        <v>139</v>
      </c>
    </row>
    <row r="5241" spans="1:10">
      <c r="A5241" s="2" t="s">
        <v>140</v>
      </c>
      <c r="B5241" s="2">
        <v>0</v>
      </c>
      <c r="C5241" s="2">
        <v>46.5398</v>
      </c>
      <c r="D5241" s="60">
        <v>28.604800000000001</v>
      </c>
    </row>
    <row r="5242" spans="1:10">
      <c r="A5242" s="2" t="s">
        <v>141</v>
      </c>
      <c r="B5242" s="2">
        <v>0</v>
      </c>
      <c r="C5242" s="2">
        <v>7.1</v>
      </c>
      <c r="D5242" s="60" t="s">
        <v>142</v>
      </c>
    </row>
    <row r="5243" spans="1:10">
      <c r="A5243" s="2" t="s">
        <v>141</v>
      </c>
      <c r="B5243" s="2">
        <v>0</v>
      </c>
      <c r="C5243" s="2">
        <v>21.9</v>
      </c>
      <c r="D5243" s="60" t="s">
        <v>146</v>
      </c>
    </row>
    <row r="5244" spans="1:10">
      <c r="A5244" s="2" t="s">
        <v>141</v>
      </c>
      <c r="B5244" s="2">
        <v>7.1</v>
      </c>
      <c r="C5244" s="2">
        <v>14.5</v>
      </c>
      <c r="D5244" s="60" t="s">
        <v>145</v>
      </c>
    </row>
    <row r="5245" spans="1:10">
      <c r="A5245" s="2" t="s">
        <v>141</v>
      </c>
      <c r="B5245" s="2">
        <v>14.5</v>
      </c>
      <c r="C5245" s="2">
        <v>21.9</v>
      </c>
      <c r="D5245" s="60" t="s">
        <v>144</v>
      </c>
    </row>
    <row r="5246" spans="1:10">
      <c r="A5246" s="2" t="s">
        <v>148</v>
      </c>
      <c r="B5246" s="2" t="s">
        <v>99</v>
      </c>
      <c r="C5246" s="2">
        <v>5.3147600000000003E-2</v>
      </c>
      <c r="D5246" s="60">
        <v>0</v>
      </c>
      <c r="E5246" s="2">
        <v>0</v>
      </c>
      <c r="F5246" s="2">
        <v>0.3</v>
      </c>
      <c r="G5246" s="2">
        <v>46.443399999999997</v>
      </c>
      <c r="H5246" s="2">
        <v>48.620100000000001</v>
      </c>
      <c r="I5246" s="2">
        <v>0</v>
      </c>
      <c r="J5246" s="2">
        <v>0</v>
      </c>
    </row>
    <row r="5247" spans="1:10">
      <c r="A5247" s="2" t="s">
        <v>148</v>
      </c>
      <c r="B5247" s="2" t="s">
        <v>100</v>
      </c>
      <c r="C5247" s="2">
        <v>1.5873999999999999E-2</v>
      </c>
      <c r="D5247" s="60">
        <v>0</v>
      </c>
      <c r="E5247" s="2">
        <v>23.8444</v>
      </c>
      <c r="F5247" s="2">
        <v>4.7603400000000002</v>
      </c>
      <c r="G5247" s="2">
        <v>0</v>
      </c>
      <c r="H5247" s="2">
        <v>10</v>
      </c>
      <c r="I5247" s="2">
        <v>0</v>
      </c>
      <c r="J5247" s="2">
        <v>0</v>
      </c>
    </row>
    <row r="5248" spans="1:10">
      <c r="A5248" s="2" t="s">
        <v>148</v>
      </c>
      <c r="B5248" s="2" t="s">
        <v>98</v>
      </c>
      <c r="C5248" s="2">
        <v>1.67647E-2</v>
      </c>
      <c r="D5248" s="60">
        <v>0</v>
      </c>
      <c r="E5248" s="2">
        <v>22.197700000000001</v>
      </c>
      <c r="F5248" s="2">
        <v>1.64672</v>
      </c>
      <c r="G5248" s="2">
        <v>10</v>
      </c>
      <c r="H5248" s="2">
        <v>12.732200000000001</v>
      </c>
      <c r="I5248" s="2">
        <v>0</v>
      </c>
      <c r="J5248" s="2">
        <v>0</v>
      </c>
    </row>
    <row r="5249" spans="1:10">
      <c r="A5249" s="2" t="s">
        <v>148</v>
      </c>
      <c r="B5249" s="2" t="s">
        <v>101</v>
      </c>
      <c r="C5249" s="2">
        <v>3.28209E-2</v>
      </c>
      <c r="D5249" s="60">
        <v>0</v>
      </c>
      <c r="E5249" s="2">
        <v>20.2</v>
      </c>
      <c r="F5249" s="2">
        <v>1.9977</v>
      </c>
      <c r="G5249" s="2">
        <v>12.732200000000001</v>
      </c>
      <c r="H5249" s="2">
        <v>16.135300000000001</v>
      </c>
      <c r="I5249" s="2">
        <v>0</v>
      </c>
      <c r="J5249" s="2">
        <v>0</v>
      </c>
    </row>
    <row r="5250" spans="1:10">
      <c r="A5250" s="2" t="s">
        <v>148</v>
      </c>
      <c r="B5250" s="2" t="s">
        <v>61</v>
      </c>
      <c r="C5250" s="2">
        <v>0.120763</v>
      </c>
      <c r="D5250" s="60">
        <v>10.264900000000001</v>
      </c>
      <c r="E5250" s="2">
        <v>16.2</v>
      </c>
      <c r="F5250" s="2">
        <v>4</v>
      </c>
      <c r="G5250" s="2">
        <v>16.135300000000001</v>
      </c>
      <c r="H5250" s="2">
        <v>22.807400000000001</v>
      </c>
      <c r="I5250" s="2">
        <v>0</v>
      </c>
      <c r="J5250" s="2">
        <v>0</v>
      </c>
    </row>
    <row r="5251" spans="1:10">
      <c r="A5251" s="2" t="s">
        <v>148</v>
      </c>
      <c r="B5251" s="2" t="s">
        <v>60</v>
      </c>
      <c r="C5251" s="2">
        <v>0.35186000000000001</v>
      </c>
      <c r="D5251" s="60">
        <v>31.667400000000001</v>
      </c>
      <c r="E5251" s="2">
        <v>10.199999999999999</v>
      </c>
      <c r="F5251" s="2">
        <v>6</v>
      </c>
      <c r="G5251" s="2">
        <v>22.807400000000001</v>
      </c>
      <c r="H5251" s="2">
        <v>31.215199999999999</v>
      </c>
      <c r="I5251" s="2">
        <v>0</v>
      </c>
      <c r="J5251" s="2">
        <v>0</v>
      </c>
    </row>
    <row r="5252" spans="1:10">
      <c r="A5252" s="2" t="s">
        <v>148</v>
      </c>
      <c r="B5252" s="2" t="s">
        <v>59</v>
      </c>
      <c r="C5252" s="2">
        <v>0.35131800000000002</v>
      </c>
      <c r="D5252" s="60">
        <v>35.131799999999998</v>
      </c>
      <c r="E5252" s="2">
        <v>6.2</v>
      </c>
      <c r="F5252" s="2">
        <v>4</v>
      </c>
      <c r="G5252" s="2">
        <v>31.215199999999999</v>
      </c>
      <c r="H5252" s="2">
        <v>35.467799999999997</v>
      </c>
      <c r="I5252" s="2">
        <v>0</v>
      </c>
      <c r="J5252" s="2">
        <v>0</v>
      </c>
    </row>
    <row r="5253" spans="1:10">
      <c r="A5253" s="2" t="s">
        <v>148</v>
      </c>
      <c r="B5253" s="2" t="s">
        <v>56</v>
      </c>
      <c r="C5253" s="2">
        <v>0.71091199999999999</v>
      </c>
      <c r="D5253" s="60">
        <v>99.527699999999996</v>
      </c>
      <c r="E5253" s="2">
        <v>0.3</v>
      </c>
      <c r="F5253" s="2">
        <v>5.9</v>
      </c>
      <c r="G5253" s="2">
        <v>35.467799999999997</v>
      </c>
      <c r="H5253" s="2">
        <v>46.443399999999997</v>
      </c>
      <c r="I5253" s="2">
        <v>0</v>
      </c>
      <c r="J5253" s="2">
        <v>0</v>
      </c>
    </row>
    <row r="5254" spans="1:10">
      <c r="A5254" s="2" t="s">
        <v>138</v>
      </c>
      <c r="B5254" s="2">
        <v>15</v>
      </c>
      <c r="C5254" s="2">
        <v>18.4925</v>
      </c>
      <c r="D5254" s="60" t="s">
        <v>139</v>
      </c>
    </row>
    <row r="5255" spans="1:10">
      <c r="A5255" s="2" t="s">
        <v>140</v>
      </c>
      <c r="B5255" s="2">
        <v>0</v>
      </c>
      <c r="C5255" s="2">
        <v>35.369999999999997</v>
      </c>
      <c r="D5255" s="60">
        <v>26.7453</v>
      </c>
    </row>
    <row r="5256" spans="1:10">
      <c r="A5256" s="2" t="s">
        <v>141</v>
      </c>
      <c r="B5256" s="2">
        <v>0</v>
      </c>
      <c r="C5256" s="2">
        <v>6.9</v>
      </c>
      <c r="D5256" s="60" t="s">
        <v>142</v>
      </c>
    </row>
    <row r="5257" spans="1:10">
      <c r="A5257" s="2" t="s">
        <v>141</v>
      </c>
      <c r="B5257" s="2">
        <v>0</v>
      </c>
      <c r="C5257" s="2">
        <v>10.9</v>
      </c>
      <c r="D5257" s="60" t="s">
        <v>158</v>
      </c>
    </row>
    <row r="5258" spans="1:10">
      <c r="A5258" s="2" t="s">
        <v>141</v>
      </c>
      <c r="B5258" s="2">
        <v>0</v>
      </c>
      <c r="C5258" s="2">
        <v>20.6</v>
      </c>
      <c r="D5258" s="60" t="s">
        <v>146</v>
      </c>
    </row>
    <row r="5259" spans="1:10">
      <c r="A5259" s="2" t="s">
        <v>141</v>
      </c>
      <c r="B5259" s="2">
        <v>6.9</v>
      </c>
      <c r="C5259" s="2">
        <v>10.9</v>
      </c>
      <c r="D5259" s="60" t="s">
        <v>144</v>
      </c>
    </row>
    <row r="5260" spans="1:10">
      <c r="A5260" s="2" t="s">
        <v>141</v>
      </c>
      <c r="B5260" s="2">
        <v>10.9</v>
      </c>
      <c r="C5260" s="2">
        <v>11.4</v>
      </c>
      <c r="D5260" s="60" t="s">
        <v>147</v>
      </c>
    </row>
    <row r="5261" spans="1:10">
      <c r="A5261" s="2" t="s">
        <v>141</v>
      </c>
      <c r="B5261" s="2">
        <v>10.9</v>
      </c>
      <c r="C5261" s="2">
        <v>11.4</v>
      </c>
      <c r="D5261" s="60" t="s">
        <v>177</v>
      </c>
    </row>
    <row r="5262" spans="1:10">
      <c r="A5262" s="2" t="s">
        <v>141</v>
      </c>
      <c r="B5262" s="2">
        <v>11.4</v>
      </c>
      <c r="C5262" s="2">
        <v>20.6</v>
      </c>
      <c r="D5262" s="60" t="s">
        <v>144</v>
      </c>
    </row>
    <row r="5263" spans="1:10">
      <c r="A5263" s="2" t="s">
        <v>148</v>
      </c>
      <c r="B5263" s="2" t="s">
        <v>99</v>
      </c>
      <c r="C5263" s="2">
        <v>3.2376500000000002E-2</v>
      </c>
      <c r="D5263" s="60">
        <v>0</v>
      </c>
      <c r="E5263" s="2">
        <v>0</v>
      </c>
      <c r="F5263" s="2">
        <v>0.3</v>
      </c>
      <c r="G5263" s="2">
        <v>36.199800000000003</v>
      </c>
      <c r="H5263" s="2">
        <v>38.005499999999998</v>
      </c>
      <c r="I5263" s="2">
        <v>0</v>
      </c>
      <c r="J5263" s="2">
        <v>0</v>
      </c>
    </row>
    <row r="5264" spans="1:10">
      <c r="A5264" s="2" t="s">
        <v>148</v>
      </c>
      <c r="B5264" s="2" t="s">
        <v>100</v>
      </c>
      <c r="C5264" s="2">
        <v>1.8909800000000001E-2</v>
      </c>
      <c r="D5264" s="60">
        <v>0</v>
      </c>
      <c r="E5264" s="2">
        <v>20.7211</v>
      </c>
      <c r="F5264" s="2">
        <v>6.0242000000000004</v>
      </c>
      <c r="G5264" s="2">
        <v>0</v>
      </c>
      <c r="H5264" s="2">
        <v>10</v>
      </c>
      <c r="I5264" s="2">
        <v>0</v>
      </c>
      <c r="J5264" s="2">
        <v>0</v>
      </c>
    </row>
    <row r="5265" spans="1:10">
      <c r="A5265" s="2" t="s">
        <v>148</v>
      </c>
      <c r="B5265" s="2" t="s">
        <v>98</v>
      </c>
      <c r="C5265" s="2">
        <v>8.6263900000000004E-2</v>
      </c>
      <c r="D5265" s="60">
        <v>0</v>
      </c>
      <c r="E5265" s="2">
        <v>15.1958</v>
      </c>
      <c r="F5265" s="2">
        <v>5.5252299999999996</v>
      </c>
      <c r="G5265" s="2">
        <v>10</v>
      </c>
      <c r="H5265" s="2">
        <v>17.762899999999998</v>
      </c>
      <c r="I5265" s="2">
        <v>0</v>
      </c>
      <c r="J5265" s="2">
        <v>0</v>
      </c>
    </row>
    <row r="5266" spans="1:10">
      <c r="A5266" s="2" t="s">
        <v>148</v>
      </c>
      <c r="B5266" s="2" t="s">
        <v>101</v>
      </c>
      <c r="C5266" s="2">
        <v>2.3916599999999999E-3</v>
      </c>
      <c r="D5266" s="60">
        <v>0</v>
      </c>
      <c r="E5266" s="2">
        <v>15.1</v>
      </c>
      <c r="F5266" s="2">
        <v>9.5821699999999996E-2</v>
      </c>
      <c r="G5266" s="2">
        <v>17.762899999999998</v>
      </c>
      <c r="H5266" s="2">
        <v>17.890499999999999</v>
      </c>
      <c r="I5266" s="2">
        <v>0</v>
      </c>
      <c r="J5266" s="2">
        <v>0</v>
      </c>
    </row>
    <row r="5267" spans="1:10">
      <c r="A5267" s="2" t="s">
        <v>148</v>
      </c>
      <c r="B5267" s="2" t="s">
        <v>64</v>
      </c>
      <c r="C5267" s="2">
        <v>0.16528000000000001</v>
      </c>
      <c r="D5267" s="60">
        <v>4.9583899999999996</v>
      </c>
      <c r="E5267" s="2">
        <v>10.3</v>
      </c>
      <c r="F5267" s="2">
        <v>4.8</v>
      </c>
      <c r="G5267" s="2">
        <v>17.890499999999999</v>
      </c>
      <c r="H5267" s="2">
        <v>23.623000000000001</v>
      </c>
      <c r="I5267" s="2">
        <v>0</v>
      </c>
      <c r="J5267" s="2">
        <v>0</v>
      </c>
    </row>
    <row r="5268" spans="1:10">
      <c r="A5268" s="2" t="s">
        <v>148</v>
      </c>
      <c r="B5268" s="2" t="s">
        <v>60</v>
      </c>
      <c r="C5268" s="2">
        <v>0.20535200000000001</v>
      </c>
      <c r="D5268" s="60">
        <v>18.4817</v>
      </c>
      <c r="E5268" s="2">
        <v>6.3</v>
      </c>
      <c r="F5268" s="2">
        <v>4</v>
      </c>
      <c r="G5268" s="2">
        <v>23.623000000000001</v>
      </c>
      <c r="H5268" s="2">
        <v>27.3155</v>
      </c>
      <c r="I5268" s="2">
        <v>0</v>
      </c>
      <c r="J5268" s="2">
        <v>0</v>
      </c>
    </row>
    <row r="5269" spans="1:10">
      <c r="A5269" s="2" t="s">
        <v>148</v>
      </c>
      <c r="B5269" s="2" t="s">
        <v>60</v>
      </c>
      <c r="C5269" s="2">
        <v>0.43406</v>
      </c>
      <c r="D5269" s="60">
        <v>39.065399999999997</v>
      </c>
      <c r="E5269" s="2">
        <v>0.3</v>
      </c>
      <c r="F5269" s="2">
        <v>6</v>
      </c>
      <c r="G5269" s="2">
        <v>27.3155</v>
      </c>
      <c r="H5269" s="2">
        <v>36.199800000000003</v>
      </c>
      <c r="I5269" s="2">
        <v>0</v>
      </c>
      <c r="J5269" s="2">
        <v>0</v>
      </c>
    </row>
    <row r="5270" spans="1:10">
      <c r="A5270" s="2" t="s">
        <v>138</v>
      </c>
      <c r="B5270" s="2">
        <v>16</v>
      </c>
      <c r="C5270" s="2">
        <v>19.251999999999999</v>
      </c>
      <c r="D5270" s="60" t="s">
        <v>139</v>
      </c>
    </row>
    <row r="5271" spans="1:10">
      <c r="A5271" s="2" t="s">
        <v>140</v>
      </c>
      <c r="B5271" s="2">
        <v>0</v>
      </c>
      <c r="C5271" s="2">
        <v>44.126800000000003</v>
      </c>
      <c r="D5271" s="60">
        <v>28.3187</v>
      </c>
    </row>
    <row r="5272" spans="1:10">
      <c r="A5272" s="2" t="s">
        <v>141</v>
      </c>
      <c r="B5272" s="2">
        <v>0</v>
      </c>
      <c r="C5272" s="2">
        <v>7</v>
      </c>
      <c r="D5272" s="60" t="s">
        <v>142</v>
      </c>
    </row>
    <row r="5273" spans="1:10">
      <c r="A5273" s="2" t="s">
        <v>141</v>
      </c>
      <c r="B5273" s="2">
        <v>0</v>
      </c>
      <c r="C5273" s="2">
        <v>21.7</v>
      </c>
      <c r="D5273" s="60" t="s">
        <v>146</v>
      </c>
    </row>
    <row r="5274" spans="1:10">
      <c r="A5274" s="2" t="s">
        <v>141</v>
      </c>
      <c r="B5274" s="2">
        <v>7</v>
      </c>
      <c r="C5274" s="2">
        <v>13.4</v>
      </c>
      <c r="D5274" s="60" t="s">
        <v>144</v>
      </c>
    </row>
    <row r="5275" spans="1:10">
      <c r="A5275" s="2" t="s">
        <v>141</v>
      </c>
      <c r="B5275" s="2">
        <v>13.4</v>
      </c>
      <c r="C5275" s="2">
        <v>13.7</v>
      </c>
      <c r="D5275" s="60" t="s">
        <v>145</v>
      </c>
    </row>
    <row r="5276" spans="1:10">
      <c r="A5276" s="2" t="s">
        <v>141</v>
      </c>
      <c r="B5276" s="2">
        <v>13.7</v>
      </c>
      <c r="C5276" s="2">
        <v>21.7</v>
      </c>
      <c r="D5276" s="60" t="s">
        <v>144</v>
      </c>
    </row>
    <row r="5277" spans="1:10">
      <c r="A5277" s="2" t="s">
        <v>148</v>
      </c>
      <c r="B5277" s="2" t="s">
        <v>99</v>
      </c>
      <c r="C5277" s="2">
        <v>4.8284000000000001E-2</v>
      </c>
      <c r="D5277" s="60">
        <v>0</v>
      </c>
      <c r="E5277" s="2">
        <v>0</v>
      </c>
      <c r="F5277" s="2">
        <v>0.3</v>
      </c>
      <c r="G5277" s="2">
        <v>44.258499999999998</v>
      </c>
      <c r="H5277" s="2">
        <v>46.3523</v>
      </c>
      <c r="I5277" s="2">
        <v>0</v>
      </c>
      <c r="J5277" s="2">
        <v>0</v>
      </c>
    </row>
    <row r="5278" spans="1:10">
      <c r="A5278" s="2" t="s">
        <v>148</v>
      </c>
      <c r="B5278" s="2" t="s">
        <v>100</v>
      </c>
      <c r="C5278" s="2">
        <v>1.6504899999999999E-2</v>
      </c>
      <c r="D5278" s="60">
        <v>0</v>
      </c>
      <c r="E5278" s="2">
        <v>23.3095</v>
      </c>
      <c r="F5278" s="2">
        <v>5.0092100000000004</v>
      </c>
      <c r="G5278" s="2">
        <v>0</v>
      </c>
      <c r="H5278" s="2">
        <v>10</v>
      </c>
      <c r="I5278" s="2">
        <v>0</v>
      </c>
      <c r="J5278" s="2">
        <v>0</v>
      </c>
    </row>
    <row r="5279" spans="1:10">
      <c r="A5279" s="2" t="s">
        <v>148</v>
      </c>
      <c r="B5279" s="2" t="s">
        <v>98</v>
      </c>
      <c r="C5279" s="2">
        <v>0.24594199999999999</v>
      </c>
      <c r="D5279" s="60">
        <v>0</v>
      </c>
      <c r="E5279" s="2">
        <v>13.833399999999999</v>
      </c>
      <c r="F5279" s="2">
        <v>9.4760600000000004</v>
      </c>
      <c r="G5279" s="2">
        <v>10</v>
      </c>
      <c r="H5279" s="2">
        <v>24.990100000000002</v>
      </c>
      <c r="I5279" s="2">
        <v>0</v>
      </c>
      <c r="J5279" s="2">
        <v>0</v>
      </c>
    </row>
    <row r="5280" spans="1:10">
      <c r="A5280" s="2" t="s">
        <v>148</v>
      </c>
      <c r="B5280" s="2" t="s">
        <v>101</v>
      </c>
      <c r="C5280" s="2">
        <v>8.1717300000000007E-2</v>
      </c>
      <c r="D5280" s="60">
        <v>0</v>
      </c>
      <c r="E5280" s="2">
        <v>12.3</v>
      </c>
      <c r="F5280" s="2">
        <v>1.5334099999999999</v>
      </c>
      <c r="G5280" s="2">
        <v>24.990100000000002</v>
      </c>
      <c r="H5280" s="2">
        <v>27.066299999999998</v>
      </c>
      <c r="I5280" s="2">
        <v>0</v>
      </c>
      <c r="J5280" s="2">
        <v>0</v>
      </c>
    </row>
    <row r="5281" spans="1:10">
      <c r="A5281" s="2" t="s">
        <v>148</v>
      </c>
      <c r="B5281" s="2" t="s">
        <v>60</v>
      </c>
      <c r="C5281" s="2">
        <v>0.27359499999999998</v>
      </c>
      <c r="D5281" s="60">
        <v>24.6235</v>
      </c>
      <c r="E5281" s="2">
        <v>8.3000000000000007</v>
      </c>
      <c r="F5281" s="2">
        <v>4</v>
      </c>
      <c r="G5281" s="2">
        <v>27.066299999999998</v>
      </c>
      <c r="H5281" s="2">
        <v>31.7105</v>
      </c>
      <c r="I5281" s="2">
        <v>0</v>
      </c>
      <c r="J5281" s="2">
        <v>0</v>
      </c>
    </row>
    <row r="5282" spans="1:10">
      <c r="A5282" s="2" t="s">
        <v>148</v>
      </c>
      <c r="B5282" s="2" t="s">
        <v>59</v>
      </c>
      <c r="C5282" s="2">
        <v>0.35597099999999998</v>
      </c>
      <c r="D5282" s="60">
        <v>35.597099999999998</v>
      </c>
      <c r="E5282" s="2">
        <v>4.3</v>
      </c>
      <c r="F5282" s="2">
        <v>4</v>
      </c>
      <c r="G5282" s="2">
        <v>31.7105</v>
      </c>
      <c r="H5282" s="2">
        <v>35.5105</v>
      </c>
      <c r="I5282" s="2">
        <v>0</v>
      </c>
      <c r="J5282" s="2">
        <v>0</v>
      </c>
    </row>
    <row r="5283" spans="1:10">
      <c r="A5283" s="2" t="s">
        <v>148</v>
      </c>
      <c r="B5283" s="2" t="s">
        <v>56</v>
      </c>
      <c r="C5283" s="2">
        <v>0.46576899999999999</v>
      </c>
      <c r="D5283" s="60">
        <v>65.207700000000003</v>
      </c>
      <c r="E5283" s="2">
        <v>0.3</v>
      </c>
      <c r="F5283" s="2">
        <v>4</v>
      </c>
      <c r="G5283" s="2">
        <v>35.5105</v>
      </c>
      <c r="H5283" s="2">
        <v>44.258499999999998</v>
      </c>
      <c r="I5283" s="2">
        <v>0</v>
      </c>
      <c r="J5283" s="2">
        <v>0</v>
      </c>
    </row>
    <row r="5284" spans="1:10">
      <c r="A5284" s="2" t="s">
        <v>138</v>
      </c>
      <c r="B5284" s="2">
        <v>17</v>
      </c>
      <c r="C5284" s="2">
        <v>19.3888</v>
      </c>
      <c r="D5284" s="60" t="s">
        <v>149</v>
      </c>
    </row>
    <row r="5285" spans="1:10">
      <c r="A5285" s="2" t="s">
        <v>140</v>
      </c>
      <c r="B5285" s="2">
        <v>0</v>
      </c>
      <c r="C5285" s="2">
        <v>48.479199999999999</v>
      </c>
      <c r="D5285" s="60">
        <v>27.073799999999999</v>
      </c>
    </row>
    <row r="5286" spans="1:10">
      <c r="A5286" s="2" t="s">
        <v>141</v>
      </c>
      <c r="B5286" s="2">
        <v>0</v>
      </c>
      <c r="C5286" s="2">
        <v>6.9</v>
      </c>
      <c r="D5286" s="60" t="s">
        <v>142</v>
      </c>
    </row>
    <row r="5287" spans="1:10">
      <c r="A5287" s="2" t="s">
        <v>141</v>
      </c>
      <c r="B5287" s="2">
        <v>0</v>
      </c>
      <c r="C5287" s="2">
        <v>11.4</v>
      </c>
      <c r="D5287" s="60" t="s">
        <v>146</v>
      </c>
    </row>
    <row r="5288" spans="1:10">
      <c r="A5288" s="2" t="s">
        <v>141</v>
      </c>
      <c r="B5288" s="2">
        <v>6.9</v>
      </c>
      <c r="C5288" s="2">
        <v>11.4</v>
      </c>
      <c r="D5288" s="60" t="s">
        <v>144</v>
      </c>
    </row>
    <row r="5289" spans="1:10">
      <c r="A5289" s="2" t="s">
        <v>141</v>
      </c>
      <c r="B5289" s="2">
        <v>11.4</v>
      </c>
      <c r="C5289" s="2">
        <v>12.4</v>
      </c>
      <c r="D5289" s="60" t="s">
        <v>147</v>
      </c>
    </row>
    <row r="5290" spans="1:10">
      <c r="A5290" s="2" t="s">
        <v>141</v>
      </c>
      <c r="B5290" s="2">
        <v>11.4</v>
      </c>
      <c r="C5290" s="2">
        <v>20.829699999999999</v>
      </c>
      <c r="D5290" s="60" t="s">
        <v>161</v>
      </c>
    </row>
    <row r="5291" spans="1:10">
      <c r="A5291" s="2" t="s">
        <v>141</v>
      </c>
      <c r="B5291" s="2">
        <v>12.4</v>
      </c>
      <c r="C5291" s="2">
        <v>20.829699999999999</v>
      </c>
      <c r="D5291" s="60" t="s">
        <v>144</v>
      </c>
    </row>
    <row r="5292" spans="1:10">
      <c r="A5292" s="2" t="s">
        <v>148</v>
      </c>
      <c r="B5292" s="2" t="s">
        <v>99</v>
      </c>
      <c r="C5292" s="2">
        <v>5.6981999999999998E-2</v>
      </c>
      <c r="D5292" s="60">
        <v>0</v>
      </c>
      <c r="E5292" s="2">
        <v>0</v>
      </c>
      <c r="F5292" s="2">
        <v>0.3</v>
      </c>
      <c r="G5292" s="2">
        <v>48.036200000000001</v>
      </c>
      <c r="H5292" s="2">
        <v>50.405500000000004</v>
      </c>
      <c r="I5292" s="2">
        <v>0</v>
      </c>
      <c r="J5292" s="2">
        <v>0</v>
      </c>
    </row>
    <row r="5293" spans="1:10">
      <c r="A5293" s="2" t="s">
        <v>148</v>
      </c>
      <c r="B5293" s="2" t="s">
        <v>100</v>
      </c>
      <c r="C5293" s="2">
        <v>1.4465499999999999E-2</v>
      </c>
      <c r="D5293" s="60">
        <v>0</v>
      </c>
      <c r="E5293" s="2">
        <v>22.774799999999999</v>
      </c>
      <c r="F5293" s="2">
        <v>4.2990000000000004</v>
      </c>
      <c r="G5293" s="2">
        <v>0</v>
      </c>
      <c r="H5293" s="2">
        <v>10</v>
      </c>
      <c r="I5293" s="2">
        <v>0</v>
      </c>
      <c r="J5293" s="2">
        <v>0</v>
      </c>
    </row>
    <row r="5294" spans="1:10">
      <c r="A5294" s="2" t="s">
        <v>148</v>
      </c>
      <c r="B5294" s="2" t="s">
        <v>98</v>
      </c>
      <c r="C5294" s="2">
        <v>8.2390500000000005E-2</v>
      </c>
      <c r="D5294" s="60">
        <v>0</v>
      </c>
      <c r="E5294" s="2">
        <v>17.911899999999999</v>
      </c>
      <c r="F5294" s="2">
        <v>4.8629300000000004</v>
      </c>
      <c r="G5294" s="2">
        <v>10</v>
      </c>
      <c r="H5294" s="2">
        <v>18.981300000000001</v>
      </c>
      <c r="I5294" s="2">
        <v>0</v>
      </c>
      <c r="J5294" s="2">
        <v>0</v>
      </c>
    </row>
    <row r="5295" spans="1:10">
      <c r="A5295" s="2" t="s">
        <v>148</v>
      </c>
      <c r="B5295" s="2" t="s">
        <v>101</v>
      </c>
      <c r="C5295" s="2">
        <v>0.39101900000000001</v>
      </c>
      <c r="D5295" s="60">
        <v>0</v>
      </c>
      <c r="E5295" s="2">
        <v>10.4</v>
      </c>
      <c r="F5295" s="2">
        <v>7.5118900000000002</v>
      </c>
      <c r="G5295" s="2">
        <v>18.981300000000001</v>
      </c>
      <c r="H5295" s="2">
        <v>31.366700000000002</v>
      </c>
      <c r="I5295" s="2">
        <v>0</v>
      </c>
      <c r="J5295" s="2">
        <v>0</v>
      </c>
    </row>
    <row r="5296" spans="1:10">
      <c r="A5296" s="2" t="s">
        <v>148</v>
      </c>
      <c r="B5296" s="2" t="s">
        <v>59</v>
      </c>
      <c r="C5296" s="2">
        <v>0.36127300000000001</v>
      </c>
      <c r="D5296" s="60">
        <v>36.127299999999998</v>
      </c>
      <c r="E5296" s="2">
        <v>6.4</v>
      </c>
      <c r="F5296" s="2">
        <v>4</v>
      </c>
      <c r="G5296" s="2">
        <v>31.366700000000002</v>
      </c>
      <c r="H5296" s="2">
        <v>36.203299999999999</v>
      </c>
      <c r="I5296" s="2">
        <v>0</v>
      </c>
      <c r="J5296" s="2">
        <v>0</v>
      </c>
    </row>
    <row r="5297" spans="1:10">
      <c r="A5297" s="2" t="s">
        <v>148</v>
      </c>
      <c r="B5297" s="2" t="s">
        <v>56</v>
      </c>
      <c r="C5297" s="2">
        <v>0.77588299999999999</v>
      </c>
      <c r="D5297" s="60">
        <v>108.624</v>
      </c>
      <c r="E5297" s="2">
        <v>0.3</v>
      </c>
      <c r="F5297" s="2">
        <v>6.1</v>
      </c>
      <c r="G5297" s="2">
        <v>36.203299999999999</v>
      </c>
      <c r="H5297" s="2">
        <v>48.036200000000001</v>
      </c>
      <c r="I5297" s="2">
        <v>0</v>
      </c>
      <c r="J5297" s="2">
        <v>0</v>
      </c>
    </row>
    <row r="5298" spans="1:10">
      <c r="A5298" s="2" t="s">
        <v>138</v>
      </c>
      <c r="B5298" s="2">
        <v>18</v>
      </c>
      <c r="C5298" s="2">
        <v>17.972100000000001</v>
      </c>
      <c r="D5298" s="60" t="s">
        <v>149</v>
      </c>
    </row>
    <row r="5299" spans="1:10">
      <c r="A5299" s="2" t="s">
        <v>140</v>
      </c>
      <c r="B5299" s="2">
        <v>0</v>
      </c>
      <c r="C5299" s="2">
        <v>33.431399999999996</v>
      </c>
      <c r="D5299" s="60">
        <v>24.302499999999998</v>
      </c>
    </row>
    <row r="5300" spans="1:10">
      <c r="A5300" s="2" t="s">
        <v>141</v>
      </c>
      <c r="B5300" s="2">
        <v>0</v>
      </c>
      <c r="C5300" s="2">
        <v>6.6</v>
      </c>
      <c r="D5300" s="60" t="s">
        <v>142</v>
      </c>
    </row>
    <row r="5301" spans="1:10">
      <c r="A5301" s="2" t="s">
        <v>141</v>
      </c>
      <c r="B5301" s="2">
        <v>0</v>
      </c>
      <c r="C5301" s="2">
        <v>18.892199999999999</v>
      </c>
      <c r="D5301" s="60" t="s">
        <v>155</v>
      </c>
    </row>
    <row r="5302" spans="1:10">
      <c r="A5302" s="2" t="s">
        <v>141</v>
      </c>
      <c r="B5302" s="2">
        <v>6.6</v>
      </c>
      <c r="C5302" s="2">
        <v>18.892199999999999</v>
      </c>
      <c r="D5302" s="60" t="s">
        <v>144</v>
      </c>
    </row>
    <row r="5303" spans="1:10">
      <c r="A5303" s="2" t="s">
        <v>148</v>
      </c>
      <c r="B5303" s="2" t="s">
        <v>99</v>
      </c>
      <c r="C5303" s="2">
        <v>2.9098800000000001E-2</v>
      </c>
      <c r="D5303" s="60">
        <v>0</v>
      </c>
      <c r="E5303" s="2">
        <v>0</v>
      </c>
      <c r="F5303" s="2">
        <v>0.3</v>
      </c>
      <c r="G5303" s="2">
        <v>34.247900000000001</v>
      </c>
      <c r="H5303" s="2">
        <v>36.113799999999998</v>
      </c>
      <c r="I5303" s="2">
        <v>0</v>
      </c>
      <c r="J5303" s="2">
        <v>0</v>
      </c>
    </row>
    <row r="5304" spans="1:10">
      <c r="A5304" s="2" t="s">
        <v>148</v>
      </c>
      <c r="B5304" s="2" t="s">
        <v>100</v>
      </c>
      <c r="C5304" s="2">
        <v>1.8027399999999999E-2</v>
      </c>
      <c r="D5304" s="60">
        <v>0</v>
      </c>
      <c r="E5304" s="2">
        <v>18.492100000000001</v>
      </c>
      <c r="F5304" s="2">
        <v>5.8103899999999999</v>
      </c>
      <c r="G5304" s="2">
        <v>0</v>
      </c>
      <c r="H5304" s="2">
        <v>10</v>
      </c>
      <c r="I5304" s="2">
        <v>0</v>
      </c>
      <c r="J5304" s="2">
        <v>0</v>
      </c>
    </row>
    <row r="5305" spans="1:10">
      <c r="A5305" s="2" t="s">
        <v>148</v>
      </c>
      <c r="B5305" s="2" t="s">
        <v>98</v>
      </c>
      <c r="C5305" s="2">
        <v>2.5849500000000001E-2</v>
      </c>
      <c r="D5305" s="60">
        <v>0</v>
      </c>
      <c r="E5305" s="2">
        <v>16.130400000000002</v>
      </c>
      <c r="F5305" s="2">
        <v>2.3616199999999998</v>
      </c>
      <c r="G5305" s="2">
        <v>10</v>
      </c>
      <c r="H5305" s="2">
        <v>13.5223</v>
      </c>
      <c r="I5305" s="2">
        <v>0</v>
      </c>
      <c r="J5305" s="2">
        <v>0</v>
      </c>
    </row>
    <row r="5306" spans="1:10">
      <c r="A5306" s="2" t="s">
        <v>148</v>
      </c>
      <c r="B5306" s="2" t="s">
        <v>101</v>
      </c>
      <c r="C5306" s="2">
        <v>3.1847E-2</v>
      </c>
      <c r="D5306" s="60">
        <v>0</v>
      </c>
      <c r="E5306" s="2">
        <v>14.3</v>
      </c>
      <c r="F5306" s="2">
        <v>1.8304400000000001</v>
      </c>
      <c r="G5306" s="2">
        <v>13.5223</v>
      </c>
      <c r="H5306" s="2">
        <v>16.186</v>
      </c>
      <c r="I5306" s="2">
        <v>0</v>
      </c>
      <c r="J5306" s="2">
        <v>0</v>
      </c>
    </row>
    <row r="5307" spans="1:10">
      <c r="A5307" s="2" t="s">
        <v>148</v>
      </c>
      <c r="B5307" s="2" t="s">
        <v>63</v>
      </c>
      <c r="C5307" s="2">
        <v>0.11261599999999999</v>
      </c>
      <c r="D5307" s="60">
        <v>7.88314</v>
      </c>
      <c r="E5307" s="2">
        <v>10.3</v>
      </c>
      <c r="F5307" s="2">
        <v>4</v>
      </c>
      <c r="G5307" s="2">
        <v>16.186</v>
      </c>
      <c r="H5307" s="2">
        <v>21.3872</v>
      </c>
      <c r="I5307" s="2">
        <v>0</v>
      </c>
      <c r="J5307" s="2">
        <v>0</v>
      </c>
    </row>
    <row r="5308" spans="1:10">
      <c r="A5308" s="2" t="s">
        <v>148</v>
      </c>
      <c r="B5308" s="2" t="s">
        <v>63</v>
      </c>
      <c r="C5308" s="2">
        <v>0.28292499999999998</v>
      </c>
      <c r="D5308" s="60">
        <v>19.8047</v>
      </c>
      <c r="E5308" s="2">
        <v>4.3</v>
      </c>
      <c r="F5308" s="2">
        <v>6</v>
      </c>
      <c r="G5308" s="2">
        <v>21.3872</v>
      </c>
      <c r="H5308" s="2">
        <v>27.152000000000001</v>
      </c>
      <c r="I5308" s="2">
        <v>0</v>
      </c>
      <c r="J5308" s="2">
        <v>0</v>
      </c>
    </row>
    <row r="5309" spans="1:10">
      <c r="A5309" s="2" t="s">
        <v>148</v>
      </c>
      <c r="B5309" s="2" t="s">
        <v>62</v>
      </c>
      <c r="C5309" s="2">
        <v>0.27466800000000002</v>
      </c>
      <c r="D5309" s="60">
        <v>21.973500000000001</v>
      </c>
      <c r="E5309" s="2">
        <v>0.3</v>
      </c>
      <c r="F5309" s="2">
        <v>4</v>
      </c>
      <c r="G5309" s="2">
        <v>27.152000000000001</v>
      </c>
      <c r="H5309" s="2">
        <v>34.247900000000001</v>
      </c>
      <c r="I5309" s="2">
        <v>0</v>
      </c>
      <c r="J5309" s="2">
        <v>0</v>
      </c>
    </row>
    <row r="5310" spans="1:10">
      <c r="A5310" s="2" t="s">
        <v>138</v>
      </c>
      <c r="B5310" s="2">
        <v>19</v>
      </c>
      <c r="C5310" s="2">
        <v>19.619700000000002</v>
      </c>
      <c r="D5310" s="60" t="s">
        <v>139</v>
      </c>
    </row>
    <row r="5311" spans="1:10">
      <c r="A5311" s="2" t="s">
        <v>140</v>
      </c>
      <c r="B5311" s="2">
        <v>0</v>
      </c>
      <c r="C5311" s="2">
        <v>55.797400000000003</v>
      </c>
      <c r="D5311" s="60">
        <v>28.032599999999999</v>
      </c>
    </row>
    <row r="5312" spans="1:10">
      <c r="A5312" s="2" t="s">
        <v>141</v>
      </c>
      <c r="B5312" s="2">
        <v>0</v>
      </c>
      <c r="C5312" s="2">
        <v>7.2</v>
      </c>
      <c r="D5312" s="60" t="s">
        <v>142</v>
      </c>
    </row>
    <row r="5313" spans="1:10">
      <c r="A5313" s="2" t="s">
        <v>141</v>
      </c>
      <c r="B5313" s="2">
        <v>0</v>
      </c>
      <c r="C5313" s="2">
        <v>11.9</v>
      </c>
      <c r="D5313" s="60" t="s">
        <v>146</v>
      </c>
    </row>
    <row r="5314" spans="1:10">
      <c r="A5314" s="2" t="s">
        <v>141</v>
      </c>
      <c r="B5314" s="2">
        <v>7.2</v>
      </c>
      <c r="C5314" s="2">
        <v>11.9</v>
      </c>
      <c r="D5314" s="60" t="s">
        <v>145</v>
      </c>
    </row>
    <row r="5315" spans="1:10">
      <c r="A5315" s="2" t="s">
        <v>141</v>
      </c>
      <c r="B5315" s="2">
        <v>11.9</v>
      </c>
      <c r="C5315" s="2">
        <v>12.3</v>
      </c>
      <c r="D5315" s="60" t="s">
        <v>147</v>
      </c>
    </row>
    <row r="5316" spans="1:10">
      <c r="A5316" s="2" t="s">
        <v>141</v>
      </c>
      <c r="B5316" s="2">
        <v>11.9</v>
      </c>
      <c r="C5316" s="2">
        <v>12.3</v>
      </c>
      <c r="D5316" s="60" t="s">
        <v>159</v>
      </c>
    </row>
    <row r="5317" spans="1:10">
      <c r="A5317" s="2" t="s">
        <v>141</v>
      </c>
      <c r="B5317" s="2">
        <v>12.3</v>
      </c>
      <c r="C5317" s="2">
        <v>21.5</v>
      </c>
      <c r="D5317" s="60" t="s">
        <v>144</v>
      </c>
    </row>
    <row r="5318" spans="1:10">
      <c r="A5318" s="2" t="s">
        <v>141</v>
      </c>
      <c r="B5318" s="2">
        <v>12.3</v>
      </c>
      <c r="C5318" s="2">
        <v>21.5</v>
      </c>
      <c r="D5318" s="60" t="s">
        <v>155</v>
      </c>
    </row>
    <row r="5319" spans="1:10">
      <c r="A5319" s="2" t="s">
        <v>148</v>
      </c>
      <c r="B5319" s="2" t="s">
        <v>99</v>
      </c>
      <c r="C5319" s="2">
        <v>7.34543E-2</v>
      </c>
      <c r="D5319" s="60">
        <v>0</v>
      </c>
      <c r="E5319" s="2">
        <v>0</v>
      </c>
      <c r="F5319" s="2">
        <v>0.3</v>
      </c>
      <c r="G5319" s="2">
        <v>54.577800000000003</v>
      </c>
      <c r="H5319" s="2">
        <v>57.1843</v>
      </c>
      <c r="I5319" s="2">
        <v>0</v>
      </c>
      <c r="J5319" s="2">
        <v>0</v>
      </c>
    </row>
    <row r="5320" spans="1:10">
      <c r="A5320" s="2" t="s">
        <v>148</v>
      </c>
      <c r="B5320" s="2" t="s">
        <v>100</v>
      </c>
      <c r="C5320" s="2">
        <v>1.3022199999999999E-2</v>
      </c>
      <c r="D5320" s="60">
        <v>0</v>
      </c>
      <c r="E5320" s="2">
        <v>24.279900000000001</v>
      </c>
      <c r="F5320" s="2">
        <v>3.7526999999999999</v>
      </c>
      <c r="G5320" s="2">
        <v>0</v>
      </c>
      <c r="H5320" s="2">
        <v>10</v>
      </c>
      <c r="I5320" s="2">
        <v>0</v>
      </c>
      <c r="J5320" s="2">
        <v>0</v>
      </c>
    </row>
    <row r="5321" spans="1:10">
      <c r="A5321" s="2" t="s">
        <v>148</v>
      </c>
      <c r="B5321" s="2" t="s">
        <v>98</v>
      </c>
      <c r="C5321" s="2">
        <v>0.30342999999999998</v>
      </c>
      <c r="D5321" s="60">
        <v>0</v>
      </c>
      <c r="E5321" s="2">
        <v>14.823399999999999</v>
      </c>
      <c r="F5321" s="2">
        <v>9.4564599999999999</v>
      </c>
      <c r="G5321" s="2">
        <v>10</v>
      </c>
      <c r="H5321" s="2">
        <v>28.8002</v>
      </c>
      <c r="I5321" s="2">
        <v>0</v>
      </c>
      <c r="J5321" s="2">
        <v>0</v>
      </c>
    </row>
    <row r="5322" spans="1:10">
      <c r="A5322" s="2" t="s">
        <v>148</v>
      </c>
      <c r="B5322" s="2" t="s">
        <v>101</v>
      </c>
      <c r="C5322" s="2">
        <v>0.263183</v>
      </c>
      <c r="D5322" s="60">
        <v>0</v>
      </c>
      <c r="E5322" s="2">
        <v>11.5</v>
      </c>
      <c r="F5322" s="2">
        <v>3.3234499999999998</v>
      </c>
      <c r="G5322" s="2">
        <v>28.8002</v>
      </c>
      <c r="H5322" s="2">
        <v>34.466700000000003</v>
      </c>
      <c r="I5322" s="2">
        <v>0</v>
      </c>
      <c r="J5322" s="2">
        <v>0</v>
      </c>
    </row>
    <row r="5323" spans="1:10">
      <c r="A5323" s="2" t="s">
        <v>148</v>
      </c>
      <c r="B5323" s="2" t="s">
        <v>59</v>
      </c>
      <c r="C5323" s="2">
        <v>0.70605700000000005</v>
      </c>
      <c r="D5323" s="60">
        <v>70.605699999999999</v>
      </c>
      <c r="E5323" s="2">
        <v>5.5</v>
      </c>
      <c r="F5323" s="2">
        <v>6</v>
      </c>
      <c r="G5323" s="2">
        <v>34.466700000000003</v>
      </c>
      <c r="H5323" s="2">
        <v>42.376899999999999</v>
      </c>
      <c r="I5323" s="2">
        <v>0</v>
      </c>
      <c r="J5323" s="2">
        <v>0</v>
      </c>
    </row>
    <row r="5324" spans="1:10">
      <c r="A5324" s="2" t="s">
        <v>148</v>
      </c>
      <c r="B5324" s="2" t="s">
        <v>55</v>
      </c>
      <c r="C5324" s="2">
        <v>0.88236099999999995</v>
      </c>
      <c r="D5324" s="60">
        <v>127.94199999999999</v>
      </c>
      <c r="E5324" s="2">
        <v>0.3</v>
      </c>
      <c r="F5324" s="2">
        <v>5.2</v>
      </c>
      <c r="G5324" s="2">
        <v>42.376899999999999</v>
      </c>
      <c r="H5324" s="2">
        <v>54.577800000000003</v>
      </c>
      <c r="I5324" s="2">
        <v>0</v>
      </c>
      <c r="J5324" s="2">
        <v>0</v>
      </c>
    </row>
    <row r="5325" spans="1:10">
      <c r="A5325" s="2" t="s">
        <v>138</v>
      </c>
      <c r="B5325" s="2">
        <v>20</v>
      </c>
      <c r="C5325" s="2">
        <v>19.2241</v>
      </c>
      <c r="D5325" s="60" t="s">
        <v>139</v>
      </c>
    </row>
    <row r="5326" spans="1:10">
      <c r="A5326" s="2" t="s">
        <v>140</v>
      </c>
      <c r="B5326" s="2">
        <v>0</v>
      </c>
      <c r="C5326" s="2">
        <v>41.834099999999999</v>
      </c>
      <c r="D5326" s="60">
        <v>30.464300000000001</v>
      </c>
    </row>
    <row r="5327" spans="1:10">
      <c r="A5327" s="2" t="s">
        <v>141</v>
      </c>
      <c r="B5327" s="2">
        <v>0</v>
      </c>
      <c r="C5327" s="2">
        <v>6.8</v>
      </c>
      <c r="D5327" s="60" t="s">
        <v>142</v>
      </c>
    </row>
    <row r="5328" spans="1:10">
      <c r="A5328" s="2" t="s">
        <v>141</v>
      </c>
      <c r="B5328" s="2">
        <v>0</v>
      </c>
      <c r="C5328" s="2">
        <v>23.2</v>
      </c>
      <c r="D5328" s="60" t="s">
        <v>146</v>
      </c>
    </row>
    <row r="5329" spans="1:10">
      <c r="A5329" s="2" t="s">
        <v>141</v>
      </c>
      <c r="B5329" s="2">
        <v>6.8</v>
      </c>
      <c r="C5329" s="2">
        <v>23.2</v>
      </c>
      <c r="D5329" s="60" t="s">
        <v>144</v>
      </c>
    </row>
    <row r="5330" spans="1:10">
      <c r="A5330" s="2" t="s">
        <v>148</v>
      </c>
      <c r="B5330" s="2" t="s">
        <v>99</v>
      </c>
      <c r="C5330" s="2">
        <v>4.40889E-2</v>
      </c>
      <c r="D5330" s="60">
        <v>0</v>
      </c>
      <c r="E5330" s="2">
        <v>0</v>
      </c>
      <c r="F5330" s="2">
        <v>0.3</v>
      </c>
      <c r="G5330" s="2">
        <v>42.351999999999997</v>
      </c>
      <c r="H5330" s="2">
        <v>44.2239</v>
      </c>
      <c r="I5330" s="2">
        <v>0</v>
      </c>
      <c r="J5330" s="2">
        <v>0</v>
      </c>
    </row>
    <row r="5331" spans="1:10">
      <c r="A5331" s="2" t="s">
        <v>148</v>
      </c>
      <c r="B5331" s="2" t="s">
        <v>100</v>
      </c>
      <c r="C5331" s="2">
        <v>1.86115E-2</v>
      </c>
      <c r="D5331" s="60">
        <v>0</v>
      </c>
      <c r="E5331" s="2">
        <v>24.748899999999999</v>
      </c>
      <c r="F5331" s="2">
        <v>5.7153799999999997</v>
      </c>
      <c r="G5331" s="2">
        <v>0</v>
      </c>
      <c r="H5331" s="2">
        <v>10</v>
      </c>
      <c r="I5331" s="2">
        <v>0</v>
      </c>
      <c r="J5331" s="2">
        <v>0</v>
      </c>
    </row>
    <row r="5332" spans="1:10">
      <c r="A5332" s="2" t="s">
        <v>148</v>
      </c>
      <c r="B5332" s="2" t="s">
        <v>98</v>
      </c>
      <c r="C5332" s="2">
        <v>2.0844000000000001E-2</v>
      </c>
      <c r="D5332" s="60">
        <v>0</v>
      </c>
      <c r="E5332" s="2">
        <v>22.732199999999999</v>
      </c>
      <c r="F5332" s="2">
        <v>2.0167099999999998</v>
      </c>
      <c r="G5332" s="2">
        <v>10</v>
      </c>
      <c r="H5332" s="2">
        <v>12.8971</v>
      </c>
      <c r="I5332" s="2">
        <v>0</v>
      </c>
      <c r="J5332" s="2">
        <v>0</v>
      </c>
    </row>
    <row r="5333" spans="1:10">
      <c r="A5333" s="2" t="s">
        <v>148</v>
      </c>
      <c r="B5333" s="2" t="s">
        <v>101</v>
      </c>
      <c r="C5333" s="2">
        <v>4.1318199999999999E-2</v>
      </c>
      <c r="D5333" s="60">
        <v>0</v>
      </c>
      <c r="E5333" s="2">
        <v>20.3</v>
      </c>
      <c r="F5333" s="2">
        <v>2.4321700000000002</v>
      </c>
      <c r="G5333" s="2">
        <v>12.8971</v>
      </c>
      <c r="H5333" s="2">
        <v>16.4434</v>
      </c>
      <c r="I5333" s="2">
        <v>0</v>
      </c>
      <c r="J5333" s="2">
        <v>0</v>
      </c>
    </row>
    <row r="5334" spans="1:10">
      <c r="A5334" s="2" t="s">
        <v>148</v>
      </c>
      <c r="B5334" s="2" t="s">
        <v>61</v>
      </c>
      <c r="C5334" s="2">
        <v>0.117561</v>
      </c>
      <c r="D5334" s="60">
        <v>9.9926600000000008</v>
      </c>
      <c r="E5334" s="2">
        <v>16.3</v>
      </c>
      <c r="F5334" s="2">
        <v>4</v>
      </c>
      <c r="G5334" s="2">
        <v>16.4434</v>
      </c>
      <c r="H5334" s="2">
        <v>22.022300000000001</v>
      </c>
      <c r="I5334" s="2">
        <v>0</v>
      </c>
      <c r="J5334" s="2">
        <v>0</v>
      </c>
    </row>
    <row r="5335" spans="1:10">
      <c r="A5335" s="2" t="s">
        <v>148</v>
      </c>
      <c r="B5335" s="2" t="s">
        <v>60</v>
      </c>
      <c r="C5335" s="2">
        <v>0.18951999999999999</v>
      </c>
      <c r="D5335" s="60">
        <v>17.056799999999999</v>
      </c>
      <c r="E5335" s="2">
        <v>12.3</v>
      </c>
      <c r="F5335" s="2">
        <v>4</v>
      </c>
      <c r="G5335" s="2">
        <v>22.022300000000001</v>
      </c>
      <c r="H5335" s="2">
        <v>26.8734</v>
      </c>
      <c r="I5335" s="2">
        <v>0</v>
      </c>
      <c r="J5335" s="2">
        <v>0</v>
      </c>
    </row>
    <row r="5336" spans="1:10">
      <c r="A5336" s="2" t="s">
        <v>148</v>
      </c>
      <c r="B5336" s="2" t="s">
        <v>60</v>
      </c>
      <c r="C5336" s="2">
        <v>0.26313900000000001</v>
      </c>
      <c r="D5336" s="60">
        <v>23.682500000000001</v>
      </c>
      <c r="E5336" s="2">
        <v>8.3000000000000007</v>
      </c>
      <c r="F5336" s="2">
        <v>4</v>
      </c>
      <c r="G5336" s="2">
        <v>26.8734</v>
      </c>
      <c r="H5336" s="2">
        <v>30.8184</v>
      </c>
      <c r="I5336" s="2">
        <v>0</v>
      </c>
      <c r="J5336" s="2">
        <v>0</v>
      </c>
    </row>
    <row r="5337" spans="1:10">
      <c r="A5337" s="2" t="s">
        <v>148</v>
      </c>
      <c r="B5337" s="2" t="s">
        <v>59</v>
      </c>
      <c r="C5337" s="2">
        <v>0.33212999999999998</v>
      </c>
      <c r="D5337" s="60">
        <v>33.213000000000001</v>
      </c>
      <c r="E5337" s="2">
        <v>4.3</v>
      </c>
      <c r="F5337" s="2">
        <v>4</v>
      </c>
      <c r="G5337" s="2">
        <v>30.8184</v>
      </c>
      <c r="H5337" s="2">
        <v>34.157699999999998</v>
      </c>
      <c r="I5337" s="2">
        <v>0</v>
      </c>
      <c r="J5337" s="2">
        <v>0</v>
      </c>
    </row>
    <row r="5338" spans="1:10">
      <c r="A5338" s="2" t="s">
        <v>148</v>
      </c>
      <c r="B5338" s="2" t="s">
        <v>59</v>
      </c>
      <c r="C5338" s="2">
        <v>0.42968000000000001</v>
      </c>
      <c r="D5338" s="60">
        <v>42.968000000000004</v>
      </c>
      <c r="E5338" s="2">
        <v>0.3</v>
      </c>
      <c r="F5338" s="2">
        <v>4</v>
      </c>
      <c r="G5338" s="2">
        <v>34.157699999999998</v>
      </c>
      <c r="H5338" s="2">
        <v>42.351999999999997</v>
      </c>
      <c r="I5338" s="2">
        <v>0</v>
      </c>
      <c r="J5338" s="2">
        <v>0</v>
      </c>
    </row>
    <row r="5339" spans="1:10">
      <c r="A5339" s="2" t="s">
        <v>138</v>
      </c>
      <c r="B5339" s="2">
        <v>21</v>
      </c>
      <c r="C5339" s="2">
        <v>17.121700000000001</v>
      </c>
      <c r="D5339" s="60" t="s">
        <v>149</v>
      </c>
    </row>
    <row r="5340" spans="1:10">
      <c r="A5340" s="2" t="s">
        <v>140</v>
      </c>
      <c r="B5340" s="2">
        <v>0</v>
      </c>
      <c r="C5340" s="2">
        <v>30.168399999999998</v>
      </c>
      <c r="D5340" s="60">
        <v>23.465699999999998</v>
      </c>
    </row>
    <row r="5341" spans="1:10">
      <c r="A5341" s="2" t="s">
        <v>141</v>
      </c>
      <c r="B5341" s="2">
        <v>0</v>
      </c>
      <c r="C5341" s="2">
        <v>7.1</v>
      </c>
      <c r="D5341" s="60" t="s">
        <v>142</v>
      </c>
    </row>
    <row r="5342" spans="1:10">
      <c r="A5342" s="2" t="s">
        <v>141</v>
      </c>
      <c r="B5342" s="2">
        <v>0</v>
      </c>
      <c r="C5342" s="2">
        <v>9</v>
      </c>
      <c r="D5342" s="60" t="s">
        <v>155</v>
      </c>
    </row>
    <row r="5343" spans="1:10">
      <c r="A5343" s="2" t="s">
        <v>141</v>
      </c>
      <c r="B5343" s="2">
        <v>7.1</v>
      </c>
      <c r="C5343" s="2">
        <v>8.6</v>
      </c>
      <c r="D5343" s="60" t="s">
        <v>144</v>
      </c>
    </row>
    <row r="5344" spans="1:10">
      <c r="A5344" s="2" t="s">
        <v>141</v>
      </c>
      <c r="B5344" s="2">
        <v>8.6</v>
      </c>
      <c r="C5344" s="2">
        <v>9</v>
      </c>
      <c r="D5344" s="60" t="s">
        <v>145</v>
      </c>
    </row>
    <row r="5345" spans="1:10">
      <c r="A5345" s="2" t="s">
        <v>141</v>
      </c>
      <c r="B5345" s="2">
        <v>9</v>
      </c>
      <c r="C5345" s="2">
        <v>11.9</v>
      </c>
      <c r="D5345" s="60" t="s">
        <v>161</v>
      </c>
    </row>
    <row r="5346" spans="1:10">
      <c r="A5346" s="2" t="s">
        <v>141</v>
      </c>
      <c r="B5346" s="2">
        <v>9</v>
      </c>
      <c r="C5346" s="2">
        <v>18.307200000000002</v>
      </c>
      <c r="D5346" s="60" t="s">
        <v>144</v>
      </c>
    </row>
    <row r="5347" spans="1:10">
      <c r="A5347" s="2" t="s">
        <v>141</v>
      </c>
      <c r="B5347" s="2">
        <v>11.9</v>
      </c>
      <c r="C5347" s="2">
        <v>18.307200000000002</v>
      </c>
      <c r="D5347" s="60" t="s">
        <v>152</v>
      </c>
    </row>
    <row r="5348" spans="1:10">
      <c r="A5348" s="2" t="s">
        <v>148</v>
      </c>
      <c r="B5348" s="2" t="s">
        <v>99</v>
      </c>
      <c r="C5348" s="2">
        <v>2.4160899999999999E-2</v>
      </c>
      <c r="D5348" s="60">
        <v>0</v>
      </c>
      <c r="E5348" s="2">
        <v>0</v>
      </c>
      <c r="F5348" s="2">
        <v>0.3</v>
      </c>
      <c r="G5348" s="2">
        <v>31.182500000000001</v>
      </c>
      <c r="H5348" s="2">
        <v>32.936700000000002</v>
      </c>
      <c r="I5348" s="2">
        <v>0</v>
      </c>
      <c r="J5348" s="2">
        <v>0</v>
      </c>
    </row>
    <row r="5349" spans="1:10">
      <c r="A5349" s="2" t="s">
        <v>148</v>
      </c>
      <c r="B5349" s="2" t="s">
        <v>100</v>
      </c>
      <c r="C5349" s="2">
        <v>1.8971399999999999E-2</v>
      </c>
      <c r="D5349" s="60">
        <v>0</v>
      </c>
      <c r="E5349" s="2">
        <v>17.229800000000001</v>
      </c>
      <c r="F5349" s="2">
        <v>6.23583</v>
      </c>
      <c r="G5349" s="2">
        <v>0</v>
      </c>
      <c r="H5349" s="2">
        <v>10</v>
      </c>
      <c r="I5349" s="2">
        <v>0</v>
      </c>
      <c r="J5349" s="2">
        <v>0</v>
      </c>
    </row>
    <row r="5350" spans="1:10">
      <c r="A5350" s="2" t="s">
        <v>148</v>
      </c>
      <c r="B5350" s="2" t="s">
        <v>98</v>
      </c>
      <c r="C5350" s="2">
        <v>2.01011E-2</v>
      </c>
      <c r="D5350" s="60">
        <v>0</v>
      </c>
      <c r="E5350" s="2">
        <v>15.2652</v>
      </c>
      <c r="F5350" s="2">
        <v>1.96465</v>
      </c>
      <c r="G5350" s="2">
        <v>10</v>
      </c>
      <c r="H5350" s="2">
        <v>12.765599999999999</v>
      </c>
      <c r="I5350" s="2">
        <v>0</v>
      </c>
      <c r="J5350" s="2">
        <v>0</v>
      </c>
    </row>
    <row r="5351" spans="1:10">
      <c r="A5351" s="2" t="s">
        <v>148</v>
      </c>
      <c r="B5351" s="2" t="s">
        <v>101</v>
      </c>
      <c r="C5351" s="2">
        <v>0.16587399999999999</v>
      </c>
      <c r="D5351" s="60">
        <v>0</v>
      </c>
      <c r="E5351" s="2">
        <v>8.3000000000000007</v>
      </c>
      <c r="F5351" s="2">
        <v>6.9652000000000003</v>
      </c>
      <c r="G5351" s="2">
        <v>12.765599999999999</v>
      </c>
      <c r="H5351" s="2">
        <v>21.212199999999999</v>
      </c>
      <c r="I5351" s="2">
        <v>0</v>
      </c>
      <c r="J5351" s="2">
        <v>0</v>
      </c>
    </row>
    <row r="5352" spans="1:10">
      <c r="A5352" s="2" t="s">
        <v>148</v>
      </c>
      <c r="B5352" s="2" t="s">
        <v>63</v>
      </c>
      <c r="C5352" s="2">
        <v>0.16645299999999999</v>
      </c>
      <c r="D5352" s="60">
        <v>11.6517</v>
      </c>
      <c r="E5352" s="2">
        <v>4.3</v>
      </c>
      <c r="F5352" s="2">
        <v>4</v>
      </c>
      <c r="G5352" s="2">
        <v>21.212199999999999</v>
      </c>
      <c r="H5352" s="2">
        <v>24.646899999999999</v>
      </c>
      <c r="I5352" s="2">
        <v>0</v>
      </c>
      <c r="J5352" s="2">
        <v>0</v>
      </c>
    </row>
    <row r="5353" spans="1:10">
      <c r="A5353" s="2" t="s">
        <v>148</v>
      </c>
      <c r="B5353" s="2" t="s">
        <v>63</v>
      </c>
      <c r="C5353" s="2">
        <v>0.226907</v>
      </c>
      <c r="D5353" s="60">
        <v>15.8835</v>
      </c>
      <c r="E5353" s="2">
        <v>0.3</v>
      </c>
      <c r="F5353" s="2">
        <v>4</v>
      </c>
      <c r="G5353" s="2">
        <v>24.646899999999999</v>
      </c>
      <c r="H5353" s="2">
        <v>31.182500000000001</v>
      </c>
      <c r="I5353" s="2">
        <v>0</v>
      </c>
      <c r="J5353" s="2">
        <v>0</v>
      </c>
    </row>
    <row r="5354" spans="1:10">
      <c r="A5354" s="2" t="s">
        <v>138</v>
      </c>
      <c r="B5354" s="2">
        <v>22</v>
      </c>
      <c r="C5354" s="2">
        <v>19.8383</v>
      </c>
      <c r="D5354" s="60" t="s">
        <v>139</v>
      </c>
    </row>
    <row r="5355" spans="1:10">
      <c r="A5355" s="2" t="s">
        <v>140</v>
      </c>
      <c r="B5355" s="2">
        <v>0</v>
      </c>
      <c r="C5355" s="2">
        <v>68.729600000000005</v>
      </c>
      <c r="D5355" s="60">
        <v>32.037700000000001</v>
      </c>
    </row>
    <row r="5356" spans="1:10">
      <c r="A5356" s="2" t="s">
        <v>141</v>
      </c>
      <c r="B5356" s="2">
        <v>0</v>
      </c>
      <c r="C5356" s="2">
        <v>1</v>
      </c>
      <c r="D5356" s="60" t="s">
        <v>157</v>
      </c>
    </row>
    <row r="5357" spans="1:10">
      <c r="A5357" s="2" t="s">
        <v>141</v>
      </c>
      <c r="B5357" s="2">
        <v>0</v>
      </c>
      <c r="C5357" s="2">
        <v>6.6</v>
      </c>
      <c r="D5357" s="60" t="s">
        <v>142</v>
      </c>
    </row>
    <row r="5358" spans="1:10">
      <c r="A5358" s="2" t="s">
        <v>141</v>
      </c>
      <c r="B5358" s="2">
        <v>0</v>
      </c>
      <c r="C5358" s="2">
        <v>24.3</v>
      </c>
      <c r="D5358" s="60" t="s">
        <v>146</v>
      </c>
    </row>
    <row r="5359" spans="1:10">
      <c r="A5359" s="2" t="s">
        <v>141</v>
      </c>
      <c r="B5359" s="2">
        <v>6.6</v>
      </c>
      <c r="C5359" s="2">
        <v>7</v>
      </c>
      <c r="D5359" s="60" t="s">
        <v>147</v>
      </c>
    </row>
    <row r="5360" spans="1:10">
      <c r="A5360" s="2" t="s">
        <v>141</v>
      </c>
      <c r="B5360" s="2">
        <v>7</v>
      </c>
      <c r="C5360" s="2">
        <v>18.3</v>
      </c>
      <c r="D5360" s="60" t="s">
        <v>145</v>
      </c>
    </row>
    <row r="5361" spans="1:10">
      <c r="A5361" s="2" t="s">
        <v>141</v>
      </c>
      <c r="B5361" s="2">
        <v>18.3</v>
      </c>
      <c r="C5361" s="2">
        <v>24.3</v>
      </c>
      <c r="D5361" s="60" t="s">
        <v>144</v>
      </c>
    </row>
    <row r="5362" spans="1:10">
      <c r="A5362" s="2" t="s">
        <v>148</v>
      </c>
      <c r="B5362" s="2" t="s">
        <v>99</v>
      </c>
      <c r="C5362" s="2">
        <v>0.10760699999999999</v>
      </c>
      <c r="D5362" s="60">
        <v>0</v>
      </c>
      <c r="E5362" s="2">
        <v>0</v>
      </c>
      <c r="F5362" s="2">
        <v>0.3</v>
      </c>
      <c r="G5362" s="2">
        <v>66.227000000000004</v>
      </c>
      <c r="H5362" s="2">
        <v>69.019300000000001</v>
      </c>
      <c r="I5362" s="2">
        <v>0</v>
      </c>
      <c r="J5362" s="2">
        <v>0</v>
      </c>
    </row>
    <row r="5363" spans="1:10">
      <c r="A5363" s="2" t="s">
        <v>148</v>
      </c>
      <c r="B5363" s="2" t="s">
        <v>100</v>
      </c>
      <c r="C5363" s="2">
        <v>1.1772400000000001E-2</v>
      </c>
      <c r="D5363" s="60">
        <v>0</v>
      </c>
      <c r="E5363" s="2">
        <v>28.7821</v>
      </c>
      <c r="F5363" s="2">
        <v>3.2555399999999999</v>
      </c>
      <c r="G5363" s="2">
        <v>0</v>
      </c>
      <c r="H5363" s="2">
        <v>10.0001</v>
      </c>
      <c r="I5363" s="2">
        <v>0</v>
      </c>
      <c r="J5363" s="2">
        <v>0</v>
      </c>
    </row>
    <row r="5364" spans="1:10">
      <c r="A5364" s="2" t="s">
        <v>148</v>
      </c>
      <c r="B5364" s="2" t="s">
        <v>98</v>
      </c>
      <c r="C5364" s="2">
        <v>0.66869199999999995</v>
      </c>
      <c r="D5364" s="60">
        <v>0</v>
      </c>
      <c r="E5364" s="2">
        <v>15.448399999999999</v>
      </c>
      <c r="F5364" s="2">
        <v>13.3338</v>
      </c>
      <c r="G5364" s="2">
        <v>10.0001</v>
      </c>
      <c r="H5364" s="2">
        <v>37.582299999999996</v>
      </c>
      <c r="I5364" s="2">
        <v>0</v>
      </c>
      <c r="J5364" s="2">
        <v>0</v>
      </c>
    </row>
    <row r="5365" spans="1:10">
      <c r="A5365" s="2" t="s">
        <v>148</v>
      </c>
      <c r="B5365" s="2" t="s">
        <v>101</v>
      </c>
      <c r="C5365" s="2">
        <v>0.12225900000000001</v>
      </c>
      <c r="D5365" s="60">
        <v>0</v>
      </c>
      <c r="E5365" s="2">
        <v>14.4</v>
      </c>
      <c r="F5365" s="2">
        <v>1.04837</v>
      </c>
      <c r="G5365" s="2">
        <v>37.582299999999996</v>
      </c>
      <c r="H5365" s="2">
        <v>39.462600000000002</v>
      </c>
      <c r="I5365" s="2">
        <v>0</v>
      </c>
      <c r="J5365" s="2">
        <v>0</v>
      </c>
    </row>
    <row r="5366" spans="1:10">
      <c r="A5366" s="2" t="s">
        <v>148</v>
      </c>
      <c r="B5366" s="2" t="s">
        <v>59</v>
      </c>
      <c r="C5366" s="2">
        <v>0.57513000000000003</v>
      </c>
      <c r="D5366" s="60">
        <v>57.512999999999998</v>
      </c>
      <c r="E5366" s="2">
        <v>10.4</v>
      </c>
      <c r="F5366" s="2">
        <v>4</v>
      </c>
      <c r="G5366" s="2">
        <v>39.462600000000002</v>
      </c>
      <c r="H5366" s="2">
        <v>45.813899999999997</v>
      </c>
      <c r="I5366" s="2">
        <v>0</v>
      </c>
      <c r="J5366" s="2">
        <v>0</v>
      </c>
    </row>
    <row r="5367" spans="1:10">
      <c r="A5367" s="2" t="s">
        <v>148</v>
      </c>
      <c r="B5367" s="2" t="s">
        <v>58</v>
      </c>
      <c r="C5367" s="2">
        <v>0.73927600000000004</v>
      </c>
      <c r="D5367" s="60">
        <v>77.623999999999995</v>
      </c>
      <c r="E5367" s="2">
        <v>6.4</v>
      </c>
      <c r="F5367" s="2">
        <v>4</v>
      </c>
      <c r="G5367" s="2">
        <v>45.813899999999997</v>
      </c>
      <c r="H5367" s="2">
        <v>51.009399999999999</v>
      </c>
      <c r="I5367" s="2">
        <v>0</v>
      </c>
      <c r="J5367" s="2">
        <v>0</v>
      </c>
    </row>
    <row r="5368" spans="1:10">
      <c r="A5368" s="2" t="s">
        <v>148</v>
      </c>
      <c r="B5368" s="2" t="s">
        <v>55</v>
      </c>
      <c r="C5368" s="2">
        <v>1.50712</v>
      </c>
      <c r="D5368" s="60">
        <v>218.53200000000001</v>
      </c>
      <c r="E5368" s="2">
        <v>0.3</v>
      </c>
      <c r="F5368" s="2">
        <v>6.1</v>
      </c>
      <c r="G5368" s="2">
        <v>51.009399999999999</v>
      </c>
      <c r="H5368" s="2">
        <v>66.227000000000004</v>
      </c>
      <c r="I5368" s="2">
        <v>0</v>
      </c>
      <c r="J5368" s="2">
        <v>0</v>
      </c>
    </row>
    <row r="5369" spans="1:10">
      <c r="A5369" s="2" t="s">
        <v>138</v>
      </c>
      <c r="B5369" s="2">
        <v>23</v>
      </c>
      <c r="C5369" s="2">
        <v>19.735499999999998</v>
      </c>
      <c r="D5369" s="60" t="s">
        <v>149</v>
      </c>
    </row>
    <row r="5370" spans="1:10">
      <c r="A5370" s="2" t="s">
        <v>140</v>
      </c>
      <c r="B5370" s="2">
        <v>0</v>
      </c>
      <c r="C5370" s="2">
        <v>61.814900000000002</v>
      </c>
      <c r="D5370" s="60">
        <v>28.9346</v>
      </c>
    </row>
    <row r="5371" spans="1:10">
      <c r="A5371" s="2" t="s">
        <v>141</v>
      </c>
      <c r="B5371" s="2">
        <v>0</v>
      </c>
      <c r="C5371" s="2">
        <v>6.8</v>
      </c>
      <c r="D5371" s="60" t="s">
        <v>142</v>
      </c>
    </row>
    <row r="5372" spans="1:10">
      <c r="A5372" s="2" t="s">
        <v>141</v>
      </c>
      <c r="B5372" s="2">
        <v>0</v>
      </c>
      <c r="C5372" s="2">
        <v>22.130600000000001</v>
      </c>
      <c r="D5372" s="60" t="s">
        <v>143</v>
      </c>
    </row>
    <row r="5373" spans="1:10">
      <c r="A5373" s="2" t="s">
        <v>141</v>
      </c>
      <c r="B5373" s="2">
        <v>6.8</v>
      </c>
      <c r="C5373" s="2">
        <v>14.5</v>
      </c>
      <c r="D5373" s="60" t="s">
        <v>145</v>
      </c>
    </row>
    <row r="5374" spans="1:10">
      <c r="A5374" s="2" t="s">
        <v>141</v>
      </c>
      <c r="B5374" s="2">
        <v>14.5</v>
      </c>
      <c r="C5374" s="2">
        <v>15.2</v>
      </c>
      <c r="D5374" s="60" t="s">
        <v>147</v>
      </c>
    </row>
    <row r="5375" spans="1:10">
      <c r="A5375" s="2" t="s">
        <v>141</v>
      </c>
      <c r="B5375" s="2">
        <v>15.2</v>
      </c>
      <c r="C5375" s="2">
        <v>22.130600000000001</v>
      </c>
      <c r="D5375" s="60" t="s">
        <v>144</v>
      </c>
    </row>
    <row r="5376" spans="1:10">
      <c r="A5376" s="2" t="s">
        <v>148</v>
      </c>
      <c r="B5376" s="2" t="s">
        <v>99</v>
      </c>
      <c r="C5376" s="2">
        <v>8.8416499999999995E-2</v>
      </c>
      <c r="D5376" s="60">
        <v>0</v>
      </c>
      <c r="E5376" s="2">
        <v>0</v>
      </c>
      <c r="F5376" s="2">
        <v>0.3</v>
      </c>
      <c r="G5376" s="2">
        <v>59.916499999999999</v>
      </c>
      <c r="H5376" s="2">
        <v>62.695</v>
      </c>
      <c r="I5376" s="2">
        <v>0</v>
      </c>
      <c r="J5376" s="2">
        <v>0</v>
      </c>
    </row>
    <row r="5377" spans="1:10">
      <c r="A5377" s="2" t="s">
        <v>148</v>
      </c>
      <c r="B5377" s="2" t="s">
        <v>100</v>
      </c>
      <c r="C5377" s="2">
        <v>1.2036099999999999E-2</v>
      </c>
      <c r="D5377" s="60">
        <v>0</v>
      </c>
      <c r="E5377" s="2">
        <v>25.538399999999999</v>
      </c>
      <c r="F5377" s="2">
        <v>3.39621</v>
      </c>
      <c r="G5377" s="2">
        <v>0</v>
      </c>
      <c r="H5377" s="2">
        <v>10</v>
      </c>
      <c r="I5377" s="2">
        <v>0</v>
      </c>
      <c r="J5377" s="2">
        <v>0</v>
      </c>
    </row>
    <row r="5378" spans="1:10">
      <c r="A5378" s="2" t="s">
        <v>148</v>
      </c>
      <c r="B5378" s="2" t="s">
        <v>98</v>
      </c>
      <c r="C5378" s="2">
        <v>3.9202599999999997E-2</v>
      </c>
      <c r="D5378" s="60">
        <v>0</v>
      </c>
      <c r="E5378" s="2">
        <v>22.630500000000001</v>
      </c>
      <c r="F5378" s="2">
        <v>2.90788</v>
      </c>
      <c r="G5378" s="2">
        <v>10</v>
      </c>
      <c r="H5378" s="2">
        <v>16.0383</v>
      </c>
      <c r="I5378" s="2">
        <v>0</v>
      </c>
      <c r="J5378" s="2">
        <v>0</v>
      </c>
    </row>
    <row r="5379" spans="1:10">
      <c r="A5379" s="2" t="s">
        <v>148</v>
      </c>
      <c r="B5379" s="2" t="s">
        <v>101</v>
      </c>
      <c r="C5379" s="2">
        <v>2.64858E-2</v>
      </c>
      <c r="D5379" s="60">
        <v>0</v>
      </c>
      <c r="E5379" s="2">
        <v>21.5</v>
      </c>
      <c r="F5379" s="2">
        <v>1.1305099999999999</v>
      </c>
      <c r="G5379" s="2">
        <v>16.0383</v>
      </c>
      <c r="H5379" s="2">
        <v>18.481100000000001</v>
      </c>
      <c r="I5379" s="2">
        <v>0</v>
      </c>
      <c r="J5379" s="2">
        <v>0</v>
      </c>
    </row>
    <row r="5380" spans="1:10">
      <c r="A5380" s="2" t="s">
        <v>148</v>
      </c>
      <c r="B5380" s="2" t="s">
        <v>61</v>
      </c>
      <c r="C5380" s="2">
        <v>0.29946200000000001</v>
      </c>
      <c r="D5380" s="60">
        <v>25.4543</v>
      </c>
      <c r="E5380" s="2">
        <v>15.5</v>
      </c>
      <c r="F5380" s="2">
        <v>6</v>
      </c>
      <c r="G5380" s="2">
        <v>18.481100000000001</v>
      </c>
      <c r="H5380" s="2">
        <v>31.184100000000001</v>
      </c>
      <c r="I5380" s="2">
        <v>0</v>
      </c>
      <c r="J5380" s="2">
        <v>0</v>
      </c>
    </row>
    <row r="5381" spans="1:10">
      <c r="A5381" s="2" t="s">
        <v>148</v>
      </c>
      <c r="B5381" s="2" t="s">
        <v>59</v>
      </c>
      <c r="C5381" s="2">
        <v>0.63506700000000005</v>
      </c>
      <c r="D5381" s="60">
        <v>63.506700000000002</v>
      </c>
      <c r="E5381" s="2">
        <v>9.5</v>
      </c>
      <c r="F5381" s="2">
        <v>6</v>
      </c>
      <c r="G5381" s="2">
        <v>31.184100000000001</v>
      </c>
      <c r="H5381" s="2">
        <v>41.461500000000001</v>
      </c>
      <c r="I5381" s="2">
        <v>0</v>
      </c>
      <c r="J5381" s="2">
        <v>0</v>
      </c>
    </row>
    <row r="5382" spans="1:10">
      <c r="A5382" s="2" t="s">
        <v>148</v>
      </c>
      <c r="B5382" s="2" t="s">
        <v>58</v>
      </c>
      <c r="C5382" s="2">
        <v>0.61304400000000003</v>
      </c>
      <c r="D5382" s="60">
        <v>64.369600000000005</v>
      </c>
      <c r="E5382" s="2">
        <v>5.5</v>
      </c>
      <c r="F5382" s="2">
        <v>4</v>
      </c>
      <c r="G5382" s="2">
        <v>41.461500000000001</v>
      </c>
      <c r="H5382" s="2">
        <v>46.675400000000003</v>
      </c>
      <c r="I5382" s="2">
        <v>0</v>
      </c>
      <c r="J5382" s="2">
        <v>0</v>
      </c>
    </row>
    <row r="5383" spans="1:10">
      <c r="A5383" s="2" t="s">
        <v>148</v>
      </c>
      <c r="B5383" s="2" t="s">
        <v>55</v>
      </c>
      <c r="C5383" s="2">
        <v>1.06732</v>
      </c>
      <c r="D5383" s="60">
        <v>154.761</v>
      </c>
      <c r="E5383" s="2">
        <v>0.3</v>
      </c>
      <c r="F5383" s="2">
        <v>5.2</v>
      </c>
      <c r="G5383" s="2">
        <v>46.675400000000003</v>
      </c>
      <c r="H5383" s="2">
        <v>59.916499999999999</v>
      </c>
      <c r="I5383" s="2">
        <v>0</v>
      </c>
      <c r="J5383" s="2">
        <v>0</v>
      </c>
    </row>
    <row r="5384" spans="1:10">
      <c r="A5384" s="2" t="s">
        <v>138</v>
      </c>
      <c r="B5384" s="2">
        <v>24</v>
      </c>
      <c r="C5384" s="2">
        <v>19.490200000000002</v>
      </c>
      <c r="D5384" s="60" t="s">
        <v>175</v>
      </c>
    </row>
    <row r="5385" spans="1:10">
      <c r="A5385" s="2" t="s">
        <v>140</v>
      </c>
      <c r="B5385" s="2">
        <v>0</v>
      </c>
      <c r="C5385" s="2">
        <v>51.137099999999997</v>
      </c>
      <c r="D5385" s="60">
        <v>27.485199999999999</v>
      </c>
      <c r="E5385" s="2">
        <v>0</v>
      </c>
      <c r="F5385" s="2">
        <v>11.4</v>
      </c>
    </row>
    <row r="5386" spans="1:10">
      <c r="A5386" s="2" t="s">
        <v>141</v>
      </c>
      <c r="B5386" s="2">
        <v>0</v>
      </c>
      <c r="C5386" s="2">
        <v>6.6</v>
      </c>
      <c r="D5386" s="60" t="s">
        <v>142</v>
      </c>
    </row>
    <row r="5387" spans="1:10">
      <c r="A5387" s="2" t="s">
        <v>141</v>
      </c>
      <c r="B5387" s="2">
        <v>0</v>
      </c>
      <c r="C5387" s="2">
        <v>6.6</v>
      </c>
      <c r="D5387" s="60" t="s">
        <v>146</v>
      </c>
    </row>
    <row r="5388" spans="1:10">
      <c r="A5388" s="2" t="s">
        <v>141</v>
      </c>
      <c r="B5388" s="2">
        <v>0</v>
      </c>
      <c r="C5388" s="2">
        <v>6.6</v>
      </c>
      <c r="D5388" s="60" t="s">
        <v>158</v>
      </c>
    </row>
    <row r="5389" spans="1:10">
      <c r="A5389" s="2" t="s">
        <v>141</v>
      </c>
      <c r="B5389" s="2">
        <v>6.6</v>
      </c>
      <c r="C5389" s="2">
        <v>7</v>
      </c>
      <c r="D5389" s="60" t="s">
        <v>147</v>
      </c>
    </row>
    <row r="5390" spans="1:10">
      <c r="A5390" s="2" t="s">
        <v>141</v>
      </c>
      <c r="B5390" s="2">
        <v>6.6</v>
      </c>
      <c r="C5390" s="2">
        <v>7</v>
      </c>
      <c r="D5390" s="60" t="s">
        <v>161</v>
      </c>
    </row>
    <row r="5391" spans="1:10">
      <c r="A5391" s="2" t="s">
        <v>141</v>
      </c>
      <c r="B5391" s="2">
        <v>6.6</v>
      </c>
      <c r="C5391" s="2">
        <v>7</v>
      </c>
      <c r="D5391" s="60" t="s">
        <v>177</v>
      </c>
    </row>
    <row r="5392" spans="1:10">
      <c r="A5392" s="2" t="s">
        <v>141</v>
      </c>
      <c r="B5392" s="2">
        <v>7</v>
      </c>
      <c r="C5392" s="2">
        <v>11</v>
      </c>
      <c r="D5392" s="60" t="s">
        <v>145</v>
      </c>
    </row>
    <row r="5393" spans="1:10">
      <c r="A5393" s="2" t="s">
        <v>141</v>
      </c>
      <c r="B5393" s="2">
        <v>7</v>
      </c>
      <c r="C5393" s="2">
        <v>21.1173</v>
      </c>
      <c r="D5393" s="60" t="s">
        <v>146</v>
      </c>
    </row>
    <row r="5394" spans="1:10">
      <c r="A5394" s="2" t="s">
        <v>141</v>
      </c>
      <c r="B5394" s="2">
        <v>11</v>
      </c>
      <c r="C5394" s="2">
        <v>21.1173</v>
      </c>
      <c r="D5394" s="60" t="s">
        <v>147</v>
      </c>
    </row>
    <row r="5395" spans="1:10">
      <c r="A5395" s="2" t="s">
        <v>148</v>
      </c>
      <c r="B5395" s="2" t="s">
        <v>99</v>
      </c>
      <c r="C5395" s="2">
        <v>6.2756000000000006E-2</v>
      </c>
      <c r="D5395" s="60">
        <v>0</v>
      </c>
      <c r="E5395" s="2">
        <v>0</v>
      </c>
      <c r="F5395" s="2">
        <v>0.3</v>
      </c>
      <c r="G5395" s="2">
        <v>50.4268</v>
      </c>
      <c r="H5395" s="2">
        <v>52.879600000000003</v>
      </c>
      <c r="I5395" s="2">
        <v>0</v>
      </c>
      <c r="J5395" s="2">
        <v>0</v>
      </c>
    </row>
    <row r="5396" spans="1:10">
      <c r="A5396" s="2" t="s">
        <v>148</v>
      </c>
      <c r="B5396" s="2" t="s">
        <v>101</v>
      </c>
      <c r="C5396" s="2">
        <v>3.2135299999999999E-2</v>
      </c>
      <c r="D5396" s="60">
        <v>0</v>
      </c>
      <c r="E5396" s="2">
        <v>11</v>
      </c>
      <c r="F5396" s="2">
        <v>0.4</v>
      </c>
      <c r="G5396" s="2">
        <v>31.687999999999999</v>
      </c>
      <c r="H5396" s="2">
        <v>32.2744</v>
      </c>
      <c r="I5396" s="2">
        <v>0</v>
      </c>
      <c r="J5396" s="2">
        <v>0</v>
      </c>
    </row>
    <row r="5397" spans="1:10">
      <c r="A5397" s="2" t="s">
        <v>148</v>
      </c>
      <c r="B5397" s="2" t="s">
        <v>59</v>
      </c>
      <c r="C5397" s="2">
        <v>0.38440600000000003</v>
      </c>
      <c r="D5397" s="60">
        <v>38.440600000000003</v>
      </c>
      <c r="E5397" s="2">
        <v>7</v>
      </c>
      <c r="F5397" s="2">
        <v>4</v>
      </c>
      <c r="G5397" s="2">
        <v>32.2744</v>
      </c>
      <c r="H5397" s="2">
        <v>37.414099999999998</v>
      </c>
      <c r="I5397" s="2">
        <v>0</v>
      </c>
      <c r="J5397" s="2">
        <v>0</v>
      </c>
    </row>
    <row r="5398" spans="1:10">
      <c r="A5398" s="2" t="s">
        <v>148</v>
      </c>
      <c r="B5398" s="2" t="s">
        <v>101</v>
      </c>
      <c r="C5398" s="2">
        <v>6.7166100000000006E-2</v>
      </c>
      <c r="D5398" s="60">
        <v>0</v>
      </c>
      <c r="E5398" s="2">
        <v>6.4</v>
      </c>
      <c r="F5398" s="2">
        <v>0.6</v>
      </c>
      <c r="G5398" s="2">
        <v>37.414099999999998</v>
      </c>
      <c r="H5398" s="2">
        <v>38.088299999999997</v>
      </c>
      <c r="I5398" s="2">
        <v>0</v>
      </c>
      <c r="J5398" s="2">
        <v>0</v>
      </c>
    </row>
    <row r="5399" spans="1:10">
      <c r="A5399" s="2" t="s">
        <v>148</v>
      </c>
      <c r="B5399" s="2" t="s">
        <v>56</v>
      </c>
      <c r="C5399" s="2">
        <v>0.85675199999999996</v>
      </c>
      <c r="D5399" s="60">
        <v>119.94499999999999</v>
      </c>
      <c r="E5399" s="2">
        <v>0.3</v>
      </c>
      <c r="F5399" s="2">
        <v>6.1</v>
      </c>
      <c r="G5399" s="2">
        <v>38.088299999999997</v>
      </c>
      <c r="H5399" s="2">
        <v>50.4268</v>
      </c>
      <c r="I5399" s="2">
        <v>0</v>
      </c>
      <c r="J5399" s="2">
        <v>0</v>
      </c>
    </row>
    <row r="5400" spans="1:10">
      <c r="A5400" s="2" t="s">
        <v>130</v>
      </c>
      <c r="B5400" s="2" t="s">
        <v>131</v>
      </c>
      <c r="C5400" s="2" t="s">
        <v>274</v>
      </c>
      <c r="D5400" s="60" t="s">
        <v>133</v>
      </c>
      <c r="E5400" s="2">
        <v>12</v>
      </c>
      <c r="F5400" s="2">
        <v>2016</v>
      </c>
    </row>
    <row r="5401" spans="1:10">
      <c r="A5401" s="2" t="s">
        <v>275</v>
      </c>
      <c r="B5401" s="2" t="s">
        <v>277</v>
      </c>
    </row>
    <row r="5402" spans="1:10">
      <c r="A5402" s="2" t="s">
        <v>288</v>
      </c>
      <c r="B5402" s="2" t="s">
        <v>279</v>
      </c>
      <c r="C5402" s="2" t="s">
        <v>292</v>
      </c>
      <c r="D5402" s="60" t="s">
        <v>282</v>
      </c>
      <c r="E5402" s="2" t="s">
        <v>283</v>
      </c>
      <c r="F5402" s="2" t="s">
        <v>285</v>
      </c>
      <c r="G5402" s="2" t="s">
        <v>197</v>
      </c>
      <c r="H5402" s="2" t="s">
        <v>286</v>
      </c>
    </row>
    <row r="5403" spans="1:10">
      <c r="A5403" s="2" t="s">
        <v>134</v>
      </c>
      <c r="B5403" s="2" t="s">
        <v>80</v>
      </c>
      <c r="C5403" s="2">
        <v>28</v>
      </c>
      <c r="D5403" s="60" t="s">
        <v>293</v>
      </c>
      <c r="E5403" s="2" t="s">
        <v>136</v>
      </c>
      <c r="F5403" s="2" t="s">
        <v>171</v>
      </c>
      <c r="G5403" s="2" t="s">
        <v>172</v>
      </c>
    </row>
    <row r="5404" spans="1:10">
      <c r="A5404" s="2" t="s">
        <v>138</v>
      </c>
      <c r="B5404" s="2">
        <v>1</v>
      </c>
      <c r="C5404" s="2">
        <v>19.225899999999999</v>
      </c>
      <c r="D5404" s="60" t="s">
        <v>149</v>
      </c>
    </row>
    <row r="5405" spans="1:10">
      <c r="A5405" s="2" t="s">
        <v>140</v>
      </c>
      <c r="B5405" s="2">
        <v>0</v>
      </c>
      <c r="C5405" s="2">
        <v>47.267099999999999</v>
      </c>
      <c r="D5405" s="60">
        <v>27.195</v>
      </c>
    </row>
    <row r="5406" spans="1:10">
      <c r="A5406" s="2" t="s">
        <v>141</v>
      </c>
      <c r="B5406" s="2">
        <v>0</v>
      </c>
      <c r="C5406" s="2">
        <v>7.1</v>
      </c>
      <c r="D5406" s="60" t="s">
        <v>142</v>
      </c>
    </row>
    <row r="5407" spans="1:10">
      <c r="A5407" s="2" t="s">
        <v>141</v>
      </c>
      <c r="B5407" s="2">
        <v>0</v>
      </c>
      <c r="C5407" s="2">
        <v>7.4</v>
      </c>
      <c r="D5407" s="60" t="s">
        <v>158</v>
      </c>
    </row>
    <row r="5408" spans="1:10">
      <c r="A5408" s="2" t="s">
        <v>141</v>
      </c>
      <c r="B5408" s="2">
        <v>0</v>
      </c>
      <c r="C5408" s="2">
        <v>10.8</v>
      </c>
      <c r="D5408" s="60" t="s">
        <v>146</v>
      </c>
    </row>
    <row r="5409" spans="1:10">
      <c r="A5409" s="2" t="s">
        <v>141</v>
      </c>
      <c r="B5409" s="2">
        <v>7.1</v>
      </c>
      <c r="C5409" s="2">
        <v>7.8</v>
      </c>
      <c r="D5409" s="60" t="s">
        <v>147</v>
      </c>
    </row>
    <row r="5410" spans="1:10">
      <c r="A5410" s="2" t="s">
        <v>141</v>
      </c>
      <c r="B5410" s="2">
        <v>7.4</v>
      </c>
      <c r="C5410" s="2">
        <v>7.8</v>
      </c>
      <c r="D5410" s="60" t="s">
        <v>177</v>
      </c>
    </row>
    <row r="5411" spans="1:10">
      <c r="A5411" s="2" t="s">
        <v>141</v>
      </c>
      <c r="B5411" s="2">
        <v>7.8</v>
      </c>
      <c r="C5411" s="2">
        <v>10.8</v>
      </c>
      <c r="D5411" s="60" t="s">
        <v>145</v>
      </c>
    </row>
    <row r="5412" spans="1:10">
      <c r="A5412" s="2" t="s">
        <v>141</v>
      </c>
      <c r="B5412" s="2">
        <v>10.8</v>
      </c>
      <c r="C5412" s="2">
        <v>11.2</v>
      </c>
      <c r="D5412" s="60" t="s">
        <v>147</v>
      </c>
    </row>
    <row r="5413" spans="1:10">
      <c r="A5413" s="2" t="s">
        <v>141</v>
      </c>
      <c r="B5413" s="2">
        <v>10.8</v>
      </c>
      <c r="C5413" s="2">
        <v>11.5</v>
      </c>
      <c r="D5413" s="60" t="s">
        <v>161</v>
      </c>
    </row>
    <row r="5414" spans="1:10">
      <c r="A5414" s="2" t="s">
        <v>141</v>
      </c>
      <c r="B5414" s="2">
        <v>11.2</v>
      </c>
      <c r="C5414" s="2">
        <v>20.796600000000002</v>
      </c>
      <c r="D5414" s="60" t="s">
        <v>144</v>
      </c>
    </row>
    <row r="5415" spans="1:10">
      <c r="A5415" s="2" t="s">
        <v>141</v>
      </c>
      <c r="B5415" s="2">
        <v>11.5</v>
      </c>
      <c r="C5415" s="2">
        <v>20.796600000000002</v>
      </c>
      <c r="D5415" s="60" t="s">
        <v>152</v>
      </c>
    </row>
    <row r="5416" spans="1:10">
      <c r="A5416" s="2" t="s">
        <v>148</v>
      </c>
      <c r="B5416" s="2" t="s">
        <v>99</v>
      </c>
      <c r="C5416" s="2">
        <v>5.4471400000000003E-2</v>
      </c>
      <c r="D5416" s="60">
        <v>0</v>
      </c>
      <c r="E5416" s="2">
        <v>0</v>
      </c>
      <c r="F5416" s="2">
        <v>0.3</v>
      </c>
      <c r="G5416" s="2">
        <v>46.970399999999998</v>
      </c>
      <c r="H5416" s="2">
        <v>49.2776</v>
      </c>
      <c r="I5416" s="2">
        <v>0</v>
      </c>
      <c r="J5416" s="2">
        <v>0</v>
      </c>
    </row>
    <row r="5417" spans="1:10">
      <c r="A5417" s="2" t="s">
        <v>148</v>
      </c>
      <c r="B5417" s="2" t="s">
        <v>100</v>
      </c>
      <c r="C5417" s="2">
        <v>1.4881500000000001E-2</v>
      </c>
      <c r="D5417" s="60">
        <v>0</v>
      </c>
      <c r="E5417" s="2">
        <v>22.747299999999999</v>
      </c>
      <c r="F5417" s="2">
        <v>4.4477200000000003</v>
      </c>
      <c r="G5417" s="2">
        <v>0</v>
      </c>
      <c r="H5417" s="2">
        <v>10</v>
      </c>
      <c r="I5417" s="2">
        <v>0</v>
      </c>
      <c r="J5417" s="2">
        <v>0</v>
      </c>
    </row>
    <row r="5418" spans="1:10">
      <c r="A5418" s="2" t="s">
        <v>148</v>
      </c>
      <c r="B5418" s="2" t="s">
        <v>98</v>
      </c>
      <c r="C5418" s="2">
        <v>0.112333</v>
      </c>
      <c r="D5418" s="60">
        <v>0</v>
      </c>
      <c r="E5418" s="2">
        <v>16.855899999999998</v>
      </c>
      <c r="F5418" s="2">
        <v>5.8913900000000003</v>
      </c>
      <c r="G5418" s="2">
        <v>10</v>
      </c>
      <c r="H5418" s="2">
        <v>20.590399999999999</v>
      </c>
      <c r="I5418" s="2">
        <v>0</v>
      </c>
      <c r="J5418" s="2">
        <v>0</v>
      </c>
    </row>
    <row r="5419" spans="1:10">
      <c r="A5419" s="2" t="s">
        <v>148</v>
      </c>
      <c r="B5419" s="2" t="s">
        <v>101</v>
      </c>
      <c r="C5419" s="2">
        <v>1.8707800000000001E-3</v>
      </c>
      <c r="D5419" s="60">
        <v>0</v>
      </c>
      <c r="E5419" s="2">
        <v>16.8</v>
      </c>
      <c r="F5419" s="2">
        <v>5.5913600000000001E-2</v>
      </c>
      <c r="G5419" s="2">
        <v>20.590399999999999</v>
      </c>
      <c r="H5419" s="2">
        <v>20.689299999999999</v>
      </c>
      <c r="I5419" s="2">
        <v>0</v>
      </c>
      <c r="J5419" s="2">
        <v>0</v>
      </c>
    </row>
    <row r="5420" spans="1:10">
      <c r="A5420" s="2" t="s">
        <v>148</v>
      </c>
      <c r="B5420" s="2" t="s">
        <v>64</v>
      </c>
      <c r="C5420" s="2">
        <v>0.26505699999999999</v>
      </c>
      <c r="D5420" s="60">
        <v>7.9517100000000003</v>
      </c>
      <c r="E5420" s="2">
        <v>11.5</v>
      </c>
      <c r="F5420" s="2">
        <v>5.3</v>
      </c>
      <c r="G5420" s="2">
        <v>20.689299999999999</v>
      </c>
      <c r="H5420" s="2">
        <v>29.219799999999999</v>
      </c>
      <c r="I5420" s="2">
        <v>0</v>
      </c>
      <c r="J5420" s="2">
        <v>0</v>
      </c>
    </row>
    <row r="5421" spans="1:10">
      <c r="A5421" s="2" t="s">
        <v>148</v>
      </c>
      <c r="B5421" s="2" t="s">
        <v>101</v>
      </c>
      <c r="C5421" s="2">
        <v>4.8526800000000002E-2</v>
      </c>
      <c r="D5421" s="60">
        <v>0</v>
      </c>
      <c r="E5421" s="2">
        <v>10.8</v>
      </c>
      <c r="F5421" s="2">
        <v>0.7</v>
      </c>
      <c r="G5421" s="2">
        <v>29.219799999999999</v>
      </c>
      <c r="H5421" s="2">
        <v>30.190100000000001</v>
      </c>
      <c r="I5421" s="2">
        <v>0</v>
      </c>
      <c r="J5421" s="2">
        <v>0</v>
      </c>
    </row>
    <row r="5422" spans="1:10">
      <c r="A5422" s="2" t="s">
        <v>148</v>
      </c>
      <c r="B5422" s="2" t="s">
        <v>64</v>
      </c>
      <c r="C5422" s="2">
        <v>0.37535400000000002</v>
      </c>
      <c r="D5422" s="60">
        <v>11.2606</v>
      </c>
      <c r="E5422" s="2">
        <v>6.4</v>
      </c>
      <c r="F5422" s="2">
        <v>4.4000000000000004</v>
      </c>
      <c r="G5422" s="2">
        <v>30.190100000000001</v>
      </c>
      <c r="H5422" s="2">
        <v>35.423200000000001</v>
      </c>
      <c r="I5422" s="2">
        <v>0</v>
      </c>
      <c r="J5422" s="2">
        <v>0</v>
      </c>
    </row>
    <row r="5423" spans="1:10">
      <c r="A5423" s="2" t="s">
        <v>148</v>
      </c>
      <c r="B5423" s="2" t="s">
        <v>56</v>
      </c>
      <c r="C5423" s="2">
        <v>0.74227699999999996</v>
      </c>
      <c r="D5423" s="60">
        <v>103.919</v>
      </c>
      <c r="E5423" s="2">
        <v>0.3</v>
      </c>
      <c r="F5423" s="2">
        <v>6.1</v>
      </c>
      <c r="G5423" s="2">
        <v>35.423200000000001</v>
      </c>
      <c r="H5423" s="2">
        <v>46.970399999999998</v>
      </c>
      <c r="I5423" s="2">
        <v>0</v>
      </c>
      <c r="J5423" s="2">
        <v>0</v>
      </c>
    </row>
    <row r="5424" spans="1:10">
      <c r="A5424" s="2" t="s">
        <v>138</v>
      </c>
      <c r="B5424" s="2">
        <v>2</v>
      </c>
      <c r="C5424" s="2">
        <v>19.527899999999999</v>
      </c>
      <c r="D5424" s="60" t="s">
        <v>139</v>
      </c>
    </row>
    <row r="5425" spans="1:10">
      <c r="A5425" s="2" t="s">
        <v>140</v>
      </c>
      <c r="B5425" s="2">
        <v>0</v>
      </c>
      <c r="C5425" s="2">
        <v>60.927500000000002</v>
      </c>
      <c r="D5425" s="60">
        <v>23.261800000000001</v>
      </c>
    </row>
    <row r="5426" spans="1:10">
      <c r="A5426" s="2" t="s">
        <v>141</v>
      </c>
      <c r="B5426" s="2">
        <v>0</v>
      </c>
      <c r="C5426" s="2">
        <v>3.5</v>
      </c>
      <c r="D5426" s="60" t="s">
        <v>151</v>
      </c>
    </row>
    <row r="5427" spans="1:10">
      <c r="A5427" s="2" t="s">
        <v>141</v>
      </c>
      <c r="B5427" s="2">
        <v>0</v>
      </c>
      <c r="C5427" s="2">
        <v>8.1</v>
      </c>
      <c r="D5427" s="60" t="s">
        <v>155</v>
      </c>
    </row>
    <row r="5428" spans="1:10">
      <c r="A5428" s="2" t="s">
        <v>141</v>
      </c>
      <c r="B5428" s="2">
        <v>3.5</v>
      </c>
      <c r="C5428" s="2">
        <v>8.6</v>
      </c>
      <c r="D5428" s="60" t="s">
        <v>147</v>
      </c>
    </row>
    <row r="5429" spans="1:10">
      <c r="A5429" s="2" t="s">
        <v>141</v>
      </c>
      <c r="B5429" s="2">
        <v>8.1</v>
      </c>
      <c r="C5429" s="2">
        <v>8.6</v>
      </c>
      <c r="D5429" s="60" t="s">
        <v>159</v>
      </c>
    </row>
    <row r="5430" spans="1:10">
      <c r="A5430" s="2" t="s">
        <v>141</v>
      </c>
      <c r="B5430" s="2">
        <v>8.6</v>
      </c>
      <c r="C5430" s="2">
        <v>18</v>
      </c>
      <c r="D5430" s="60" t="s">
        <v>144</v>
      </c>
    </row>
    <row r="5431" spans="1:10">
      <c r="A5431" s="2" t="s">
        <v>141</v>
      </c>
      <c r="B5431" s="2">
        <v>8.6</v>
      </c>
      <c r="C5431" s="2">
        <v>18</v>
      </c>
      <c r="D5431" s="60" t="s">
        <v>155</v>
      </c>
    </row>
    <row r="5432" spans="1:10">
      <c r="A5432" s="2" t="s">
        <v>148</v>
      </c>
      <c r="B5432" s="2" t="s">
        <v>99</v>
      </c>
      <c r="C5432" s="2">
        <v>8.50191E-2</v>
      </c>
      <c r="D5432" s="60">
        <v>0</v>
      </c>
      <c r="E5432" s="2">
        <v>0</v>
      </c>
      <c r="F5432" s="2">
        <v>0.3</v>
      </c>
      <c r="G5432" s="2">
        <v>58.482500000000002</v>
      </c>
      <c r="H5432" s="2">
        <v>61.798900000000003</v>
      </c>
      <c r="I5432" s="2">
        <v>0</v>
      </c>
      <c r="J5432" s="2">
        <v>0</v>
      </c>
    </row>
    <row r="5433" spans="1:10">
      <c r="A5433" s="2" t="s">
        <v>148</v>
      </c>
      <c r="B5433" s="2" t="s">
        <v>100</v>
      </c>
      <c r="C5433" s="2">
        <v>9.8500900000000006E-3</v>
      </c>
      <c r="D5433" s="60">
        <v>0</v>
      </c>
      <c r="E5433" s="2">
        <v>20.473500000000001</v>
      </c>
      <c r="F5433" s="2">
        <v>2.7882799999999999</v>
      </c>
      <c r="G5433" s="2">
        <v>0</v>
      </c>
      <c r="H5433" s="2">
        <v>10</v>
      </c>
      <c r="I5433" s="2">
        <v>0</v>
      </c>
      <c r="J5433" s="2">
        <v>0</v>
      </c>
    </row>
    <row r="5434" spans="1:10">
      <c r="A5434" s="2" t="s">
        <v>148</v>
      </c>
      <c r="B5434" s="2" t="s">
        <v>98</v>
      </c>
      <c r="C5434" s="2">
        <v>7.0669399999999993E-2</v>
      </c>
      <c r="D5434" s="60">
        <v>0</v>
      </c>
      <c r="E5434" s="2">
        <v>16.596599999999999</v>
      </c>
      <c r="F5434" s="2">
        <v>3.8769200000000001</v>
      </c>
      <c r="G5434" s="2">
        <v>10</v>
      </c>
      <c r="H5434" s="2">
        <v>20.055199999999999</v>
      </c>
      <c r="I5434" s="2">
        <v>0</v>
      </c>
      <c r="J5434" s="2">
        <v>0</v>
      </c>
    </row>
    <row r="5435" spans="1:10">
      <c r="A5435" s="2" t="s">
        <v>148</v>
      </c>
      <c r="B5435" s="2" t="s">
        <v>101</v>
      </c>
      <c r="C5435" s="2">
        <v>3.0918500000000002E-3</v>
      </c>
      <c r="D5435" s="60">
        <v>0</v>
      </c>
      <c r="E5435" s="2">
        <v>16.5</v>
      </c>
      <c r="F5435" s="2">
        <v>9.6625600000000006E-2</v>
      </c>
      <c r="G5435" s="2">
        <v>20.055199999999999</v>
      </c>
      <c r="H5435" s="2">
        <v>20.313500000000001</v>
      </c>
      <c r="I5435" s="2">
        <v>0</v>
      </c>
      <c r="J5435" s="2">
        <v>0</v>
      </c>
    </row>
    <row r="5436" spans="1:10">
      <c r="A5436" s="2" t="s">
        <v>148</v>
      </c>
      <c r="B5436" s="2" t="s">
        <v>64</v>
      </c>
      <c r="C5436" s="2">
        <v>0.20082700000000001</v>
      </c>
      <c r="D5436" s="60">
        <v>6.0248200000000001</v>
      </c>
      <c r="E5436" s="2">
        <v>12.6</v>
      </c>
      <c r="F5436" s="2">
        <v>3.9</v>
      </c>
      <c r="G5436" s="2">
        <v>20.313500000000001</v>
      </c>
      <c r="H5436" s="2">
        <v>30.402000000000001</v>
      </c>
      <c r="I5436" s="2">
        <v>0</v>
      </c>
      <c r="J5436" s="2">
        <v>0</v>
      </c>
    </row>
    <row r="5437" spans="1:10">
      <c r="A5437" s="2" t="s">
        <v>148</v>
      </c>
      <c r="B5437" s="2" t="s">
        <v>62</v>
      </c>
      <c r="C5437" s="2">
        <v>0.38530999999999999</v>
      </c>
      <c r="D5437" s="60">
        <v>30.8248</v>
      </c>
      <c r="E5437" s="2">
        <v>8.6</v>
      </c>
      <c r="F5437" s="2">
        <v>4</v>
      </c>
      <c r="G5437" s="2">
        <v>30.402000000000001</v>
      </c>
      <c r="H5437" s="2">
        <v>39.102499999999999</v>
      </c>
      <c r="I5437" s="2">
        <v>0</v>
      </c>
      <c r="J5437" s="2">
        <v>0</v>
      </c>
    </row>
    <row r="5438" spans="1:10">
      <c r="A5438" s="2" t="s">
        <v>148</v>
      </c>
      <c r="B5438" s="2" t="s">
        <v>101</v>
      </c>
      <c r="C5438" s="2">
        <v>0.30643300000000001</v>
      </c>
      <c r="D5438" s="60">
        <v>0</v>
      </c>
      <c r="E5438" s="2">
        <v>6.3</v>
      </c>
      <c r="F5438" s="2">
        <v>2.2999999999999998</v>
      </c>
      <c r="G5438" s="2">
        <v>39.102499999999999</v>
      </c>
      <c r="H5438" s="2">
        <v>43.126800000000003</v>
      </c>
      <c r="I5438" s="2">
        <v>0</v>
      </c>
      <c r="J5438" s="2">
        <v>0</v>
      </c>
    </row>
    <row r="5439" spans="1:10">
      <c r="A5439" s="2" t="s">
        <v>148</v>
      </c>
      <c r="B5439" s="2" t="s">
        <v>62</v>
      </c>
      <c r="C5439" s="2">
        <v>1.11114</v>
      </c>
      <c r="D5439" s="60">
        <v>88.891300000000001</v>
      </c>
      <c r="E5439" s="2">
        <v>0.3</v>
      </c>
      <c r="F5439" s="2">
        <v>6</v>
      </c>
      <c r="G5439" s="2">
        <v>43.126800000000003</v>
      </c>
      <c r="H5439" s="2">
        <v>58.482500000000002</v>
      </c>
      <c r="I5439" s="2">
        <v>0</v>
      </c>
      <c r="J5439" s="2">
        <v>0</v>
      </c>
    </row>
    <row r="5440" spans="1:10">
      <c r="A5440" s="2" t="s">
        <v>138</v>
      </c>
      <c r="B5440" s="2">
        <v>3</v>
      </c>
      <c r="C5440" s="2">
        <v>19.463100000000001</v>
      </c>
      <c r="D5440" s="60" t="s">
        <v>149</v>
      </c>
    </row>
    <row r="5441" spans="1:10">
      <c r="A5441" s="2" t="s">
        <v>140</v>
      </c>
      <c r="B5441" s="2">
        <v>0</v>
      </c>
      <c r="C5441" s="2">
        <v>52.826799999999999</v>
      </c>
      <c r="D5441" s="60">
        <v>27.9846</v>
      </c>
    </row>
    <row r="5442" spans="1:10">
      <c r="A5442" s="2" t="s">
        <v>141</v>
      </c>
      <c r="B5442" s="2">
        <v>0</v>
      </c>
      <c r="C5442" s="2">
        <v>6</v>
      </c>
      <c r="D5442" s="60" t="s">
        <v>142</v>
      </c>
    </row>
    <row r="5443" spans="1:10">
      <c r="A5443" s="2" t="s">
        <v>141</v>
      </c>
      <c r="B5443" s="2">
        <v>0</v>
      </c>
      <c r="C5443" s="2">
        <v>6</v>
      </c>
      <c r="D5443" s="60" t="s">
        <v>146</v>
      </c>
    </row>
    <row r="5444" spans="1:10">
      <c r="A5444" s="2" t="s">
        <v>141</v>
      </c>
      <c r="B5444" s="2">
        <v>6</v>
      </c>
      <c r="C5444" s="2">
        <v>6.4</v>
      </c>
      <c r="D5444" s="60" t="s">
        <v>147</v>
      </c>
    </row>
    <row r="5445" spans="1:10">
      <c r="A5445" s="2" t="s">
        <v>141</v>
      </c>
      <c r="B5445" s="2">
        <v>6</v>
      </c>
      <c r="C5445" s="2">
        <v>6.4</v>
      </c>
      <c r="D5445" s="60" t="s">
        <v>159</v>
      </c>
    </row>
    <row r="5446" spans="1:10">
      <c r="A5446" s="2" t="s">
        <v>141</v>
      </c>
      <c r="B5446" s="2">
        <v>6.4</v>
      </c>
      <c r="C5446" s="2">
        <v>10.5</v>
      </c>
      <c r="D5446" s="60" t="s">
        <v>155</v>
      </c>
    </row>
    <row r="5447" spans="1:10">
      <c r="A5447" s="2" t="s">
        <v>141</v>
      </c>
      <c r="B5447" s="2">
        <v>6.4</v>
      </c>
      <c r="C5447" s="2">
        <v>21.358000000000001</v>
      </c>
      <c r="D5447" s="60" t="s">
        <v>145</v>
      </c>
    </row>
    <row r="5448" spans="1:10">
      <c r="A5448" s="2" t="s">
        <v>141</v>
      </c>
      <c r="B5448" s="2">
        <v>10.5</v>
      </c>
      <c r="C5448" s="2">
        <v>21.358000000000001</v>
      </c>
      <c r="D5448" s="60" t="s">
        <v>161</v>
      </c>
    </row>
    <row r="5449" spans="1:10">
      <c r="A5449" s="2" t="s">
        <v>148</v>
      </c>
      <c r="B5449" s="2" t="s">
        <v>99</v>
      </c>
      <c r="C5449" s="2">
        <v>6.6592499999999999E-2</v>
      </c>
      <c r="D5449" s="60">
        <v>0</v>
      </c>
      <c r="E5449" s="2">
        <v>0</v>
      </c>
      <c r="F5449" s="2">
        <v>0.3</v>
      </c>
      <c r="G5449" s="2">
        <v>51.964300000000001</v>
      </c>
      <c r="H5449" s="2">
        <v>54.4499</v>
      </c>
      <c r="I5449" s="2">
        <v>0</v>
      </c>
      <c r="J5449" s="2">
        <v>0</v>
      </c>
    </row>
    <row r="5450" spans="1:10">
      <c r="A5450" s="2" t="s">
        <v>148</v>
      </c>
      <c r="B5450" s="2" t="s">
        <v>100</v>
      </c>
      <c r="C5450" s="2">
        <v>1.37457E-2</v>
      </c>
      <c r="D5450" s="60">
        <v>0</v>
      </c>
      <c r="E5450" s="2">
        <v>23.976500000000001</v>
      </c>
      <c r="F5450" s="2">
        <v>4.00807</v>
      </c>
      <c r="G5450" s="2">
        <v>0</v>
      </c>
      <c r="H5450" s="2">
        <v>10</v>
      </c>
      <c r="I5450" s="2">
        <v>0</v>
      </c>
      <c r="J5450" s="2">
        <v>0</v>
      </c>
    </row>
    <row r="5451" spans="1:10">
      <c r="A5451" s="2" t="s">
        <v>148</v>
      </c>
      <c r="B5451" s="2" t="s">
        <v>98</v>
      </c>
      <c r="C5451" s="2">
        <v>0.132021</v>
      </c>
      <c r="D5451" s="60">
        <v>0</v>
      </c>
      <c r="E5451" s="2">
        <v>17.701799999999999</v>
      </c>
      <c r="F5451" s="2">
        <v>6.2747400000000004</v>
      </c>
      <c r="G5451" s="2">
        <v>10</v>
      </c>
      <c r="H5451" s="2">
        <v>22.0715</v>
      </c>
      <c r="I5451" s="2">
        <v>0</v>
      </c>
      <c r="J5451" s="2">
        <v>0</v>
      </c>
    </row>
    <row r="5452" spans="1:10">
      <c r="A5452" s="2" t="s">
        <v>148</v>
      </c>
      <c r="B5452" s="2" t="s">
        <v>101</v>
      </c>
      <c r="C5452" s="2">
        <v>0.474634</v>
      </c>
      <c r="D5452" s="60">
        <v>0</v>
      </c>
      <c r="E5452" s="2">
        <v>10.4</v>
      </c>
      <c r="F5452" s="2">
        <v>7.3</v>
      </c>
      <c r="G5452" s="2">
        <v>22.0749</v>
      </c>
      <c r="H5452" s="2">
        <v>34.377299999999998</v>
      </c>
      <c r="I5452" s="2">
        <v>0</v>
      </c>
      <c r="J5452" s="2">
        <v>0</v>
      </c>
    </row>
    <row r="5453" spans="1:10">
      <c r="A5453" s="2" t="s">
        <v>148</v>
      </c>
      <c r="B5453" s="2" t="s">
        <v>62</v>
      </c>
      <c r="C5453" s="2">
        <v>0.42976700000000001</v>
      </c>
      <c r="D5453" s="60">
        <v>34.381399999999999</v>
      </c>
      <c r="E5453" s="2">
        <v>6.4</v>
      </c>
      <c r="F5453" s="2">
        <v>4</v>
      </c>
      <c r="G5453" s="2">
        <v>34.377299999999998</v>
      </c>
      <c r="H5453" s="2">
        <v>39.349499999999999</v>
      </c>
      <c r="I5453" s="2">
        <v>0</v>
      </c>
      <c r="J5453" s="2">
        <v>0</v>
      </c>
    </row>
    <row r="5454" spans="1:10">
      <c r="A5454" s="2" t="s">
        <v>148</v>
      </c>
      <c r="B5454" s="2" t="s">
        <v>101</v>
      </c>
      <c r="C5454" s="2">
        <v>0.11223900000000001</v>
      </c>
      <c r="D5454" s="60">
        <v>0</v>
      </c>
      <c r="E5454" s="2">
        <v>5.5</v>
      </c>
      <c r="F5454" s="2">
        <v>0.9</v>
      </c>
      <c r="G5454" s="2">
        <v>39.349499999999999</v>
      </c>
      <c r="H5454" s="2">
        <v>40.340299999999999</v>
      </c>
      <c r="I5454" s="2">
        <v>0</v>
      </c>
      <c r="J5454" s="2">
        <v>0</v>
      </c>
    </row>
    <row r="5455" spans="1:10">
      <c r="A5455" s="2" t="s">
        <v>148</v>
      </c>
      <c r="B5455" s="2" t="s">
        <v>55</v>
      </c>
      <c r="C5455" s="2">
        <v>0.79971999999999999</v>
      </c>
      <c r="D5455" s="60">
        <v>115.959</v>
      </c>
      <c r="E5455" s="2">
        <v>0.3</v>
      </c>
      <c r="F5455" s="2">
        <v>5.2</v>
      </c>
      <c r="G5455" s="2">
        <v>40.340299999999999</v>
      </c>
      <c r="H5455" s="2">
        <v>51.964300000000001</v>
      </c>
      <c r="I5455" s="2">
        <v>0</v>
      </c>
      <c r="J5455" s="2">
        <v>0</v>
      </c>
    </row>
    <row r="5456" spans="1:10">
      <c r="A5456" s="2" t="s">
        <v>138</v>
      </c>
      <c r="B5456" s="2">
        <v>4</v>
      </c>
      <c r="C5456" s="2">
        <v>19.511600000000001</v>
      </c>
      <c r="D5456" s="60" t="s">
        <v>149</v>
      </c>
    </row>
    <row r="5457" spans="1:10">
      <c r="A5457" s="2" t="s">
        <v>140</v>
      </c>
      <c r="B5457" s="2">
        <v>0</v>
      </c>
      <c r="C5457" s="2">
        <v>54.345799999999997</v>
      </c>
      <c r="D5457" s="60">
        <v>28.187100000000001</v>
      </c>
    </row>
    <row r="5458" spans="1:10">
      <c r="A5458" s="2" t="s">
        <v>141</v>
      </c>
      <c r="B5458" s="2">
        <v>0</v>
      </c>
      <c r="C5458" s="2">
        <v>7.1</v>
      </c>
      <c r="D5458" s="60" t="s">
        <v>142</v>
      </c>
    </row>
    <row r="5459" spans="1:10">
      <c r="A5459" s="2" t="s">
        <v>141</v>
      </c>
      <c r="B5459" s="2">
        <v>0</v>
      </c>
      <c r="C5459" s="2">
        <v>8.1999999999999993</v>
      </c>
      <c r="D5459" s="60" t="s">
        <v>146</v>
      </c>
    </row>
    <row r="5460" spans="1:10">
      <c r="A5460" s="2" t="s">
        <v>141</v>
      </c>
      <c r="B5460" s="2">
        <v>7.1</v>
      </c>
      <c r="C5460" s="2">
        <v>11.8</v>
      </c>
      <c r="D5460" s="60" t="s">
        <v>147</v>
      </c>
    </row>
    <row r="5461" spans="1:10">
      <c r="A5461" s="2" t="s">
        <v>141</v>
      </c>
      <c r="B5461" s="2">
        <v>8.1999999999999993</v>
      </c>
      <c r="C5461" s="2">
        <v>11.8</v>
      </c>
      <c r="D5461" s="60" t="s">
        <v>155</v>
      </c>
    </row>
    <row r="5462" spans="1:10">
      <c r="A5462" s="2" t="s">
        <v>141</v>
      </c>
      <c r="B5462" s="2">
        <v>11.8</v>
      </c>
      <c r="C5462" s="2">
        <v>12.1</v>
      </c>
      <c r="D5462" s="60" t="s">
        <v>151</v>
      </c>
    </row>
    <row r="5463" spans="1:10">
      <c r="A5463" s="2" t="s">
        <v>141</v>
      </c>
      <c r="B5463" s="2">
        <v>11.8</v>
      </c>
      <c r="C5463" s="2">
        <v>12.1</v>
      </c>
      <c r="D5463" s="60" t="s">
        <v>159</v>
      </c>
    </row>
    <row r="5464" spans="1:10">
      <c r="A5464" s="2" t="s">
        <v>141</v>
      </c>
      <c r="B5464" s="2">
        <v>12.1</v>
      </c>
      <c r="C5464" s="2">
        <v>21.501999999999999</v>
      </c>
      <c r="D5464" s="60" t="s">
        <v>144</v>
      </c>
    </row>
    <row r="5465" spans="1:10">
      <c r="A5465" s="2" t="s">
        <v>141</v>
      </c>
      <c r="B5465" s="2">
        <v>12.1</v>
      </c>
      <c r="C5465" s="2">
        <v>21.501999999999999</v>
      </c>
      <c r="D5465" s="60" t="s">
        <v>152</v>
      </c>
    </row>
    <row r="5466" spans="1:10">
      <c r="A5466" s="2" t="s">
        <v>148</v>
      </c>
      <c r="B5466" s="2" t="s">
        <v>99</v>
      </c>
      <c r="C5466" s="2">
        <v>7.0091899999999999E-2</v>
      </c>
      <c r="D5466" s="60">
        <v>0</v>
      </c>
      <c r="E5466" s="2">
        <v>0</v>
      </c>
      <c r="F5466" s="2">
        <v>0.3</v>
      </c>
      <c r="G5466" s="2">
        <v>53.319800000000001</v>
      </c>
      <c r="H5466" s="2">
        <v>55.853299999999997</v>
      </c>
      <c r="I5466" s="2">
        <v>0</v>
      </c>
      <c r="J5466" s="2">
        <v>0</v>
      </c>
    </row>
    <row r="5467" spans="1:10">
      <c r="A5467" s="2" t="s">
        <v>148</v>
      </c>
      <c r="B5467" s="2" t="s">
        <v>100</v>
      </c>
      <c r="C5467" s="2">
        <v>1.3453100000000001E-2</v>
      </c>
      <c r="D5467" s="60">
        <v>0</v>
      </c>
      <c r="E5467" s="2">
        <v>24.288399999999999</v>
      </c>
      <c r="F5467" s="2">
        <v>3.8987099999999999</v>
      </c>
      <c r="G5467" s="2">
        <v>0</v>
      </c>
      <c r="H5467" s="2">
        <v>10</v>
      </c>
      <c r="I5467" s="2">
        <v>0</v>
      </c>
      <c r="J5467" s="2">
        <v>0</v>
      </c>
    </row>
    <row r="5468" spans="1:10">
      <c r="A5468" s="2" t="s">
        <v>148</v>
      </c>
      <c r="B5468" s="2" t="s">
        <v>98</v>
      </c>
      <c r="C5468" s="2">
        <v>8.2345299999999996E-2</v>
      </c>
      <c r="D5468" s="60">
        <v>0</v>
      </c>
      <c r="E5468" s="2">
        <v>19.525200000000002</v>
      </c>
      <c r="F5468" s="2">
        <v>4.7631899999999998</v>
      </c>
      <c r="G5468" s="2">
        <v>10</v>
      </c>
      <c r="H5468" s="2">
        <v>19.2928</v>
      </c>
      <c r="I5468" s="2">
        <v>0</v>
      </c>
      <c r="J5468" s="2">
        <v>0</v>
      </c>
    </row>
    <row r="5469" spans="1:10">
      <c r="A5469" s="2" t="s">
        <v>148</v>
      </c>
      <c r="B5469" s="2" t="s">
        <v>101</v>
      </c>
      <c r="C5469" s="2">
        <v>7.3898599999999996E-4</v>
      </c>
      <c r="D5469" s="60">
        <v>0</v>
      </c>
      <c r="E5469" s="2">
        <v>19.5</v>
      </c>
      <c r="F5469" s="2">
        <v>2.5213200000000002E-2</v>
      </c>
      <c r="G5469" s="2">
        <v>19.2928</v>
      </c>
      <c r="H5469" s="2">
        <v>19.343</v>
      </c>
      <c r="I5469" s="2">
        <v>0</v>
      </c>
      <c r="J5469" s="2">
        <v>0</v>
      </c>
    </row>
    <row r="5470" spans="1:10">
      <c r="A5470" s="2" t="s">
        <v>148</v>
      </c>
      <c r="B5470" s="2" t="s">
        <v>64</v>
      </c>
      <c r="C5470" s="2">
        <v>0.149065</v>
      </c>
      <c r="D5470" s="60">
        <v>4.4719499999999996</v>
      </c>
      <c r="E5470" s="2">
        <v>15.9</v>
      </c>
      <c r="F5470" s="2">
        <v>3.6</v>
      </c>
      <c r="G5470" s="2">
        <v>19.343</v>
      </c>
      <c r="H5470" s="2">
        <v>26.318200000000001</v>
      </c>
      <c r="I5470" s="2">
        <v>0</v>
      </c>
      <c r="J5470" s="2">
        <v>0</v>
      </c>
    </row>
    <row r="5471" spans="1:10">
      <c r="A5471" s="2" t="s">
        <v>148</v>
      </c>
      <c r="B5471" s="2" t="s">
        <v>64</v>
      </c>
      <c r="C5471" s="2">
        <v>0.26380500000000001</v>
      </c>
      <c r="D5471" s="60">
        <v>7.9141599999999999</v>
      </c>
      <c r="E5471" s="2">
        <v>12.1</v>
      </c>
      <c r="F5471" s="2">
        <v>3.8</v>
      </c>
      <c r="G5471" s="2">
        <v>26.318200000000001</v>
      </c>
      <c r="H5471" s="2">
        <v>32.838299999999997</v>
      </c>
      <c r="I5471" s="2">
        <v>0</v>
      </c>
      <c r="J5471" s="2">
        <v>0</v>
      </c>
    </row>
    <row r="5472" spans="1:10">
      <c r="A5472" s="2" t="s">
        <v>148</v>
      </c>
      <c r="B5472" s="2" t="s">
        <v>101</v>
      </c>
      <c r="C5472" s="2">
        <v>5.2264699999999997E-2</v>
      </c>
      <c r="D5472" s="60">
        <v>0</v>
      </c>
      <c r="E5472" s="2">
        <v>11.5</v>
      </c>
      <c r="F5472" s="2">
        <v>0.6</v>
      </c>
      <c r="G5472" s="2">
        <v>32.838299999999997</v>
      </c>
      <c r="H5472" s="2">
        <v>33.760399999999997</v>
      </c>
      <c r="I5472" s="2">
        <v>0</v>
      </c>
      <c r="J5472" s="2">
        <v>0</v>
      </c>
    </row>
    <row r="5473" spans="1:10">
      <c r="A5473" s="2" t="s">
        <v>148</v>
      </c>
      <c r="B5473" s="2" t="s">
        <v>62</v>
      </c>
      <c r="C5473" s="2">
        <v>0.675709</v>
      </c>
      <c r="D5473" s="60">
        <v>54.056699999999999</v>
      </c>
      <c r="E5473" s="2">
        <v>5.5</v>
      </c>
      <c r="F5473" s="2">
        <v>6</v>
      </c>
      <c r="G5473" s="2">
        <v>33.760399999999997</v>
      </c>
      <c r="H5473" s="2">
        <v>41.424199999999999</v>
      </c>
      <c r="I5473" s="2">
        <v>0</v>
      </c>
      <c r="J5473" s="2">
        <v>0</v>
      </c>
    </row>
    <row r="5474" spans="1:10">
      <c r="A5474" s="2" t="s">
        <v>148</v>
      </c>
      <c r="B5474" s="2" t="s">
        <v>55</v>
      </c>
      <c r="C5474" s="2">
        <v>0.84269099999999997</v>
      </c>
      <c r="D5474" s="60">
        <v>122.19</v>
      </c>
      <c r="E5474" s="2">
        <v>0.3</v>
      </c>
      <c r="F5474" s="2">
        <v>5.2</v>
      </c>
      <c r="G5474" s="2">
        <v>41.424199999999999</v>
      </c>
      <c r="H5474" s="2">
        <v>53.319800000000001</v>
      </c>
      <c r="I5474" s="2">
        <v>0</v>
      </c>
      <c r="J5474" s="2">
        <v>0</v>
      </c>
    </row>
    <row r="5475" spans="1:10">
      <c r="A5475" s="2" t="s">
        <v>138</v>
      </c>
      <c r="B5475" s="2">
        <v>5</v>
      </c>
      <c r="C5475" s="2">
        <v>19.324999999999999</v>
      </c>
      <c r="D5475" s="60" t="s">
        <v>149</v>
      </c>
    </row>
    <row r="5476" spans="1:10">
      <c r="A5476" s="2" t="s">
        <v>140</v>
      </c>
      <c r="B5476" s="2">
        <v>0</v>
      </c>
      <c r="C5476" s="2">
        <v>49.292999999999999</v>
      </c>
      <c r="D5476" s="60">
        <v>27.491800000000001</v>
      </c>
    </row>
    <row r="5477" spans="1:10">
      <c r="A5477" s="2" t="s">
        <v>141</v>
      </c>
      <c r="B5477" s="2">
        <v>0</v>
      </c>
      <c r="C5477" s="2">
        <v>3.6</v>
      </c>
      <c r="D5477" s="60" t="s">
        <v>142</v>
      </c>
    </row>
    <row r="5478" spans="1:10">
      <c r="A5478" s="2" t="s">
        <v>141</v>
      </c>
      <c r="B5478" s="2">
        <v>0</v>
      </c>
      <c r="C5478" s="2">
        <v>3.6</v>
      </c>
      <c r="D5478" s="60" t="s">
        <v>158</v>
      </c>
    </row>
    <row r="5479" spans="1:10">
      <c r="A5479" s="2" t="s">
        <v>141</v>
      </c>
      <c r="B5479" s="2">
        <v>0</v>
      </c>
      <c r="C5479" s="2">
        <v>7.6</v>
      </c>
      <c r="D5479" s="60" t="s">
        <v>146</v>
      </c>
    </row>
    <row r="5480" spans="1:10">
      <c r="A5480" s="2" t="s">
        <v>141</v>
      </c>
      <c r="B5480" s="2">
        <v>3.6</v>
      </c>
      <c r="C5480" s="2">
        <v>3.9</v>
      </c>
      <c r="D5480" s="60" t="s">
        <v>160</v>
      </c>
    </row>
    <row r="5481" spans="1:10">
      <c r="A5481" s="2" t="s">
        <v>141</v>
      </c>
      <c r="B5481" s="2">
        <v>3.6</v>
      </c>
      <c r="C5481" s="2">
        <v>4.8</v>
      </c>
      <c r="D5481" s="60" t="s">
        <v>144</v>
      </c>
    </row>
    <row r="5482" spans="1:10">
      <c r="A5482" s="2" t="s">
        <v>141</v>
      </c>
      <c r="B5482" s="2">
        <v>3.9</v>
      </c>
      <c r="C5482" s="2">
        <v>4</v>
      </c>
      <c r="D5482" s="60" t="s">
        <v>231</v>
      </c>
    </row>
    <row r="5483" spans="1:10">
      <c r="A5483" s="2" t="s">
        <v>141</v>
      </c>
      <c r="B5483" s="2">
        <v>4</v>
      </c>
      <c r="C5483" s="2">
        <v>7.6</v>
      </c>
      <c r="D5483" s="60" t="s">
        <v>158</v>
      </c>
    </row>
    <row r="5484" spans="1:10">
      <c r="A5484" s="2" t="s">
        <v>141</v>
      </c>
      <c r="B5484" s="2">
        <v>4.8</v>
      </c>
      <c r="C5484" s="2">
        <v>9.6</v>
      </c>
      <c r="D5484" s="60" t="s">
        <v>147</v>
      </c>
    </row>
    <row r="5485" spans="1:10">
      <c r="A5485" s="2" t="s">
        <v>141</v>
      </c>
      <c r="B5485" s="2">
        <v>7.6</v>
      </c>
      <c r="C5485" s="2">
        <v>8</v>
      </c>
      <c r="D5485" s="60" t="s">
        <v>159</v>
      </c>
    </row>
    <row r="5486" spans="1:10">
      <c r="A5486" s="2" t="s">
        <v>141</v>
      </c>
      <c r="B5486" s="2">
        <v>7.6</v>
      </c>
      <c r="C5486" s="2">
        <v>8</v>
      </c>
      <c r="D5486" s="60" t="s">
        <v>177</v>
      </c>
    </row>
    <row r="5487" spans="1:10">
      <c r="A5487" s="2" t="s">
        <v>141</v>
      </c>
      <c r="B5487" s="2">
        <v>8</v>
      </c>
      <c r="C5487" s="2">
        <v>21.0076</v>
      </c>
      <c r="D5487" s="60" t="s">
        <v>155</v>
      </c>
    </row>
    <row r="5488" spans="1:10">
      <c r="A5488" s="2" t="s">
        <v>141</v>
      </c>
      <c r="B5488" s="2">
        <v>9.6</v>
      </c>
      <c r="C5488" s="2">
        <v>21.0076</v>
      </c>
      <c r="D5488" s="60" t="s">
        <v>144</v>
      </c>
    </row>
    <row r="5489" spans="1:10">
      <c r="A5489" s="2" t="s">
        <v>148</v>
      </c>
      <c r="B5489" s="2" t="s">
        <v>99</v>
      </c>
      <c r="C5489" s="2">
        <v>5.8762200000000001E-2</v>
      </c>
      <c r="D5489" s="60">
        <v>0</v>
      </c>
      <c r="E5489" s="2">
        <v>0</v>
      </c>
      <c r="F5489" s="2">
        <v>0.3</v>
      </c>
      <c r="G5489" s="2">
        <v>48.796100000000003</v>
      </c>
      <c r="H5489" s="2">
        <v>51.168999999999997</v>
      </c>
      <c r="I5489" s="2">
        <v>0</v>
      </c>
      <c r="J5489" s="2">
        <v>0</v>
      </c>
    </row>
    <row r="5490" spans="1:10">
      <c r="A5490" s="2" t="s">
        <v>148</v>
      </c>
      <c r="B5490" s="2" t="s">
        <v>100</v>
      </c>
      <c r="C5490" s="2">
        <v>1.44549E-2</v>
      </c>
      <c r="D5490" s="60">
        <v>0</v>
      </c>
      <c r="E5490" s="2">
        <v>23.212</v>
      </c>
      <c r="F5490" s="2">
        <v>4.2797999999999998</v>
      </c>
      <c r="G5490" s="2">
        <v>0</v>
      </c>
      <c r="H5490" s="2">
        <v>10</v>
      </c>
      <c r="I5490" s="2">
        <v>0</v>
      </c>
      <c r="J5490" s="2">
        <v>0</v>
      </c>
    </row>
    <row r="5491" spans="1:10">
      <c r="A5491" s="2" t="s">
        <v>148</v>
      </c>
      <c r="B5491" s="2" t="s">
        <v>98</v>
      </c>
      <c r="C5491" s="2">
        <v>2.45312E-2</v>
      </c>
      <c r="D5491" s="60">
        <v>0</v>
      </c>
      <c r="E5491" s="2">
        <v>21.044899999999998</v>
      </c>
      <c r="F5491" s="2">
        <v>2.16709</v>
      </c>
      <c r="G5491" s="2">
        <v>10</v>
      </c>
      <c r="H5491" s="2">
        <v>13.934900000000001</v>
      </c>
      <c r="I5491" s="2">
        <v>0</v>
      </c>
      <c r="J5491" s="2">
        <v>0</v>
      </c>
    </row>
    <row r="5492" spans="1:10">
      <c r="A5492" s="2" t="s">
        <v>148</v>
      </c>
      <c r="B5492" s="2" t="s">
        <v>101</v>
      </c>
      <c r="C5492" s="2">
        <v>1.8264499999999999E-2</v>
      </c>
      <c r="D5492" s="60">
        <v>0</v>
      </c>
      <c r="E5492" s="2">
        <v>20</v>
      </c>
      <c r="F5492" s="2">
        <v>1.0448900000000001</v>
      </c>
      <c r="G5492" s="2">
        <v>13.934900000000001</v>
      </c>
      <c r="H5492" s="2">
        <v>15.883699999999999</v>
      </c>
      <c r="I5492" s="2">
        <v>0</v>
      </c>
      <c r="J5492" s="2">
        <v>0</v>
      </c>
    </row>
    <row r="5493" spans="1:10">
      <c r="A5493" s="2" t="s">
        <v>148</v>
      </c>
      <c r="B5493" s="2" t="s">
        <v>63</v>
      </c>
      <c r="C5493" s="2">
        <v>0.22025900000000001</v>
      </c>
      <c r="D5493" s="60">
        <v>15.418200000000001</v>
      </c>
      <c r="E5493" s="2">
        <v>14</v>
      </c>
      <c r="F5493" s="2">
        <v>6</v>
      </c>
      <c r="G5493" s="2">
        <v>15.883699999999999</v>
      </c>
      <c r="H5493" s="2">
        <v>26.6629</v>
      </c>
      <c r="I5493" s="2">
        <v>0</v>
      </c>
      <c r="J5493" s="2">
        <v>0</v>
      </c>
    </row>
    <row r="5494" spans="1:10">
      <c r="A5494" s="2" t="s">
        <v>148</v>
      </c>
      <c r="B5494" s="2" t="s">
        <v>62</v>
      </c>
      <c r="C5494" s="2">
        <v>0.45888499999999999</v>
      </c>
      <c r="D5494" s="60">
        <v>36.710799999999999</v>
      </c>
      <c r="E5494" s="2">
        <v>8</v>
      </c>
      <c r="F5494" s="2">
        <v>6</v>
      </c>
      <c r="G5494" s="2">
        <v>26.6629</v>
      </c>
      <c r="H5494" s="2">
        <v>35.072899999999997</v>
      </c>
      <c r="I5494" s="2">
        <v>0</v>
      </c>
      <c r="J5494" s="2">
        <v>0</v>
      </c>
    </row>
    <row r="5495" spans="1:10">
      <c r="A5495" s="2" t="s">
        <v>148</v>
      </c>
      <c r="B5495" s="2" t="s">
        <v>101</v>
      </c>
      <c r="C5495" s="2">
        <v>0.17339299999999999</v>
      </c>
      <c r="D5495" s="60">
        <v>0</v>
      </c>
      <c r="E5495" s="2">
        <v>6.3</v>
      </c>
      <c r="F5495" s="2">
        <v>1.7</v>
      </c>
      <c r="G5495" s="2">
        <v>35.072899999999997</v>
      </c>
      <c r="H5495" s="2">
        <v>36.9649</v>
      </c>
      <c r="I5495" s="2">
        <v>0</v>
      </c>
      <c r="J5495" s="2">
        <v>0</v>
      </c>
    </row>
    <row r="5496" spans="1:10">
      <c r="A5496" s="2" t="s">
        <v>148</v>
      </c>
      <c r="B5496" s="2" t="s">
        <v>62</v>
      </c>
      <c r="C5496" s="2">
        <v>0.79156199999999999</v>
      </c>
      <c r="D5496" s="60">
        <v>63.3249</v>
      </c>
      <c r="E5496" s="2">
        <v>0.3</v>
      </c>
      <c r="F5496" s="2">
        <v>6</v>
      </c>
      <c r="G5496" s="2">
        <v>36.9649</v>
      </c>
      <c r="H5496" s="2">
        <v>48.796100000000003</v>
      </c>
      <c r="I5496" s="2">
        <v>0</v>
      </c>
      <c r="J5496" s="2">
        <v>0</v>
      </c>
    </row>
    <row r="5497" spans="1:10">
      <c r="A5497" s="2" t="s">
        <v>138</v>
      </c>
      <c r="B5497" s="2">
        <v>6</v>
      </c>
      <c r="C5497" s="2">
        <v>19.613399999999999</v>
      </c>
      <c r="D5497" s="60" t="s">
        <v>149</v>
      </c>
    </row>
    <row r="5498" spans="1:10">
      <c r="A5498" s="2" t="s">
        <v>140</v>
      </c>
      <c r="B5498" s="2">
        <v>0</v>
      </c>
      <c r="C5498" s="2">
        <v>58.2532</v>
      </c>
      <c r="D5498" s="60">
        <v>28.6829</v>
      </c>
    </row>
    <row r="5499" spans="1:10">
      <c r="A5499" s="2" t="s">
        <v>141</v>
      </c>
      <c r="B5499" s="2">
        <v>0</v>
      </c>
      <c r="C5499" s="2">
        <v>3.8</v>
      </c>
      <c r="D5499" s="60" t="s">
        <v>142</v>
      </c>
    </row>
    <row r="5500" spans="1:10">
      <c r="A5500" s="2" t="s">
        <v>141</v>
      </c>
      <c r="B5500" s="2">
        <v>0</v>
      </c>
      <c r="C5500" s="2">
        <v>3.8</v>
      </c>
      <c r="D5500" s="60" t="s">
        <v>146</v>
      </c>
    </row>
    <row r="5501" spans="1:10">
      <c r="A5501" s="2" t="s">
        <v>141</v>
      </c>
      <c r="B5501" s="2">
        <v>3.8</v>
      </c>
      <c r="C5501" s="2">
        <v>5.3</v>
      </c>
      <c r="D5501" s="60" t="s">
        <v>145</v>
      </c>
    </row>
    <row r="5502" spans="1:10">
      <c r="A5502" s="2" t="s">
        <v>141</v>
      </c>
      <c r="B5502" s="2">
        <v>3.8</v>
      </c>
      <c r="C5502" s="2">
        <v>7.5</v>
      </c>
      <c r="D5502" s="60" t="s">
        <v>155</v>
      </c>
    </row>
    <row r="5503" spans="1:10">
      <c r="A5503" s="2" t="s">
        <v>141</v>
      </c>
      <c r="B5503" s="2">
        <v>5.3</v>
      </c>
      <c r="C5503" s="2">
        <v>21.854500000000002</v>
      </c>
      <c r="D5503" s="60" t="s">
        <v>147</v>
      </c>
    </row>
    <row r="5504" spans="1:10">
      <c r="A5504" s="2" t="s">
        <v>141</v>
      </c>
      <c r="B5504" s="2">
        <v>7.5</v>
      </c>
      <c r="C5504" s="2">
        <v>21.854500000000002</v>
      </c>
      <c r="D5504" s="60" t="s">
        <v>161</v>
      </c>
    </row>
    <row r="5505" spans="1:10">
      <c r="A5505" s="2" t="s">
        <v>148</v>
      </c>
      <c r="B5505" s="2" t="s">
        <v>99</v>
      </c>
      <c r="C5505" s="2">
        <v>7.9458500000000001E-2</v>
      </c>
      <c r="D5505" s="60">
        <v>0</v>
      </c>
      <c r="E5505" s="2">
        <v>0</v>
      </c>
      <c r="F5505" s="2">
        <v>0.3</v>
      </c>
      <c r="G5505" s="2">
        <v>56.790500000000002</v>
      </c>
      <c r="H5505" s="2">
        <v>59.445500000000003</v>
      </c>
      <c r="I5505" s="2">
        <v>0</v>
      </c>
      <c r="J5505" s="2">
        <v>0</v>
      </c>
    </row>
    <row r="5506" spans="1:10">
      <c r="A5506" s="2" t="s">
        <v>148</v>
      </c>
      <c r="B5506" s="2" t="s">
        <v>100</v>
      </c>
      <c r="C5506" s="2">
        <v>1.27303E-2</v>
      </c>
      <c r="D5506" s="60">
        <v>0</v>
      </c>
      <c r="E5506" s="2">
        <v>25.0474</v>
      </c>
      <c r="F5506" s="2">
        <v>3.6354899999999999</v>
      </c>
      <c r="G5506" s="2">
        <v>0</v>
      </c>
      <c r="H5506" s="2">
        <v>10</v>
      </c>
      <c r="I5506" s="2">
        <v>0</v>
      </c>
      <c r="J5506" s="2">
        <v>0</v>
      </c>
    </row>
    <row r="5507" spans="1:10">
      <c r="A5507" s="2" t="s">
        <v>148</v>
      </c>
      <c r="B5507" s="2" t="s">
        <v>98</v>
      </c>
      <c r="C5507" s="2">
        <v>0.106114</v>
      </c>
      <c r="D5507" s="60">
        <v>0</v>
      </c>
      <c r="E5507" s="2">
        <v>19.620699999999999</v>
      </c>
      <c r="F5507" s="2">
        <v>5.4267099999999999</v>
      </c>
      <c r="G5507" s="2">
        <v>10</v>
      </c>
      <c r="H5507" s="2">
        <v>21.049600000000002</v>
      </c>
      <c r="I5507" s="2">
        <v>0</v>
      </c>
      <c r="J5507" s="2">
        <v>0</v>
      </c>
    </row>
    <row r="5508" spans="1:10">
      <c r="A5508" s="2" t="s">
        <v>148</v>
      </c>
      <c r="B5508" s="2" t="s">
        <v>101</v>
      </c>
      <c r="C5508" s="2">
        <v>1.2020900000000001</v>
      </c>
      <c r="D5508" s="60">
        <v>0</v>
      </c>
      <c r="E5508" s="2">
        <v>6.3</v>
      </c>
      <c r="F5508" s="2">
        <v>13.3207</v>
      </c>
      <c r="G5508" s="2">
        <v>21.049600000000002</v>
      </c>
      <c r="H5508" s="2">
        <v>43.267000000000003</v>
      </c>
      <c r="I5508" s="2">
        <v>0</v>
      </c>
      <c r="J5508" s="2">
        <v>0</v>
      </c>
    </row>
    <row r="5509" spans="1:10">
      <c r="A5509" s="2" t="s">
        <v>148</v>
      </c>
      <c r="B5509" s="2" t="s">
        <v>62</v>
      </c>
      <c r="C5509" s="2">
        <v>1.0780799999999999</v>
      </c>
      <c r="D5509" s="60">
        <v>86.246099999999998</v>
      </c>
      <c r="E5509" s="2">
        <v>0.3</v>
      </c>
      <c r="F5509" s="2">
        <v>6</v>
      </c>
      <c r="G5509" s="2">
        <v>43.267000000000003</v>
      </c>
      <c r="H5509" s="2">
        <v>56.790500000000002</v>
      </c>
      <c r="I5509" s="2">
        <v>0</v>
      </c>
      <c r="J5509" s="2">
        <v>0</v>
      </c>
    </row>
    <row r="5510" spans="1:10">
      <c r="A5510" s="2" t="s">
        <v>138</v>
      </c>
      <c r="B5510" s="2">
        <v>7</v>
      </c>
      <c r="C5510" s="2">
        <v>19.517499999999998</v>
      </c>
      <c r="D5510" s="60" t="s">
        <v>139</v>
      </c>
    </row>
    <row r="5511" spans="1:10">
      <c r="A5511" s="2" t="s">
        <v>140</v>
      </c>
      <c r="B5511" s="2">
        <v>0</v>
      </c>
      <c r="C5511" s="2">
        <v>58.103900000000003</v>
      </c>
      <c r="D5511" s="60">
        <v>25.090199999999999</v>
      </c>
    </row>
    <row r="5512" spans="1:10">
      <c r="A5512" s="2" t="s">
        <v>141</v>
      </c>
      <c r="B5512" s="2">
        <v>0</v>
      </c>
      <c r="C5512" s="2">
        <v>1.4</v>
      </c>
      <c r="D5512" s="60" t="s">
        <v>142</v>
      </c>
    </row>
    <row r="5513" spans="1:10">
      <c r="A5513" s="2" t="s">
        <v>141</v>
      </c>
      <c r="B5513" s="2">
        <v>0</v>
      </c>
      <c r="C5513" s="2">
        <v>19.3</v>
      </c>
      <c r="D5513" s="60" t="s">
        <v>155</v>
      </c>
    </row>
    <row r="5514" spans="1:10">
      <c r="A5514" s="2" t="s">
        <v>141</v>
      </c>
      <c r="B5514" s="2">
        <v>1.4</v>
      </c>
      <c r="C5514" s="2">
        <v>1.7</v>
      </c>
      <c r="D5514" s="60" t="s">
        <v>144</v>
      </c>
    </row>
    <row r="5515" spans="1:10">
      <c r="A5515" s="2" t="s">
        <v>141</v>
      </c>
      <c r="B5515" s="2">
        <v>1.7</v>
      </c>
      <c r="C5515" s="2">
        <v>2.2000000000000002</v>
      </c>
      <c r="D5515" s="60" t="s">
        <v>147</v>
      </c>
    </row>
    <row r="5516" spans="1:10">
      <c r="A5516" s="2" t="s">
        <v>141</v>
      </c>
      <c r="B5516" s="2">
        <v>2.2000000000000002</v>
      </c>
      <c r="C5516" s="2">
        <v>11.2</v>
      </c>
      <c r="D5516" s="60" t="s">
        <v>145</v>
      </c>
    </row>
    <row r="5517" spans="1:10">
      <c r="A5517" s="2" t="s">
        <v>141</v>
      </c>
      <c r="B5517" s="2">
        <v>11.2</v>
      </c>
      <c r="C5517" s="2">
        <v>19.3</v>
      </c>
      <c r="D5517" s="60" t="s">
        <v>144</v>
      </c>
    </row>
    <row r="5518" spans="1:10">
      <c r="A5518" s="2" t="s">
        <v>148</v>
      </c>
      <c r="B5518" s="2" t="s">
        <v>99</v>
      </c>
      <c r="C5518" s="2">
        <v>7.8443399999999996E-2</v>
      </c>
      <c r="D5518" s="60">
        <v>0</v>
      </c>
      <c r="E5518" s="2">
        <v>0</v>
      </c>
      <c r="F5518" s="2">
        <v>0.3</v>
      </c>
      <c r="G5518" s="2">
        <v>56.270299999999999</v>
      </c>
      <c r="H5518" s="2">
        <v>59.247599999999998</v>
      </c>
      <c r="I5518" s="2">
        <v>0</v>
      </c>
      <c r="J5518" s="2">
        <v>0</v>
      </c>
    </row>
    <row r="5519" spans="1:10">
      <c r="A5519" s="2" t="s">
        <v>148</v>
      </c>
      <c r="B5519" s="2" t="s">
        <v>100</v>
      </c>
      <c r="C5519" s="2">
        <v>1.11801E-2</v>
      </c>
      <c r="D5519" s="60">
        <v>0</v>
      </c>
      <c r="E5519" s="2">
        <v>21.8949</v>
      </c>
      <c r="F5519" s="2">
        <v>3.1952400000000001</v>
      </c>
      <c r="G5519" s="2">
        <v>0</v>
      </c>
      <c r="H5519" s="2">
        <v>10</v>
      </c>
      <c r="I5519" s="2">
        <v>0</v>
      </c>
      <c r="J5519" s="2">
        <v>0</v>
      </c>
    </row>
    <row r="5520" spans="1:10">
      <c r="A5520" s="2" t="s">
        <v>148</v>
      </c>
      <c r="B5520" s="2" t="s">
        <v>98</v>
      </c>
      <c r="C5520" s="2">
        <v>0.164657</v>
      </c>
      <c r="D5520" s="60">
        <v>0</v>
      </c>
      <c r="E5520" s="2">
        <v>15.4246</v>
      </c>
      <c r="F5520" s="2">
        <v>6.4703499999999998</v>
      </c>
      <c r="G5520" s="2">
        <v>10</v>
      </c>
      <c r="H5520" s="2">
        <v>25.048200000000001</v>
      </c>
      <c r="I5520" s="2">
        <v>0</v>
      </c>
      <c r="J5520" s="2">
        <v>0</v>
      </c>
    </row>
    <row r="5521" spans="1:10">
      <c r="A5521" s="2" t="s">
        <v>148</v>
      </c>
      <c r="B5521" s="2" t="s">
        <v>101</v>
      </c>
      <c r="C5521" s="2">
        <v>6.1268799999999998E-2</v>
      </c>
      <c r="D5521" s="60">
        <v>0</v>
      </c>
      <c r="E5521" s="2">
        <v>14.3</v>
      </c>
      <c r="F5521" s="2">
        <v>1.1245799999999999</v>
      </c>
      <c r="G5521" s="2">
        <v>25.048200000000001</v>
      </c>
      <c r="H5521" s="2">
        <v>27.592099999999999</v>
      </c>
      <c r="I5521" s="2">
        <v>0</v>
      </c>
      <c r="J5521" s="2">
        <v>0</v>
      </c>
    </row>
    <row r="5522" spans="1:10">
      <c r="A5522" s="2" t="s">
        <v>148</v>
      </c>
      <c r="B5522" s="2" t="s">
        <v>62</v>
      </c>
      <c r="C5522" s="2">
        <v>0.31909100000000001</v>
      </c>
      <c r="D5522" s="60">
        <v>25.5273</v>
      </c>
      <c r="E5522" s="2">
        <v>10.3</v>
      </c>
      <c r="F5522" s="2">
        <v>4</v>
      </c>
      <c r="G5522" s="2">
        <v>27.592099999999999</v>
      </c>
      <c r="H5522" s="2">
        <v>35.697499999999998</v>
      </c>
      <c r="I5522" s="2">
        <v>0</v>
      </c>
      <c r="J5522" s="2">
        <v>0</v>
      </c>
    </row>
    <row r="5523" spans="1:10">
      <c r="A5523" s="2" t="s">
        <v>148</v>
      </c>
      <c r="B5523" s="2" t="s">
        <v>62</v>
      </c>
      <c r="C5523" s="2">
        <v>0.47919</v>
      </c>
      <c r="D5523" s="60">
        <v>38.3352</v>
      </c>
      <c r="E5523" s="2">
        <v>6.3</v>
      </c>
      <c r="F5523" s="2">
        <v>4</v>
      </c>
      <c r="G5523" s="2">
        <v>35.697499999999998</v>
      </c>
      <c r="H5523" s="2">
        <v>42.045299999999997</v>
      </c>
      <c r="I5523" s="2">
        <v>0</v>
      </c>
      <c r="J5523" s="2">
        <v>0</v>
      </c>
    </row>
    <row r="5524" spans="1:10">
      <c r="A5524" s="2" t="s">
        <v>148</v>
      </c>
      <c r="B5524" s="2" t="s">
        <v>62</v>
      </c>
      <c r="C5524" s="2">
        <v>1.03979</v>
      </c>
      <c r="D5524" s="60">
        <v>83.1828</v>
      </c>
      <c r="E5524" s="2">
        <v>0.3</v>
      </c>
      <c r="F5524" s="2">
        <v>6</v>
      </c>
      <c r="G5524" s="2">
        <v>42.045299999999997</v>
      </c>
      <c r="H5524" s="2">
        <v>56.270299999999999</v>
      </c>
      <c r="I5524" s="2">
        <v>0</v>
      </c>
      <c r="J5524" s="2">
        <v>0</v>
      </c>
    </row>
    <row r="5525" spans="1:10">
      <c r="A5525" s="2" t="s">
        <v>138</v>
      </c>
      <c r="B5525" s="2">
        <v>8</v>
      </c>
      <c r="C5525" s="2">
        <v>19.795500000000001</v>
      </c>
      <c r="D5525" s="60" t="s">
        <v>149</v>
      </c>
    </row>
    <row r="5526" spans="1:10">
      <c r="A5526" s="2" t="s">
        <v>140</v>
      </c>
      <c r="B5526" s="2">
        <v>0</v>
      </c>
      <c r="C5526" s="2">
        <v>70.134200000000007</v>
      </c>
      <c r="D5526" s="60">
        <v>29.9924</v>
      </c>
    </row>
    <row r="5527" spans="1:10">
      <c r="A5527" s="2" t="s">
        <v>141</v>
      </c>
      <c r="B5527" s="2">
        <v>0</v>
      </c>
      <c r="C5527" s="2">
        <v>0.7</v>
      </c>
      <c r="D5527" s="60" t="s">
        <v>157</v>
      </c>
    </row>
    <row r="5528" spans="1:10">
      <c r="A5528" s="2" t="s">
        <v>141</v>
      </c>
      <c r="B5528" s="2">
        <v>0</v>
      </c>
      <c r="C5528" s="2">
        <v>3.1</v>
      </c>
      <c r="D5528" s="60" t="s">
        <v>151</v>
      </c>
    </row>
    <row r="5529" spans="1:10">
      <c r="A5529" s="2" t="s">
        <v>141</v>
      </c>
      <c r="B5529" s="2">
        <v>0</v>
      </c>
      <c r="C5529" s="2">
        <v>3.1</v>
      </c>
      <c r="D5529" s="60" t="s">
        <v>155</v>
      </c>
    </row>
    <row r="5530" spans="1:10">
      <c r="A5530" s="2" t="s">
        <v>141</v>
      </c>
      <c r="B5530" s="2">
        <v>0.7</v>
      </c>
      <c r="C5530" s="2">
        <v>10.7</v>
      </c>
      <c r="D5530" s="60" t="s">
        <v>158</v>
      </c>
    </row>
    <row r="5531" spans="1:10">
      <c r="A5531" s="2" t="s">
        <v>141</v>
      </c>
      <c r="B5531" s="2">
        <v>3.1</v>
      </c>
      <c r="C5531" s="2">
        <v>10.7</v>
      </c>
      <c r="D5531" s="60" t="s">
        <v>146</v>
      </c>
    </row>
    <row r="5532" spans="1:10">
      <c r="A5532" s="2" t="s">
        <v>141</v>
      </c>
      <c r="B5532" s="2">
        <v>3.1</v>
      </c>
      <c r="C5532" s="2">
        <v>11</v>
      </c>
      <c r="D5532" s="60" t="s">
        <v>145</v>
      </c>
    </row>
    <row r="5533" spans="1:10">
      <c r="A5533" s="2" t="s">
        <v>141</v>
      </c>
      <c r="B5533" s="2">
        <v>10.7</v>
      </c>
      <c r="C5533" s="2">
        <v>11</v>
      </c>
      <c r="D5533" s="60" t="s">
        <v>159</v>
      </c>
    </row>
    <row r="5534" spans="1:10">
      <c r="A5534" s="2" t="s">
        <v>141</v>
      </c>
      <c r="B5534" s="2">
        <v>10.7</v>
      </c>
      <c r="C5534" s="2">
        <v>11</v>
      </c>
      <c r="D5534" s="60" t="s">
        <v>160</v>
      </c>
    </row>
    <row r="5535" spans="1:10">
      <c r="A5535" s="2" t="s">
        <v>141</v>
      </c>
      <c r="B5535" s="2">
        <v>11</v>
      </c>
      <c r="C5535" s="2">
        <v>11.8</v>
      </c>
      <c r="D5535" s="60" t="s">
        <v>147</v>
      </c>
    </row>
    <row r="5536" spans="1:10">
      <c r="A5536" s="2" t="s">
        <v>141</v>
      </c>
      <c r="B5536" s="2">
        <v>11</v>
      </c>
      <c r="C5536" s="2">
        <v>22.785599999999999</v>
      </c>
      <c r="D5536" s="60" t="s">
        <v>155</v>
      </c>
    </row>
    <row r="5537" spans="1:10">
      <c r="A5537" s="2" t="s">
        <v>141</v>
      </c>
      <c r="B5537" s="2">
        <v>11.8</v>
      </c>
      <c r="C5537" s="2">
        <v>22.785599999999999</v>
      </c>
      <c r="D5537" s="60" t="s">
        <v>144</v>
      </c>
    </row>
    <row r="5538" spans="1:10">
      <c r="A5538" s="2" t="s">
        <v>148</v>
      </c>
      <c r="B5538" s="2" t="s">
        <v>99</v>
      </c>
      <c r="C5538" s="2">
        <v>0.11110200000000001</v>
      </c>
      <c r="D5538" s="60">
        <v>0</v>
      </c>
      <c r="E5538" s="2">
        <v>0</v>
      </c>
      <c r="F5538" s="2">
        <v>0.3</v>
      </c>
      <c r="G5538" s="2">
        <v>67.211299999999994</v>
      </c>
      <c r="H5538" s="2">
        <v>70.225399999999993</v>
      </c>
      <c r="I5538" s="2">
        <v>0</v>
      </c>
      <c r="J5538" s="2">
        <v>0</v>
      </c>
    </row>
    <row r="5539" spans="1:10">
      <c r="A5539" s="2" t="s">
        <v>148</v>
      </c>
      <c r="B5539" s="2" t="s">
        <v>100</v>
      </c>
      <c r="C5539" s="2">
        <v>1.0766100000000001E-2</v>
      </c>
      <c r="D5539" s="60">
        <v>0</v>
      </c>
      <c r="E5539" s="2">
        <v>27.025200000000002</v>
      </c>
      <c r="F5539" s="2">
        <v>2.9672200000000002</v>
      </c>
      <c r="G5539" s="2">
        <v>0</v>
      </c>
      <c r="H5539" s="2">
        <v>10.0001</v>
      </c>
      <c r="I5539" s="2">
        <v>0</v>
      </c>
      <c r="J5539" s="2">
        <v>0</v>
      </c>
    </row>
    <row r="5540" spans="1:10">
      <c r="A5540" s="2" t="s">
        <v>148</v>
      </c>
      <c r="B5540" s="2" t="s">
        <v>98</v>
      </c>
      <c r="C5540" s="2">
        <v>0.280746</v>
      </c>
      <c r="D5540" s="60">
        <v>0</v>
      </c>
      <c r="E5540" s="2">
        <v>18.493300000000001</v>
      </c>
      <c r="F5540" s="2">
        <v>8.5319099999999999</v>
      </c>
      <c r="G5540" s="2">
        <v>10.0001</v>
      </c>
      <c r="H5540" s="2">
        <v>29.5639</v>
      </c>
      <c r="I5540" s="2">
        <v>0</v>
      </c>
      <c r="J5540" s="2">
        <v>0</v>
      </c>
    </row>
    <row r="5541" spans="1:10">
      <c r="A5541" s="2" t="s">
        <v>148</v>
      </c>
      <c r="B5541" s="2" t="s">
        <v>101</v>
      </c>
      <c r="C5541" s="2">
        <v>0.114631</v>
      </c>
      <c r="D5541" s="60">
        <v>0</v>
      </c>
      <c r="E5541" s="2">
        <v>17</v>
      </c>
      <c r="F5541" s="2">
        <v>1.4932799999999999</v>
      </c>
      <c r="G5541" s="2">
        <v>29.5639</v>
      </c>
      <c r="H5541" s="2">
        <v>32.911299999999997</v>
      </c>
      <c r="I5541" s="2">
        <v>0</v>
      </c>
      <c r="J5541" s="2">
        <v>0</v>
      </c>
    </row>
    <row r="5542" spans="1:10">
      <c r="A5542" s="2" t="s">
        <v>148</v>
      </c>
      <c r="B5542" s="2" t="s">
        <v>62</v>
      </c>
      <c r="C5542" s="2">
        <v>0.72268200000000005</v>
      </c>
      <c r="D5542" s="60">
        <v>57.814500000000002</v>
      </c>
      <c r="E5542" s="2">
        <v>11</v>
      </c>
      <c r="F5542" s="2">
        <v>6</v>
      </c>
      <c r="G5542" s="2">
        <v>32.911299999999997</v>
      </c>
      <c r="H5542" s="2">
        <v>44.581899999999997</v>
      </c>
      <c r="I5542" s="2">
        <v>0</v>
      </c>
      <c r="J5542" s="2">
        <v>0</v>
      </c>
    </row>
    <row r="5543" spans="1:10">
      <c r="A5543" s="2" t="s">
        <v>148</v>
      </c>
      <c r="B5543" s="2" t="s">
        <v>101</v>
      </c>
      <c r="C5543" s="2">
        <v>0.112118</v>
      </c>
      <c r="D5543" s="60">
        <v>0</v>
      </c>
      <c r="E5543" s="2">
        <v>10.3</v>
      </c>
      <c r="F5543" s="2">
        <v>0.7</v>
      </c>
      <c r="G5543" s="2">
        <v>44.581899999999997</v>
      </c>
      <c r="H5543" s="2">
        <v>45.7258</v>
      </c>
      <c r="I5543" s="2">
        <v>0</v>
      </c>
      <c r="J5543" s="2">
        <v>0</v>
      </c>
    </row>
    <row r="5544" spans="1:10">
      <c r="A5544" s="2" t="s">
        <v>148</v>
      </c>
      <c r="B5544" s="2" t="s">
        <v>58</v>
      </c>
      <c r="C5544" s="2">
        <v>1.1843399999999999</v>
      </c>
      <c r="D5544" s="60">
        <v>124.355</v>
      </c>
      <c r="E5544" s="2">
        <v>4.3</v>
      </c>
      <c r="F5544" s="2">
        <v>6</v>
      </c>
      <c r="G5544" s="2">
        <v>45.7258</v>
      </c>
      <c r="H5544" s="2">
        <v>54.148099999999999</v>
      </c>
      <c r="I5544" s="2">
        <v>0</v>
      </c>
      <c r="J5544" s="2">
        <v>0</v>
      </c>
    </row>
    <row r="5545" spans="1:10">
      <c r="A5545" s="2" t="s">
        <v>148</v>
      </c>
      <c r="B5545" s="2" t="s">
        <v>62</v>
      </c>
      <c r="C5545" s="2">
        <v>1.0804100000000001</v>
      </c>
      <c r="D5545" s="60">
        <v>86.432900000000004</v>
      </c>
      <c r="E5545" s="2">
        <v>0.3</v>
      </c>
      <c r="F5545" s="2">
        <v>4</v>
      </c>
      <c r="G5545" s="2">
        <v>54.148099999999999</v>
      </c>
      <c r="H5545" s="2">
        <v>67.211299999999994</v>
      </c>
      <c r="I5545" s="2">
        <v>0</v>
      </c>
      <c r="J5545" s="2">
        <v>0</v>
      </c>
    </row>
    <row r="5546" spans="1:10">
      <c r="A5546" s="2" t="s">
        <v>138</v>
      </c>
      <c r="B5546" s="2">
        <v>9</v>
      </c>
      <c r="C5546" s="2">
        <v>19.4832</v>
      </c>
      <c r="D5546" s="60" t="s">
        <v>149</v>
      </c>
    </row>
    <row r="5547" spans="1:10">
      <c r="A5547" s="2" t="s">
        <v>140</v>
      </c>
      <c r="B5547" s="2">
        <v>0</v>
      </c>
      <c r="C5547" s="2">
        <v>53.435600000000001</v>
      </c>
      <c r="D5547" s="60">
        <v>28.066400000000002</v>
      </c>
    </row>
    <row r="5548" spans="1:10">
      <c r="A5548" s="2" t="s">
        <v>141</v>
      </c>
      <c r="B5548" s="2">
        <v>0</v>
      </c>
      <c r="C5548" s="2">
        <v>4.3</v>
      </c>
      <c r="D5548" s="60" t="s">
        <v>142</v>
      </c>
    </row>
    <row r="5549" spans="1:10">
      <c r="A5549" s="2" t="s">
        <v>141</v>
      </c>
      <c r="B5549" s="2">
        <v>0</v>
      </c>
      <c r="C5549" s="2">
        <v>7.9</v>
      </c>
      <c r="D5549" s="60" t="s">
        <v>146</v>
      </c>
    </row>
    <row r="5550" spans="1:10">
      <c r="A5550" s="2" t="s">
        <v>141</v>
      </c>
      <c r="B5550" s="2">
        <v>4.3</v>
      </c>
      <c r="C5550" s="2">
        <v>7.9</v>
      </c>
      <c r="D5550" s="60" t="s">
        <v>145</v>
      </c>
    </row>
    <row r="5551" spans="1:10">
      <c r="A5551" s="2" t="s">
        <v>141</v>
      </c>
      <c r="B5551" s="2">
        <v>7.9</v>
      </c>
      <c r="C5551" s="2">
        <v>10.3</v>
      </c>
      <c r="D5551" s="60" t="s">
        <v>147</v>
      </c>
    </row>
    <row r="5552" spans="1:10">
      <c r="A5552" s="2" t="s">
        <v>141</v>
      </c>
      <c r="B5552" s="2">
        <v>7.9</v>
      </c>
      <c r="C5552" s="2">
        <v>21.4162</v>
      </c>
      <c r="D5552" s="60" t="s">
        <v>155</v>
      </c>
    </row>
    <row r="5553" spans="1:10">
      <c r="A5553" s="2" t="s">
        <v>141</v>
      </c>
      <c r="B5553" s="2">
        <v>10.3</v>
      </c>
      <c r="C5553" s="2">
        <v>21.4162</v>
      </c>
      <c r="D5553" s="60" t="s">
        <v>144</v>
      </c>
    </row>
    <row r="5554" spans="1:10">
      <c r="A5554" s="2" t="s">
        <v>148</v>
      </c>
      <c r="B5554" s="2" t="s">
        <v>99</v>
      </c>
      <c r="C5554" s="2">
        <v>6.7985299999999999E-2</v>
      </c>
      <c r="D5554" s="60">
        <v>0</v>
      </c>
      <c r="E5554" s="2">
        <v>0</v>
      </c>
      <c r="F5554" s="2">
        <v>0.3</v>
      </c>
      <c r="G5554" s="2">
        <v>52.508000000000003</v>
      </c>
      <c r="H5554" s="2">
        <v>55.012799999999999</v>
      </c>
      <c r="I5554" s="2">
        <v>0</v>
      </c>
      <c r="J5554" s="2">
        <v>0</v>
      </c>
    </row>
    <row r="5555" spans="1:10">
      <c r="A5555" s="2" t="s">
        <v>148</v>
      </c>
      <c r="B5555" s="2" t="s">
        <v>100</v>
      </c>
      <c r="C5555" s="2">
        <v>1.36276E-2</v>
      </c>
      <c r="D5555" s="60">
        <v>0</v>
      </c>
      <c r="E5555" s="2">
        <v>24.102699999999999</v>
      </c>
      <c r="F5555" s="2">
        <v>3.96374</v>
      </c>
      <c r="G5555" s="2">
        <v>0</v>
      </c>
      <c r="H5555" s="2">
        <v>10</v>
      </c>
      <c r="I5555" s="2">
        <v>0</v>
      </c>
      <c r="J5555" s="2">
        <v>0</v>
      </c>
    </row>
    <row r="5556" spans="1:10">
      <c r="A5556" s="2" t="s">
        <v>148</v>
      </c>
      <c r="B5556" s="2" t="s">
        <v>98</v>
      </c>
      <c r="C5556" s="2">
        <v>5.7968800000000001E-2</v>
      </c>
      <c r="D5556" s="60">
        <v>0</v>
      </c>
      <c r="E5556" s="2">
        <v>20.245200000000001</v>
      </c>
      <c r="F5556" s="2">
        <v>3.8574899999999999</v>
      </c>
      <c r="G5556" s="2">
        <v>10</v>
      </c>
      <c r="H5556" s="2">
        <v>17.4177</v>
      </c>
      <c r="I5556" s="2">
        <v>0</v>
      </c>
      <c r="J5556" s="2">
        <v>0</v>
      </c>
    </row>
    <row r="5557" spans="1:10">
      <c r="A5557" s="2" t="s">
        <v>148</v>
      </c>
      <c r="B5557" s="2" t="s">
        <v>101</v>
      </c>
      <c r="C5557" s="2">
        <v>5.7289899999999998E-2</v>
      </c>
      <c r="D5557" s="60">
        <v>0</v>
      </c>
      <c r="E5557" s="2">
        <v>18.3</v>
      </c>
      <c r="F5557" s="2">
        <v>1.9452199999999999</v>
      </c>
      <c r="G5557" s="2">
        <v>17.4177</v>
      </c>
      <c r="H5557" s="2">
        <v>21.240400000000001</v>
      </c>
      <c r="I5557" s="2">
        <v>0</v>
      </c>
      <c r="J5557" s="2">
        <v>0</v>
      </c>
    </row>
    <row r="5558" spans="1:10">
      <c r="A5558" s="2" t="s">
        <v>148</v>
      </c>
      <c r="B5558" s="2" t="s">
        <v>63</v>
      </c>
      <c r="C5558" s="2">
        <v>0.19811300000000001</v>
      </c>
      <c r="D5558" s="60">
        <v>13.867900000000001</v>
      </c>
      <c r="E5558" s="2">
        <v>14.3</v>
      </c>
      <c r="F5558" s="2">
        <v>4</v>
      </c>
      <c r="G5558" s="2">
        <v>21.240400000000001</v>
      </c>
      <c r="H5558" s="2">
        <v>28.653099999999998</v>
      </c>
      <c r="I5558" s="2">
        <v>0</v>
      </c>
      <c r="J5558" s="2">
        <v>0</v>
      </c>
    </row>
    <row r="5559" spans="1:10">
      <c r="A5559" s="2" t="s">
        <v>148</v>
      </c>
      <c r="B5559" s="2" t="s">
        <v>62</v>
      </c>
      <c r="C5559" s="2">
        <v>0.32063999999999998</v>
      </c>
      <c r="D5559" s="60">
        <v>25.651199999999999</v>
      </c>
      <c r="E5559" s="2">
        <v>10.3</v>
      </c>
      <c r="F5559" s="2">
        <v>4</v>
      </c>
      <c r="G5559" s="2">
        <v>28.653099999999998</v>
      </c>
      <c r="H5559" s="2">
        <v>34.915500000000002</v>
      </c>
      <c r="I5559" s="2">
        <v>0</v>
      </c>
      <c r="J5559" s="2">
        <v>0</v>
      </c>
    </row>
    <row r="5560" spans="1:10">
      <c r="A5560" s="2" t="s">
        <v>148</v>
      </c>
      <c r="B5560" s="2" t="s">
        <v>62</v>
      </c>
      <c r="C5560" s="2">
        <v>0.70639300000000005</v>
      </c>
      <c r="D5560" s="60">
        <v>56.511400000000002</v>
      </c>
      <c r="E5560" s="2">
        <v>4.3</v>
      </c>
      <c r="F5560" s="2">
        <v>6</v>
      </c>
      <c r="G5560" s="2">
        <v>34.915500000000002</v>
      </c>
      <c r="H5560" s="2">
        <v>42.101900000000001</v>
      </c>
      <c r="I5560" s="2">
        <v>0</v>
      </c>
      <c r="J5560" s="2">
        <v>0</v>
      </c>
    </row>
    <row r="5561" spans="1:10">
      <c r="A5561" s="2" t="s">
        <v>148</v>
      </c>
      <c r="B5561" s="2" t="s">
        <v>55</v>
      </c>
      <c r="C5561" s="2">
        <v>0.65499300000000005</v>
      </c>
      <c r="D5561" s="60">
        <v>94.974000000000004</v>
      </c>
      <c r="E5561" s="2">
        <v>0.3</v>
      </c>
      <c r="F5561" s="2">
        <v>4</v>
      </c>
      <c r="G5561" s="2">
        <v>42.101900000000001</v>
      </c>
      <c r="H5561" s="2">
        <v>52.508000000000003</v>
      </c>
      <c r="I5561" s="2">
        <v>0</v>
      </c>
      <c r="J5561" s="2">
        <v>0</v>
      </c>
    </row>
    <row r="5562" spans="1:10">
      <c r="A5562" s="2" t="s">
        <v>138</v>
      </c>
      <c r="B5562" s="2">
        <v>10</v>
      </c>
      <c r="C5562" s="2">
        <v>19.686699999999998</v>
      </c>
      <c r="D5562" s="60" t="s">
        <v>149</v>
      </c>
    </row>
    <row r="5563" spans="1:10">
      <c r="A5563" s="2" t="s">
        <v>140</v>
      </c>
      <c r="B5563" s="2">
        <v>0</v>
      </c>
      <c r="C5563" s="2">
        <v>61.961599999999997</v>
      </c>
      <c r="D5563" s="60">
        <v>29.1221</v>
      </c>
    </row>
    <row r="5564" spans="1:10">
      <c r="A5564" s="2" t="s">
        <v>141</v>
      </c>
      <c r="B5564" s="2">
        <v>0</v>
      </c>
      <c r="C5564" s="2">
        <v>5.7</v>
      </c>
      <c r="D5564" s="60" t="s">
        <v>142</v>
      </c>
    </row>
    <row r="5565" spans="1:10">
      <c r="A5565" s="2" t="s">
        <v>141</v>
      </c>
      <c r="B5565" s="2">
        <v>0</v>
      </c>
      <c r="C5565" s="2">
        <v>5.7</v>
      </c>
      <c r="D5565" s="60" t="s">
        <v>146</v>
      </c>
    </row>
    <row r="5566" spans="1:10">
      <c r="A5566" s="2" t="s">
        <v>141</v>
      </c>
      <c r="B5566" s="2">
        <v>5.7</v>
      </c>
      <c r="C5566" s="2">
        <v>9.6</v>
      </c>
      <c r="D5566" s="60" t="s">
        <v>144</v>
      </c>
    </row>
    <row r="5567" spans="1:10">
      <c r="A5567" s="2" t="s">
        <v>141</v>
      </c>
      <c r="B5567" s="2">
        <v>5.7</v>
      </c>
      <c r="C5567" s="2">
        <v>22.166799999999999</v>
      </c>
      <c r="D5567" s="60" t="s">
        <v>155</v>
      </c>
    </row>
    <row r="5568" spans="1:10">
      <c r="A5568" s="2" t="s">
        <v>141</v>
      </c>
      <c r="B5568" s="2">
        <v>9.6</v>
      </c>
      <c r="C5568" s="2">
        <v>13.2</v>
      </c>
      <c r="D5568" s="60" t="s">
        <v>145</v>
      </c>
    </row>
    <row r="5569" spans="1:10">
      <c r="A5569" s="2" t="s">
        <v>141</v>
      </c>
      <c r="B5569" s="2">
        <v>13.2</v>
      </c>
      <c r="C5569" s="2">
        <v>22.166799999999999</v>
      </c>
      <c r="D5569" s="60" t="s">
        <v>144</v>
      </c>
    </row>
    <row r="5570" spans="1:10">
      <c r="A5570" s="2" t="s">
        <v>148</v>
      </c>
      <c r="B5570" s="2" t="s">
        <v>99</v>
      </c>
      <c r="C5570" s="2">
        <v>8.8828900000000002E-2</v>
      </c>
      <c r="D5570" s="60">
        <v>0</v>
      </c>
      <c r="E5570" s="2">
        <v>0</v>
      </c>
      <c r="F5570" s="2">
        <v>0.3</v>
      </c>
      <c r="G5570" s="2">
        <v>60.063699999999997</v>
      </c>
      <c r="H5570" s="2">
        <v>62.8322</v>
      </c>
      <c r="I5570" s="2">
        <v>0</v>
      </c>
      <c r="J5570" s="2">
        <v>0</v>
      </c>
    </row>
    <row r="5571" spans="1:10">
      <c r="A5571" s="2" t="s">
        <v>148</v>
      </c>
      <c r="B5571" s="2" t="s">
        <v>100</v>
      </c>
      <c r="C5571" s="2">
        <v>1.20812E-2</v>
      </c>
      <c r="D5571" s="60">
        <v>0</v>
      </c>
      <c r="E5571" s="2">
        <v>25.7148</v>
      </c>
      <c r="F5571" s="2">
        <v>3.4072900000000002</v>
      </c>
      <c r="G5571" s="2">
        <v>0</v>
      </c>
      <c r="H5571" s="2">
        <v>10</v>
      </c>
      <c r="I5571" s="2">
        <v>0</v>
      </c>
      <c r="J5571" s="2">
        <v>0</v>
      </c>
    </row>
    <row r="5572" spans="1:10">
      <c r="A5572" s="2" t="s">
        <v>148</v>
      </c>
      <c r="B5572" s="2" t="s">
        <v>98</v>
      </c>
      <c r="C5572" s="2">
        <v>0.112022</v>
      </c>
      <c r="D5572" s="60">
        <v>0</v>
      </c>
      <c r="E5572" s="2">
        <v>20.2041</v>
      </c>
      <c r="F5572" s="2">
        <v>5.5106799999999998</v>
      </c>
      <c r="G5572" s="2">
        <v>10</v>
      </c>
      <c r="H5572" s="2">
        <v>21.6356</v>
      </c>
      <c r="I5572" s="2">
        <v>0</v>
      </c>
      <c r="J5572" s="2">
        <v>0</v>
      </c>
    </row>
    <row r="5573" spans="1:10">
      <c r="A5573" s="2" t="s">
        <v>148</v>
      </c>
      <c r="B5573" s="2" t="s">
        <v>101</v>
      </c>
      <c r="C5573" s="2">
        <v>2.7754600000000001E-2</v>
      </c>
      <c r="D5573" s="60">
        <v>0</v>
      </c>
      <c r="E5573" s="2">
        <v>19.5</v>
      </c>
      <c r="F5573" s="2">
        <v>0.70413899999999996</v>
      </c>
      <c r="G5573" s="2">
        <v>21.6356</v>
      </c>
      <c r="H5573" s="2">
        <v>23.158999999999999</v>
      </c>
      <c r="I5573" s="2">
        <v>0</v>
      </c>
      <c r="J5573" s="2">
        <v>0</v>
      </c>
    </row>
    <row r="5574" spans="1:10">
      <c r="A5574" s="2" t="s">
        <v>148</v>
      </c>
      <c r="B5574" s="2" t="s">
        <v>63</v>
      </c>
      <c r="C5574" s="2">
        <v>0.23719100000000001</v>
      </c>
      <c r="D5574" s="60">
        <v>16.603400000000001</v>
      </c>
      <c r="E5574" s="2">
        <v>15.5</v>
      </c>
      <c r="F5574" s="2">
        <v>4</v>
      </c>
      <c r="G5574" s="2">
        <v>23.158999999999999</v>
      </c>
      <c r="H5574" s="2">
        <v>31.448899999999998</v>
      </c>
      <c r="I5574" s="2">
        <v>0</v>
      </c>
      <c r="J5574" s="2">
        <v>0</v>
      </c>
    </row>
    <row r="5575" spans="1:10">
      <c r="A5575" s="2" t="s">
        <v>148</v>
      </c>
      <c r="B5575" s="2" t="s">
        <v>62</v>
      </c>
      <c r="C5575" s="2">
        <v>0.389262</v>
      </c>
      <c r="D5575" s="60">
        <v>31.140899999999998</v>
      </c>
      <c r="E5575" s="2">
        <v>11.5</v>
      </c>
      <c r="F5575" s="2">
        <v>4</v>
      </c>
      <c r="G5575" s="2">
        <v>31.448899999999998</v>
      </c>
      <c r="H5575" s="2">
        <v>38.599800000000002</v>
      </c>
      <c r="I5575" s="2">
        <v>0</v>
      </c>
      <c r="J5575" s="2">
        <v>0</v>
      </c>
    </row>
    <row r="5576" spans="1:10">
      <c r="A5576" s="2" t="s">
        <v>148</v>
      </c>
      <c r="B5576" s="2" t="s">
        <v>62</v>
      </c>
      <c r="C5576" s="2">
        <v>0.87082099999999996</v>
      </c>
      <c r="D5576" s="60">
        <v>69.665700000000001</v>
      </c>
      <c r="E5576" s="2">
        <v>5.5</v>
      </c>
      <c r="F5576" s="2">
        <v>6</v>
      </c>
      <c r="G5576" s="2">
        <v>38.599800000000002</v>
      </c>
      <c r="H5576" s="2">
        <v>46.820599999999999</v>
      </c>
      <c r="I5576" s="2">
        <v>0</v>
      </c>
      <c r="J5576" s="2">
        <v>0</v>
      </c>
    </row>
    <row r="5577" spans="1:10">
      <c r="A5577" s="2" t="s">
        <v>148</v>
      </c>
      <c r="B5577" s="2" t="s">
        <v>55</v>
      </c>
      <c r="C5577" s="2">
        <v>1.0733600000000001</v>
      </c>
      <c r="D5577" s="60">
        <v>155.63800000000001</v>
      </c>
      <c r="E5577" s="2">
        <v>0.3</v>
      </c>
      <c r="F5577" s="2">
        <v>5.2</v>
      </c>
      <c r="G5577" s="2">
        <v>46.820599999999999</v>
      </c>
      <c r="H5577" s="2">
        <v>60.063699999999997</v>
      </c>
      <c r="I5577" s="2">
        <v>0</v>
      </c>
      <c r="J5577" s="2">
        <v>0</v>
      </c>
    </row>
    <row r="5578" spans="1:10">
      <c r="A5578" s="2" t="s">
        <v>138</v>
      </c>
      <c r="B5578" s="2">
        <v>11</v>
      </c>
      <c r="C5578" s="2">
        <v>19.418500000000002</v>
      </c>
      <c r="D5578" s="60" t="s">
        <v>139</v>
      </c>
    </row>
    <row r="5579" spans="1:10">
      <c r="A5579" s="2" t="s">
        <v>140</v>
      </c>
      <c r="B5579" s="2">
        <v>0</v>
      </c>
      <c r="C5579" s="2">
        <v>52.063600000000001</v>
      </c>
      <c r="D5579" s="60">
        <v>27.340399999999999</v>
      </c>
    </row>
    <row r="5580" spans="1:10">
      <c r="A5580" s="2" t="s">
        <v>141</v>
      </c>
      <c r="B5580" s="2">
        <v>0</v>
      </c>
      <c r="C5580" s="2">
        <v>6.4</v>
      </c>
      <c r="D5580" s="60" t="s">
        <v>142</v>
      </c>
    </row>
    <row r="5581" spans="1:10">
      <c r="A5581" s="2" t="s">
        <v>141</v>
      </c>
      <c r="B5581" s="2">
        <v>0</v>
      </c>
      <c r="C5581" s="2">
        <v>20.9</v>
      </c>
      <c r="D5581" s="60" t="s">
        <v>146</v>
      </c>
    </row>
    <row r="5582" spans="1:10">
      <c r="A5582" s="2" t="s">
        <v>141</v>
      </c>
      <c r="B5582" s="2">
        <v>6.4</v>
      </c>
      <c r="C5582" s="2">
        <v>8</v>
      </c>
      <c r="D5582" s="60" t="s">
        <v>144</v>
      </c>
    </row>
    <row r="5583" spans="1:10">
      <c r="A5583" s="2" t="s">
        <v>141</v>
      </c>
      <c r="B5583" s="2">
        <v>8</v>
      </c>
      <c r="C5583" s="2">
        <v>15</v>
      </c>
      <c r="D5583" s="60" t="s">
        <v>145</v>
      </c>
    </row>
    <row r="5584" spans="1:10">
      <c r="A5584" s="2" t="s">
        <v>141</v>
      </c>
      <c r="B5584" s="2">
        <v>15</v>
      </c>
      <c r="C5584" s="2">
        <v>20.9</v>
      </c>
      <c r="D5584" s="60" t="s">
        <v>144</v>
      </c>
    </row>
    <row r="5585" spans="1:10">
      <c r="A5585" s="2" t="s">
        <v>148</v>
      </c>
      <c r="B5585" s="2" t="s">
        <v>99</v>
      </c>
      <c r="C5585" s="2">
        <v>6.4785200000000001E-2</v>
      </c>
      <c r="D5585" s="60">
        <v>0</v>
      </c>
      <c r="E5585" s="2">
        <v>0</v>
      </c>
      <c r="F5585" s="2">
        <v>0.3</v>
      </c>
      <c r="G5585" s="2">
        <v>51.2301</v>
      </c>
      <c r="H5585" s="2">
        <v>53.734099999999998</v>
      </c>
      <c r="I5585" s="2">
        <v>0</v>
      </c>
      <c r="J5585" s="2">
        <v>0</v>
      </c>
    </row>
    <row r="5586" spans="1:10">
      <c r="A5586" s="2" t="s">
        <v>148</v>
      </c>
      <c r="B5586" s="2" t="s">
        <v>100</v>
      </c>
      <c r="C5586" s="2">
        <v>1.3628700000000001E-2</v>
      </c>
      <c r="D5586" s="60">
        <v>0</v>
      </c>
      <c r="E5586" s="2">
        <v>23.3537</v>
      </c>
      <c r="F5586" s="2">
        <v>3.9867900000000001</v>
      </c>
      <c r="G5586" s="2">
        <v>0</v>
      </c>
      <c r="H5586" s="2">
        <v>10</v>
      </c>
      <c r="I5586" s="2">
        <v>0</v>
      </c>
      <c r="J5586" s="2">
        <v>0</v>
      </c>
    </row>
    <row r="5587" spans="1:10">
      <c r="A5587" s="2" t="s">
        <v>148</v>
      </c>
      <c r="B5587" s="2" t="s">
        <v>98</v>
      </c>
      <c r="C5587" s="2">
        <v>7.9153600000000005E-2</v>
      </c>
      <c r="D5587" s="60">
        <v>0</v>
      </c>
      <c r="E5587" s="2">
        <v>18.694600000000001</v>
      </c>
      <c r="F5587" s="2">
        <v>4.6590800000000003</v>
      </c>
      <c r="G5587" s="2">
        <v>10</v>
      </c>
      <c r="H5587" s="2">
        <v>19.0426</v>
      </c>
      <c r="I5587" s="2">
        <v>0</v>
      </c>
      <c r="J5587" s="2">
        <v>0</v>
      </c>
    </row>
    <row r="5588" spans="1:10">
      <c r="A5588" s="2" t="s">
        <v>148</v>
      </c>
      <c r="B5588" s="2" t="s">
        <v>101</v>
      </c>
      <c r="C5588" s="2">
        <v>8.6481700000000002E-3</v>
      </c>
      <c r="D5588" s="60">
        <v>0</v>
      </c>
      <c r="E5588" s="2">
        <v>18.399999999999999</v>
      </c>
      <c r="F5588" s="2">
        <v>0.29458499999999999</v>
      </c>
      <c r="G5588" s="2">
        <v>19.0426</v>
      </c>
      <c r="H5588" s="2">
        <v>19.622800000000002</v>
      </c>
      <c r="I5588" s="2">
        <v>0</v>
      </c>
      <c r="J5588" s="2">
        <v>0</v>
      </c>
    </row>
    <row r="5589" spans="1:10">
      <c r="A5589" s="2" t="s">
        <v>148</v>
      </c>
      <c r="B5589" s="2" t="s">
        <v>61</v>
      </c>
      <c r="C5589" s="2">
        <v>0.30558099999999999</v>
      </c>
      <c r="D5589" s="60">
        <v>25.974399999999999</v>
      </c>
      <c r="E5589" s="2">
        <v>12.4</v>
      </c>
      <c r="F5589" s="2">
        <v>6</v>
      </c>
      <c r="G5589" s="2">
        <v>19.622800000000002</v>
      </c>
      <c r="H5589" s="2">
        <v>30.544799999999999</v>
      </c>
      <c r="I5589" s="2">
        <v>0</v>
      </c>
      <c r="J5589" s="2">
        <v>0</v>
      </c>
    </row>
    <row r="5590" spans="1:10">
      <c r="A5590" s="2" t="s">
        <v>148</v>
      </c>
      <c r="B5590" s="2" t="s">
        <v>59</v>
      </c>
      <c r="C5590" s="2">
        <v>0.57487900000000003</v>
      </c>
      <c r="D5590" s="60">
        <v>57.487900000000003</v>
      </c>
      <c r="E5590" s="2">
        <v>6.4</v>
      </c>
      <c r="F5590" s="2">
        <v>6</v>
      </c>
      <c r="G5590" s="2">
        <v>30.544799999999999</v>
      </c>
      <c r="H5590" s="2">
        <v>38.665599999999998</v>
      </c>
      <c r="I5590" s="2">
        <v>0</v>
      </c>
      <c r="J5590" s="2">
        <v>0</v>
      </c>
    </row>
    <row r="5591" spans="1:10">
      <c r="A5591" s="2" t="s">
        <v>148</v>
      </c>
      <c r="B5591" s="2" t="s">
        <v>56</v>
      </c>
      <c r="C5591" s="2">
        <v>0.88364299999999996</v>
      </c>
      <c r="D5591" s="60">
        <v>123.71</v>
      </c>
      <c r="E5591" s="2">
        <v>0.3</v>
      </c>
      <c r="F5591" s="2">
        <v>6.1</v>
      </c>
      <c r="G5591" s="2">
        <v>38.665599999999998</v>
      </c>
      <c r="H5591" s="2">
        <v>51.2301</v>
      </c>
      <c r="I5591" s="2">
        <v>0</v>
      </c>
      <c r="J5591" s="2">
        <v>0</v>
      </c>
    </row>
    <row r="5592" spans="1:10">
      <c r="A5592" s="2" t="s">
        <v>138</v>
      </c>
      <c r="B5592" s="2">
        <v>12</v>
      </c>
      <c r="C5592" s="2">
        <v>19.4682</v>
      </c>
      <c r="D5592" s="60" t="s">
        <v>149</v>
      </c>
    </row>
    <row r="5593" spans="1:10">
      <c r="A5593" s="2" t="s">
        <v>140</v>
      </c>
      <c r="B5593" s="2">
        <v>0</v>
      </c>
      <c r="C5593" s="2">
        <v>52.979199999999999</v>
      </c>
      <c r="D5593" s="60">
        <v>28.005099999999999</v>
      </c>
    </row>
    <row r="5594" spans="1:10">
      <c r="A5594" s="2" t="s">
        <v>141</v>
      </c>
      <c r="B5594" s="2">
        <v>0</v>
      </c>
      <c r="C5594" s="2">
        <v>7.6</v>
      </c>
      <c r="D5594" s="60" t="s">
        <v>142</v>
      </c>
    </row>
    <row r="5595" spans="1:10">
      <c r="A5595" s="2" t="s">
        <v>141</v>
      </c>
      <c r="B5595" s="2">
        <v>0</v>
      </c>
      <c r="C5595" s="2">
        <v>9.6999999999999993</v>
      </c>
      <c r="D5595" s="60" t="s">
        <v>146</v>
      </c>
    </row>
    <row r="5596" spans="1:10">
      <c r="A5596" s="2" t="s">
        <v>141</v>
      </c>
      <c r="B5596" s="2">
        <v>7.6</v>
      </c>
      <c r="C5596" s="2">
        <v>12</v>
      </c>
      <c r="D5596" s="60" t="s">
        <v>145</v>
      </c>
    </row>
    <row r="5597" spans="1:10">
      <c r="A5597" s="2" t="s">
        <v>141</v>
      </c>
      <c r="B5597" s="2">
        <v>9.6999999999999993</v>
      </c>
      <c r="C5597" s="2">
        <v>10.199999999999999</v>
      </c>
      <c r="D5597" s="60" t="s">
        <v>159</v>
      </c>
    </row>
    <row r="5598" spans="1:10">
      <c r="A5598" s="2" t="s">
        <v>141</v>
      </c>
      <c r="B5598" s="2">
        <v>10.199999999999999</v>
      </c>
      <c r="C5598" s="2">
        <v>21.372599999999998</v>
      </c>
      <c r="D5598" s="60" t="s">
        <v>146</v>
      </c>
    </row>
    <row r="5599" spans="1:10">
      <c r="A5599" s="2" t="s">
        <v>141</v>
      </c>
      <c r="B5599" s="2">
        <v>12</v>
      </c>
      <c r="C5599" s="2">
        <v>21.372599999999998</v>
      </c>
      <c r="D5599" s="60" t="s">
        <v>144</v>
      </c>
    </row>
    <row r="5600" spans="1:10">
      <c r="A5600" s="2" t="s">
        <v>148</v>
      </c>
      <c r="B5600" s="2" t="s">
        <v>99</v>
      </c>
      <c r="C5600" s="2">
        <v>6.6939799999999994E-2</v>
      </c>
      <c r="D5600" s="60">
        <v>0</v>
      </c>
      <c r="E5600" s="2">
        <v>0</v>
      </c>
      <c r="F5600" s="2">
        <v>0.3</v>
      </c>
      <c r="G5600" s="2">
        <v>52.1004</v>
      </c>
      <c r="H5600" s="2">
        <v>54.590800000000002</v>
      </c>
      <c r="I5600" s="2">
        <v>0</v>
      </c>
      <c r="J5600" s="2">
        <v>0</v>
      </c>
    </row>
    <row r="5601" spans="1:10">
      <c r="A5601" s="2" t="s">
        <v>148</v>
      </c>
      <c r="B5601" s="2" t="s">
        <v>100</v>
      </c>
      <c r="C5601" s="2">
        <v>1.3716000000000001E-2</v>
      </c>
      <c r="D5601" s="60">
        <v>0</v>
      </c>
      <c r="E5601" s="2">
        <v>24.008199999999999</v>
      </c>
      <c r="F5601" s="2">
        <v>3.9969100000000002</v>
      </c>
      <c r="G5601" s="2">
        <v>0</v>
      </c>
      <c r="H5601" s="2">
        <v>10</v>
      </c>
      <c r="I5601" s="2">
        <v>0</v>
      </c>
      <c r="J5601" s="2">
        <v>0</v>
      </c>
    </row>
    <row r="5602" spans="1:10">
      <c r="A5602" s="2" t="s">
        <v>148</v>
      </c>
      <c r="B5602" s="2" t="s">
        <v>98</v>
      </c>
      <c r="C5602" s="2">
        <v>0.12705900000000001</v>
      </c>
      <c r="D5602" s="60">
        <v>0</v>
      </c>
      <c r="E5602" s="2">
        <v>17.8691</v>
      </c>
      <c r="F5602" s="2">
        <v>6.1391499999999999</v>
      </c>
      <c r="G5602" s="2">
        <v>10</v>
      </c>
      <c r="H5602" s="2">
        <v>21.8322</v>
      </c>
      <c r="I5602" s="2">
        <v>0</v>
      </c>
      <c r="J5602" s="2">
        <v>0</v>
      </c>
    </row>
    <row r="5603" spans="1:10">
      <c r="A5603" s="2" t="s">
        <v>148</v>
      </c>
      <c r="B5603" s="2" t="s">
        <v>101</v>
      </c>
      <c r="C5603" s="2">
        <v>7.2003600000000001E-2</v>
      </c>
      <c r="D5603" s="60">
        <v>0</v>
      </c>
      <c r="E5603" s="2">
        <v>16.2</v>
      </c>
      <c r="F5603" s="2">
        <v>1.6690700000000001</v>
      </c>
      <c r="G5603" s="2">
        <v>21.8322</v>
      </c>
      <c r="H5603" s="2">
        <v>24.984300000000001</v>
      </c>
      <c r="I5603" s="2">
        <v>0</v>
      </c>
      <c r="J5603" s="2">
        <v>0</v>
      </c>
    </row>
    <row r="5604" spans="1:10">
      <c r="A5604" s="2" t="s">
        <v>148</v>
      </c>
      <c r="B5604" s="2" t="s">
        <v>60</v>
      </c>
      <c r="C5604" s="2">
        <v>0.43089899999999998</v>
      </c>
      <c r="D5604" s="60">
        <v>38.780900000000003</v>
      </c>
      <c r="E5604" s="2">
        <v>10.199999999999999</v>
      </c>
      <c r="F5604" s="2">
        <v>6</v>
      </c>
      <c r="G5604" s="2">
        <v>24.984300000000001</v>
      </c>
      <c r="H5604" s="2">
        <v>34.755000000000003</v>
      </c>
      <c r="I5604" s="2">
        <v>0</v>
      </c>
      <c r="J5604" s="2">
        <v>0</v>
      </c>
    </row>
    <row r="5605" spans="1:10">
      <c r="A5605" s="2" t="s">
        <v>148</v>
      </c>
      <c r="B5605" s="2" t="s">
        <v>101</v>
      </c>
      <c r="C5605" s="2">
        <v>6.8247000000000002E-2</v>
      </c>
      <c r="D5605" s="60">
        <v>0</v>
      </c>
      <c r="E5605" s="2">
        <v>9.5</v>
      </c>
      <c r="F5605" s="2">
        <v>0.7</v>
      </c>
      <c r="G5605" s="2">
        <v>34.755000000000003</v>
      </c>
      <c r="H5605" s="2">
        <v>35.701799999999999</v>
      </c>
      <c r="I5605" s="2">
        <v>0</v>
      </c>
      <c r="J5605" s="2">
        <v>0</v>
      </c>
    </row>
    <row r="5606" spans="1:10">
      <c r="A5606" s="2" t="s">
        <v>148</v>
      </c>
      <c r="B5606" s="2" t="s">
        <v>59</v>
      </c>
      <c r="C5606" s="2">
        <v>0.45795200000000003</v>
      </c>
      <c r="D5606" s="60">
        <v>45.795200000000001</v>
      </c>
      <c r="E5606" s="2">
        <v>5.5</v>
      </c>
      <c r="F5606" s="2">
        <v>4</v>
      </c>
      <c r="G5606" s="2">
        <v>35.701799999999999</v>
      </c>
      <c r="H5606" s="2">
        <v>40.449100000000001</v>
      </c>
      <c r="I5606" s="2">
        <v>0</v>
      </c>
      <c r="J5606" s="2">
        <v>0</v>
      </c>
    </row>
    <row r="5607" spans="1:10">
      <c r="A5607" s="2" t="s">
        <v>148</v>
      </c>
      <c r="B5607" s="2" t="s">
        <v>55</v>
      </c>
      <c r="C5607" s="2">
        <v>0.803983</v>
      </c>
      <c r="D5607" s="60">
        <v>116.578</v>
      </c>
      <c r="E5607" s="2">
        <v>0.3</v>
      </c>
      <c r="F5607" s="2">
        <v>5.2</v>
      </c>
      <c r="G5607" s="2">
        <v>40.449100000000001</v>
      </c>
      <c r="H5607" s="2">
        <v>52.1004</v>
      </c>
      <c r="I5607" s="2">
        <v>0</v>
      </c>
      <c r="J5607" s="2">
        <v>0</v>
      </c>
    </row>
    <row r="5608" spans="1:10">
      <c r="A5608" s="2" t="s">
        <v>138</v>
      </c>
      <c r="B5608" s="2">
        <v>13</v>
      </c>
      <c r="C5608" s="2">
        <v>19.676300000000001</v>
      </c>
      <c r="D5608" s="60" t="s">
        <v>149</v>
      </c>
    </row>
    <row r="5609" spans="1:10">
      <c r="A5609" s="2" t="s">
        <v>140</v>
      </c>
      <c r="B5609" s="2">
        <v>0</v>
      </c>
      <c r="C5609" s="2">
        <v>61.371099999999998</v>
      </c>
      <c r="D5609" s="60">
        <v>29.054200000000002</v>
      </c>
    </row>
    <row r="5610" spans="1:10">
      <c r="A5610" s="2" t="s">
        <v>141</v>
      </c>
      <c r="B5610" s="2">
        <v>0</v>
      </c>
      <c r="C5610" s="2">
        <v>7.6</v>
      </c>
      <c r="D5610" s="60" t="s">
        <v>142</v>
      </c>
    </row>
    <row r="5611" spans="1:10">
      <c r="A5611" s="2" t="s">
        <v>141</v>
      </c>
      <c r="B5611" s="2">
        <v>0</v>
      </c>
      <c r="C5611" s="2">
        <v>22.118500000000001</v>
      </c>
      <c r="D5611" s="60" t="s">
        <v>146</v>
      </c>
    </row>
    <row r="5612" spans="1:10">
      <c r="A5612" s="2" t="s">
        <v>141</v>
      </c>
      <c r="B5612" s="2">
        <v>7.6</v>
      </c>
      <c r="C5612" s="2">
        <v>8</v>
      </c>
      <c r="D5612" s="60" t="s">
        <v>147</v>
      </c>
    </row>
    <row r="5613" spans="1:10">
      <c r="A5613" s="2" t="s">
        <v>141</v>
      </c>
      <c r="B5613" s="2">
        <v>8</v>
      </c>
      <c r="C5613" s="2">
        <v>11.6</v>
      </c>
      <c r="D5613" s="60" t="s">
        <v>144</v>
      </c>
    </row>
    <row r="5614" spans="1:10">
      <c r="A5614" s="2" t="s">
        <v>141</v>
      </c>
      <c r="B5614" s="2">
        <v>11.6</v>
      </c>
      <c r="C5614" s="2">
        <v>12</v>
      </c>
      <c r="D5614" s="60" t="s">
        <v>147</v>
      </c>
    </row>
    <row r="5615" spans="1:10">
      <c r="A5615" s="2" t="s">
        <v>141</v>
      </c>
      <c r="B5615" s="2">
        <v>12</v>
      </c>
      <c r="C5615" s="2">
        <v>22.118500000000001</v>
      </c>
      <c r="D5615" s="60" t="s">
        <v>144</v>
      </c>
    </row>
    <row r="5616" spans="1:10">
      <c r="A5616" s="2" t="s">
        <v>148</v>
      </c>
      <c r="B5616" s="2" t="s">
        <v>99</v>
      </c>
      <c r="C5616" s="2">
        <v>8.73057E-2</v>
      </c>
      <c r="D5616" s="60">
        <v>0</v>
      </c>
      <c r="E5616" s="2">
        <v>0</v>
      </c>
      <c r="F5616" s="2">
        <v>0.3</v>
      </c>
      <c r="G5616" s="2">
        <v>59.543799999999997</v>
      </c>
      <c r="H5616" s="2">
        <v>62.2943</v>
      </c>
      <c r="I5616" s="2">
        <v>0</v>
      </c>
      <c r="J5616" s="2">
        <v>0</v>
      </c>
    </row>
    <row r="5617" spans="1:10">
      <c r="A5617" s="2" t="s">
        <v>148</v>
      </c>
      <c r="B5617" s="2" t="s">
        <v>100</v>
      </c>
      <c r="C5617" s="2">
        <v>1.21823E-2</v>
      </c>
      <c r="D5617" s="60">
        <v>0</v>
      </c>
      <c r="E5617" s="2">
        <v>25.611799999999999</v>
      </c>
      <c r="F5617" s="2">
        <v>3.4423300000000001</v>
      </c>
      <c r="G5617" s="2">
        <v>0</v>
      </c>
      <c r="H5617" s="2">
        <v>10</v>
      </c>
      <c r="I5617" s="2">
        <v>0</v>
      </c>
      <c r="J5617" s="2">
        <v>0</v>
      </c>
    </row>
    <row r="5618" spans="1:10">
      <c r="A5618" s="2" t="s">
        <v>148</v>
      </c>
      <c r="B5618" s="2" t="s">
        <v>98</v>
      </c>
      <c r="C5618" s="2">
        <v>3.5457599999999999E-2</v>
      </c>
      <c r="D5618" s="60">
        <v>0</v>
      </c>
      <c r="E5618" s="2">
        <v>22.8857</v>
      </c>
      <c r="F5618" s="2">
        <v>2.7261700000000002</v>
      </c>
      <c r="G5618" s="2">
        <v>10</v>
      </c>
      <c r="H5618" s="2">
        <v>15.593400000000001</v>
      </c>
      <c r="I5618" s="2">
        <v>0</v>
      </c>
      <c r="J5618" s="2">
        <v>0</v>
      </c>
    </row>
    <row r="5619" spans="1:10">
      <c r="A5619" s="2" t="s">
        <v>148</v>
      </c>
      <c r="B5619" s="2" t="s">
        <v>101</v>
      </c>
      <c r="C5619" s="2">
        <v>6.8969500000000003E-2</v>
      </c>
      <c r="D5619" s="60">
        <v>0</v>
      </c>
      <c r="E5619" s="2">
        <v>20.3</v>
      </c>
      <c r="F5619" s="2">
        <v>2.5856699999999999</v>
      </c>
      <c r="G5619" s="2">
        <v>15.593400000000001</v>
      </c>
      <c r="H5619" s="2">
        <v>21.142199999999999</v>
      </c>
      <c r="I5619" s="2">
        <v>0</v>
      </c>
      <c r="J5619" s="2">
        <v>0</v>
      </c>
    </row>
    <row r="5620" spans="1:10">
      <c r="A5620" s="2" t="s">
        <v>148</v>
      </c>
      <c r="B5620" s="2" t="s">
        <v>61</v>
      </c>
      <c r="C5620" s="2">
        <v>0.36027100000000001</v>
      </c>
      <c r="D5620" s="60">
        <v>30.623000000000001</v>
      </c>
      <c r="E5620" s="2">
        <v>14.3</v>
      </c>
      <c r="F5620" s="2">
        <v>6</v>
      </c>
      <c r="G5620" s="2">
        <v>21.142199999999999</v>
      </c>
      <c r="H5620" s="2">
        <v>33.387</v>
      </c>
      <c r="I5620" s="2">
        <v>0</v>
      </c>
      <c r="J5620" s="2">
        <v>0</v>
      </c>
    </row>
    <row r="5621" spans="1:10">
      <c r="A5621" s="2" t="s">
        <v>148</v>
      </c>
      <c r="B5621" s="2" t="s">
        <v>59</v>
      </c>
      <c r="C5621" s="2">
        <v>0.427898</v>
      </c>
      <c r="D5621" s="60">
        <v>42.7898</v>
      </c>
      <c r="E5621" s="2">
        <v>10.3</v>
      </c>
      <c r="F5621" s="2">
        <v>4</v>
      </c>
      <c r="G5621" s="2">
        <v>33.387</v>
      </c>
      <c r="H5621" s="2">
        <v>40.084600000000002</v>
      </c>
      <c r="I5621" s="2">
        <v>0</v>
      </c>
      <c r="J5621" s="2">
        <v>0</v>
      </c>
    </row>
    <row r="5622" spans="1:10">
      <c r="A5622" s="2" t="s">
        <v>148</v>
      </c>
      <c r="B5622" s="2" t="s">
        <v>57</v>
      </c>
      <c r="C5622" s="2">
        <v>0.91963799999999996</v>
      </c>
      <c r="D5622" s="60">
        <v>110.357</v>
      </c>
      <c r="E5622" s="2">
        <v>4.3</v>
      </c>
      <c r="F5622" s="2">
        <v>6</v>
      </c>
      <c r="G5622" s="2">
        <v>40.084600000000002</v>
      </c>
      <c r="H5622" s="2">
        <v>47.863</v>
      </c>
      <c r="I5622" s="2">
        <v>0</v>
      </c>
      <c r="J5622" s="2">
        <v>0</v>
      </c>
    </row>
    <row r="5623" spans="1:10">
      <c r="A5623" s="2" t="s">
        <v>148</v>
      </c>
      <c r="B5623" s="2" t="s">
        <v>55</v>
      </c>
      <c r="C5623" s="2">
        <v>0.84523000000000004</v>
      </c>
      <c r="D5623" s="60">
        <v>122.55800000000001</v>
      </c>
      <c r="E5623" s="2">
        <v>0.3</v>
      </c>
      <c r="F5623" s="2">
        <v>4</v>
      </c>
      <c r="G5623" s="2">
        <v>47.863</v>
      </c>
      <c r="H5623" s="2">
        <v>59.543799999999997</v>
      </c>
      <c r="I5623" s="2">
        <v>0</v>
      </c>
      <c r="J5623" s="2">
        <v>0</v>
      </c>
    </row>
    <row r="5624" spans="1:10">
      <c r="A5624" s="2" t="s">
        <v>138</v>
      </c>
      <c r="B5624" s="2">
        <v>14</v>
      </c>
      <c r="C5624" s="2">
        <v>19.3706</v>
      </c>
      <c r="D5624" s="60" t="s">
        <v>139</v>
      </c>
    </row>
    <row r="5625" spans="1:10">
      <c r="A5625" s="2" t="s">
        <v>140</v>
      </c>
      <c r="B5625" s="2">
        <v>0</v>
      </c>
      <c r="C5625" s="2">
        <v>50.374899999999997</v>
      </c>
      <c r="D5625" s="60">
        <v>27.621700000000001</v>
      </c>
    </row>
    <row r="5626" spans="1:10">
      <c r="A5626" s="2" t="s">
        <v>141</v>
      </c>
      <c r="B5626" s="2">
        <v>0</v>
      </c>
      <c r="C5626" s="2">
        <v>7.1</v>
      </c>
      <c r="D5626" s="60" t="s">
        <v>142</v>
      </c>
    </row>
    <row r="5627" spans="1:10">
      <c r="A5627" s="2" t="s">
        <v>141</v>
      </c>
      <c r="B5627" s="2">
        <v>0</v>
      </c>
      <c r="C5627" s="2">
        <v>21.1</v>
      </c>
      <c r="D5627" s="60" t="s">
        <v>146</v>
      </c>
    </row>
    <row r="5628" spans="1:10">
      <c r="A5628" s="2" t="s">
        <v>141</v>
      </c>
      <c r="B5628" s="2">
        <v>7.1</v>
      </c>
      <c r="C5628" s="2">
        <v>8.6</v>
      </c>
      <c r="D5628" s="60" t="s">
        <v>145</v>
      </c>
    </row>
    <row r="5629" spans="1:10">
      <c r="A5629" s="2" t="s">
        <v>141</v>
      </c>
      <c r="B5629" s="2">
        <v>8.6</v>
      </c>
      <c r="C5629" s="2">
        <v>21.1</v>
      </c>
      <c r="D5629" s="60" t="s">
        <v>144</v>
      </c>
    </row>
    <row r="5630" spans="1:10">
      <c r="A5630" s="2" t="s">
        <v>148</v>
      </c>
      <c r="B5630" s="2" t="s">
        <v>99</v>
      </c>
      <c r="C5630" s="2">
        <v>6.1109799999999999E-2</v>
      </c>
      <c r="D5630" s="60">
        <v>0</v>
      </c>
      <c r="E5630" s="2">
        <v>0</v>
      </c>
      <c r="F5630" s="2">
        <v>0.3</v>
      </c>
      <c r="G5630" s="2">
        <v>49.766100000000002</v>
      </c>
      <c r="H5630" s="2">
        <v>52.1755</v>
      </c>
      <c r="I5630" s="2">
        <v>0</v>
      </c>
      <c r="J5630" s="2">
        <v>0</v>
      </c>
    </row>
    <row r="5631" spans="1:10">
      <c r="A5631" s="2" t="s">
        <v>148</v>
      </c>
      <c r="B5631" s="2" t="s">
        <v>100</v>
      </c>
      <c r="C5631" s="2">
        <v>1.42209E-2</v>
      </c>
      <c r="D5631" s="60">
        <v>0</v>
      </c>
      <c r="E5631" s="2">
        <v>23.4315</v>
      </c>
      <c r="F5631" s="2">
        <v>4.1902499999999998</v>
      </c>
      <c r="G5631" s="2">
        <v>0</v>
      </c>
      <c r="H5631" s="2">
        <v>10</v>
      </c>
      <c r="I5631" s="2">
        <v>0</v>
      </c>
      <c r="J5631" s="2">
        <v>0</v>
      </c>
    </row>
    <row r="5632" spans="1:10">
      <c r="A5632" s="2" t="s">
        <v>148</v>
      </c>
      <c r="B5632" s="2" t="s">
        <v>98</v>
      </c>
      <c r="C5632" s="2">
        <v>0.104378</v>
      </c>
      <c r="D5632" s="60">
        <v>0</v>
      </c>
      <c r="E5632" s="2">
        <v>17.8706</v>
      </c>
      <c r="F5632" s="2">
        <v>5.5608599999999999</v>
      </c>
      <c r="G5632" s="2">
        <v>10</v>
      </c>
      <c r="H5632" s="2">
        <v>20.406199999999998</v>
      </c>
      <c r="I5632" s="2">
        <v>0</v>
      </c>
      <c r="J5632" s="2">
        <v>0</v>
      </c>
    </row>
    <row r="5633" spans="1:10">
      <c r="A5633" s="2" t="s">
        <v>148</v>
      </c>
      <c r="B5633" s="2" t="s">
        <v>101</v>
      </c>
      <c r="C5633" s="2">
        <v>5.4811800000000001E-2</v>
      </c>
      <c r="D5633" s="60">
        <v>0</v>
      </c>
      <c r="E5633" s="2">
        <v>16.399999999999999</v>
      </c>
      <c r="F5633" s="2">
        <v>1.47062</v>
      </c>
      <c r="G5633" s="2">
        <v>20.406199999999998</v>
      </c>
      <c r="H5633" s="2">
        <v>23.119199999999999</v>
      </c>
      <c r="I5633" s="2">
        <v>0</v>
      </c>
      <c r="J5633" s="2">
        <v>0</v>
      </c>
    </row>
    <row r="5634" spans="1:10">
      <c r="A5634" s="2" t="s">
        <v>148</v>
      </c>
      <c r="B5634" s="2" t="s">
        <v>60</v>
      </c>
      <c r="C5634" s="2">
        <v>0.37749100000000002</v>
      </c>
      <c r="D5634" s="60">
        <v>33.974200000000003</v>
      </c>
      <c r="E5634" s="2">
        <v>10.4</v>
      </c>
      <c r="F5634" s="2">
        <v>6</v>
      </c>
      <c r="G5634" s="2">
        <v>23.119199999999999</v>
      </c>
      <c r="H5634" s="2">
        <v>32.7577</v>
      </c>
      <c r="I5634" s="2">
        <v>0</v>
      </c>
      <c r="J5634" s="2">
        <v>0</v>
      </c>
    </row>
    <row r="5635" spans="1:10">
      <c r="A5635" s="2" t="s">
        <v>148</v>
      </c>
      <c r="B5635" s="2" t="s">
        <v>59</v>
      </c>
      <c r="C5635" s="2">
        <v>0.39168199999999997</v>
      </c>
      <c r="D5635" s="60">
        <v>39.168199999999999</v>
      </c>
      <c r="E5635" s="2">
        <v>6.4</v>
      </c>
      <c r="F5635" s="2">
        <v>4</v>
      </c>
      <c r="G5635" s="2">
        <v>32.7577</v>
      </c>
      <c r="H5635" s="2">
        <v>37.6158</v>
      </c>
      <c r="I5635" s="2">
        <v>0</v>
      </c>
      <c r="J5635" s="2">
        <v>0</v>
      </c>
    </row>
    <row r="5636" spans="1:10">
      <c r="A5636" s="2" t="s">
        <v>148</v>
      </c>
      <c r="B5636" s="2" t="s">
        <v>56</v>
      </c>
      <c r="C5636" s="2">
        <v>0.83499400000000001</v>
      </c>
      <c r="D5636" s="60">
        <v>116.899</v>
      </c>
      <c r="E5636" s="2">
        <v>0.3</v>
      </c>
      <c r="F5636" s="2">
        <v>6.1</v>
      </c>
      <c r="G5636" s="2">
        <v>37.6158</v>
      </c>
      <c r="H5636" s="2">
        <v>49.766100000000002</v>
      </c>
      <c r="I5636" s="2">
        <v>0</v>
      </c>
      <c r="J5636" s="2">
        <v>0</v>
      </c>
    </row>
    <row r="5637" spans="1:10">
      <c r="A5637" s="2" t="s">
        <v>138</v>
      </c>
      <c r="B5637" s="2">
        <v>15</v>
      </c>
      <c r="C5637" s="2">
        <v>19.665400000000002</v>
      </c>
      <c r="D5637" s="60" t="s">
        <v>149</v>
      </c>
    </row>
    <row r="5638" spans="1:10">
      <c r="A5638" s="2" t="s">
        <v>140</v>
      </c>
      <c r="B5638" s="2">
        <v>0</v>
      </c>
      <c r="C5638" s="2">
        <v>60.779499999999999</v>
      </c>
      <c r="D5638" s="60">
        <v>28.985399999999998</v>
      </c>
    </row>
    <row r="5639" spans="1:10">
      <c r="A5639" s="2" t="s">
        <v>141</v>
      </c>
      <c r="B5639" s="2">
        <v>0</v>
      </c>
      <c r="C5639" s="2">
        <v>7.3</v>
      </c>
      <c r="D5639" s="60" t="s">
        <v>142</v>
      </c>
    </row>
    <row r="5640" spans="1:10">
      <c r="A5640" s="2" t="s">
        <v>141</v>
      </c>
      <c r="B5640" s="2">
        <v>0</v>
      </c>
      <c r="C5640" s="2">
        <v>11.4</v>
      </c>
      <c r="D5640" s="60" t="s">
        <v>146</v>
      </c>
    </row>
    <row r="5641" spans="1:10">
      <c r="A5641" s="2" t="s">
        <v>141</v>
      </c>
      <c r="B5641" s="2">
        <v>7.3</v>
      </c>
      <c r="C5641" s="2">
        <v>11.8</v>
      </c>
      <c r="D5641" s="60" t="s">
        <v>147</v>
      </c>
    </row>
    <row r="5642" spans="1:10">
      <c r="A5642" s="2" t="s">
        <v>141</v>
      </c>
      <c r="B5642" s="2">
        <v>11.4</v>
      </c>
      <c r="C5642" s="2">
        <v>11.8</v>
      </c>
      <c r="D5642" s="60" t="s">
        <v>159</v>
      </c>
    </row>
    <row r="5643" spans="1:10">
      <c r="A5643" s="2" t="s">
        <v>141</v>
      </c>
      <c r="B5643" s="2">
        <v>11.8</v>
      </c>
      <c r="C5643" s="2">
        <v>22.069600000000001</v>
      </c>
      <c r="D5643" s="60" t="s">
        <v>144</v>
      </c>
    </row>
    <row r="5644" spans="1:10">
      <c r="A5644" s="2" t="s">
        <v>141</v>
      </c>
      <c r="B5644" s="2">
        <v>11.8</v>
      </c>
      <c r="C5644" s="2">
        <v>22.069600000000001</v>
      </c>
      <c r="D5644" s="60" t="s">
        <v>155</v>
      </c>
    </row>
    <row r="5645" spans="1:10">
      <c r="A5645" s="2" t="s">
        <v>148</v>
      </c>
      <c r="B5645" s="2" t="s">
        <v>99</v>
      </c>
      <c r="C5645" s="2">
        <v>8.5791699999999999E-2</v>
      </c>
      <c r="D5645" s="60">
        <v>0</v>
      </c>
      <c r="E5645" s="2">
        <v>0</v>
      </c>
      <c r="F5645" s="2">
        <v>0.3</v>
      </c>
      <c r="G5645" s="2">
        <v>59.022500000000001</v>
      </c>
      <c r="H5645" s="2">
        <v>61.755000000000003</v>
      </c>
      <c r="I5645" s="2">
        <v>0</v>
      </c>
      <c r="J5645" s="2">
        <v>0</v>
      </c>
    </row>
    <row r="5646" spans="1:10">
      <c r="A5646" s="2" t="s">
        <v>148</v>
      </c>
      <c r="B5646" s="2" t="s">
        <v>100</v>
      </c>
      <c r="C5646" s="2">
        <v>1.2284399999999999E-2</v>
      </c>
      <c r="D5646" s="60">
        <v>0</v>
      </c>
      <c r="E5646" s="2">
        <v>25.5075</v>
      </c>
      <c r="F5646" s="2">
        <v>3.4779200000000001</v>
      </c>
      <c r="G5646" s="2">
        <v>0</v>
      </c>
      <c r="H5646" s="2">
        <v>10</v>
      </c>
      <c r="I5646" s="2">
        <v>0</v>
      </c>
      <c r="J5646" s="2">
        <v>0</v>
      </c>
    </row>
    <row r="5647" spans="1:10">
      <c r="A5647" s="2" t="s">
        <v>148</v>
      </c>
      <c r="B5647" s="2" t="s">
        <v>98</v>
      </c>
      <c r="C5647" s="2">
        <v>2.6995999999999999E-2</v>
      </c>
      <c r="D5647" s="60">
        <v>0</v>
      </c>
      <c r="E5647" s="2">
        <v>23.250599999999999</v>
      </c>
      <c r="F5647" s="2">
        <v>2.2568800000000002</v>
      </c>
      <c r="G5647" s="2">
        <v>10</v>
      </c>
      <c r="H5647" s="2">
        <v>14.581</v>
      </c>
      <c r="I5647" s="2">
        <v>0</v>
      </c>
      <c r="J5647" s="2">
        <v>0</v>
      </c>
    </row>
    <row r="5648" spans="1:10">
      <c r="A5648" s="2" t="s">
        <v>148</v>
      </c>
      <c r="B5648" s="2" t="s">
        <v>101</v>
      </c>
      <c r="C5648" s="2">
        <v>2.9645600000000001E-2</v>
      </c>
      <c r="D5648" s="60">
        <v>0</v>
      </c>
      <c r="E5648" s="2">
        <v>21.8</v>
      </c>
      <c r="F5648" s="2">
        <v>1.45061</v>
      </c>
      <c r="G5648" s="2">
        <v>14.581</v>
      </c>
      <c r="H5648" s="2">
        <v>17.644100000000002</v>
      </c>
      <c r="I5648" s="2">
        <v>0</v>
      </c>
      <c r="J5648" s="2">
        <v>0</v>
      </c>
    </row>
    <row r="5649" spans="1:10">
      <c r="A5649" s="2" t="s">
        <v>148</v>
      </c>
      <c r="B5649" s="2" t="s">
        <v>63</v>
      </c>
      <c r="C5649" s="2">
        <v>0.15279899999999999</v>
      </c>
      <c r="D5649" s="60">
        <v>10.6959</v>
      </c>
      <c r="E5649" s="2">
        <v>17.8</v>
      </c>
      <c r="F5649" s="2">
        <v>4</v>
      </c>
      <c r="G5649" s="2">
        <v>17.644100000000002</v>
      </c>
      <c r="H5649" s="2">
        <v>26.148199999999999</v>
      </c>
      <c r="I5649" s="2">
        <v>0</v>
      </c>
      <c r="J5649" s="2">
        <v>0</v>
      </c>
    </row>
    <row r="5650" spans="1:10">
      <c r="A5650" s="2" t="s">
        <v>148</v>
      </c>
      <c r="B5650" s="2" t="s">
        <v>62</v>
      </c>
      <c r="C5650" s="2">
        <v>0.48717700000000003</v>
      </c>
      <c r="D5650" s="60">
        <v>38.974200000000003</v>
      </c>
      <c r="E5650" s="2">
        <v>11.8</v>
      </c>
      <c r="F5650" s="2">
        <v>6</v>
      </c>
      <c r="G5650" s="2">
        <v>26.148199999999999</v>
      </c>
      <c r="H5650" s="2">
        <v>37.369399999999999</v>
      </c>
      <c r="I5650" s="2">
        <v>0</v>
      </c>
      <c r="J5650" s="2">
        <v>0</v>
      </c>
    </row>
    <row r="5651" spans="1:10">
      <c r="A5651" s="2" t="s">
        <v>148</v>
      </c>
      <c r="B5651" s="2" t="s">
        <v>101</v>
      </c>
      <c r="C5651" s="2">
        <v>0.16281799999999999</v>
      </c>
      <c r="D5651" s="60">
        <v>0</v>
      </c>
      <c r="E5651" s="2">
        <v>10.4</v>
      </c>
      <c r="F5651" s="2">
        <v>1.4</v>
      </c>
      <c r="G5651" s="2">
        <v>37.369399999999999</v>
      </c>
      <c r="H5651" s="2">
        <v>39.552100000000003</v>
      </c>
      <c r="I5651" s="2">
        <v>0</v>
      </c>
      <c r="J5651" s="2">
        <v>0</v>
      </c>
    </row>
    <row r="5652" spans="1:10">
      <c r="A5652" s="2" t="s">
        <v>148</v>
      </c>
      <c r="B5652" s="2" t="s">
        <v>59</v>
      </c>
      <c r="C5652" s="2">
        <v>0.56356499999999998</v>
      </c>
      <c r="D5652" s="60">
        <v>56.356499999999997</v>
      </c>
      <c r="E5652" s="2">
        <v>6.4</v>
      </c>
      <c r="F5652" s="2">
        <v>4</v>
      </c>
      <c r="G5652" s="2">
        <v>39.552100000000003</v>
      </c>
      <c r="H5652" s="2">
        <v>44.907299999999999</v>
      </c>
      <c r="I5652" s="2">
        <v>0</v>
      </c>
      <c r="J5652" s="2">
        <v>0</v>
      </c>
    </row>
    <row r="5653" spans="1:10">
      <c r="A5653" s="2" t="s">
        <v>148</v>
      </c>
      <c r="B5653" s="2" t="s">
        <v>55</v>
      </c>
      <c r="C5653" s="2">
        <v>1.1819299999999999</v>
      </c>
      <c r="D5653" s="60">
        <v>171.38</v>
      </c>
      <c r="E5653" s="2">
        <v>0.3</v>
      </c>
      <c r="F5653" s="2">
        <v>6.1</v>
      </c>
      <c r="G5653" s="2">
        <v>44.907299999999999</v>
      </c>
      <c r="H5653" s="2">
        <v>59.022500000000001</v>
      </c>
      <c r="I5653" s="2">
        <v>0</v>
      </c>
      <c r="J5653" s="2">
        <v>0</v>
      </c>
    </row>
    <row r="5654" spans="1:10">
      <c r="A5654" s="2" t="s">
        <v>138</v>
      </c>
      <c r="B5654" s="2">
        <v>16</v>
      </c>
      <c r="C5654" s="2">
        <v>19.209</v>
      </c>
      <c r="D5654" s="60" t="s">
        <v>149</v>
      </c>
    </row>
    <row r="5655" spans="1:10">
      <c r="A5655" s="2" t="s">
        <v>140</v>
      </c>
      <c r="B5655" s="2">
        <v>0</v>
      </c>
      <c r="C5655" s="2">
        <v>46.953400000000002</v>
      </c>
      <c r="D5655" s="60">
        <v>27.148199999999999</v>
      </c>
    </row>
    <row r="5656" spans="1:10">
      <c r="A5656" s="2" t="s">
        <v>141</v>
      </c>
      <c r="B5656" s="2">
        <v>0</v>
      </c>
      <c r="C5656" s="2">
        <v>2</v>
      </c>
      <c r="D5656" s="60" t="s">
        <v>155</v>
      </c>
    </row>
    <row r="5657" spans="1:10">
      <c r="A5657" s="2" t="s">
        <v>141</v>
      </c>
      <c r="B5657" s="2">
        <v>0</v>
      </c>
      <c r="C5657" s="2">
        <v>6</v>
      </c>
      <c r="D5657" s="60" t="s">
        <v>142</v>
      </c>
    </row>
    <row r="5658" spans="1:10">
      <c r="A5658" s="2" t="s">
        <v>141</v>
      </c>
      <c r="B5658" s="2">
        <v>2</v>
      </c>
      <c r="C5658" s="2">
        <v>10.1</v>
      </c>
      <c r="D5658" s="60" t="s">
        <v>146</v>
      </c>
    </row>
    <row r="5659" spans="1:10">
      <c r="A5659" s="2" t="s">
        <v>141</v>
      </c>
      <c r="B5659" s="2">
        <v>6</v>
      </c>
      <c r="C5659" s="2">
        <v>10.5</v>
      </c>
      <c r="D5659" s="60" t="s">
        <v>145</v>
      </c>
    </row>
    <row r="5660" spans="1:10">
      <c r="A5660" s="2" t="s">
        <v>141</v>
      </c>
      <c r="B5660" s="2">
        <v>10.1</v>
      </c>
      <c r="C5660" s="2">
        <v>10.5</v>
      </c>
      <c r="D5660" s="60" t="s">
        <v>159</v>
      </c>
    </row>
    <row r="5661" spans="1:10">
      <c r="A5661" s="2" t="s">
        <v>141</v>
      </c>
      <c r="B5661" s="2">
        <v>10.5</v>
      </c>
      <c r="C5661" s="2">
        <v>20.763300000000001</v>
      </c>
      <c r="D5661" s="60" t="s">
        <v>144</v>
      </c>
    </row>
    <row r="5662" spans="1:10">
      <c r="A5662" s="2" t="s">
        <v>141</v>
      </c>
      <c r="B5662" s="2">
        <v>10.5</v>
      </c>
      <c r="C5662" s="2">
        <v>20.763300000000001</v>
      </c>
      <c r="D5662" s="60" t="s">
        <v>155</v>
      </c>
    </row>
    <row r="5663" spans="1:10">
      <c r="A5663" s="2" t="s">
        <v>148</v>
      </c>
      <c r="B5663" s="2" t="s">
        <v>99</v>
      </c>
      <c r="C5663" s="2">
        <v>5.3819899999999997E-2</v>
      </c>
      <c r="D5663" s="60">
        <v>0</v>
      </c>
      <c r="E5663" s="2">
        <v>0</v>
      </c>
      <c r="F5663" s="2">
        <v>0.3</v>
      </c>
      <c r="G5663" s="2">
        <v>46.686999999999998</v>
      </c>
      <c r="H5663" s="2">
        <v>48.983899999999998</v>
      </c>
      <c r="I5663" s="2">
        <v>0</v>
      </c>
      <c r="J5663" s="2">
        <v>0</v>
      </c>
    </row>
    <row r="5664" spans="1:10">
      <c r="A5664" s="2" t="s">
        <v>148</v>
      </c>
      <c r="B5664" s="2" t="s">
        <v>100</v>
      </c>
      <c r="C5664" s="2">
        <v>1.49491E-2</v>
      </c>
      <c r="D5664" s="60">
        <v>0</v>
      </c>
      <c r="E5664" s="2">
        <v>22.6736</v>
      </c>
      <c r="F5664" s="2">
        <v>4.4746100000000002</v>
      </c>
      <c r="G5664" s="2">
        <v>0</v>
      </c>
      <c r="H5664" s="2">
        <v>10</v>
      </c>
      <c r="I5664" s="2">
        <v>0</v>
      </c>
      <c r="J5664" s="2">
        <v>0</v>
      </c>
    </row>
    <row r="5665" spans="1:10">
      <c r="A5665" s="2" t="s">
        <v>148</v>
      </c>
      <c r="B5665" s="2" t="s">
        <v>98</v>
      </c>
      <c r="C5665" s="2">
        <v>8.5236099999999992E-3</v>
      </c>
      <c r="D5665" s="60">
        <v>0</v>
      </c>
      <c r="E5665" s="2">
        <v>21.746099999999998</v>
      </c>
      <c r="F5665" s="2">
        <v>0.92751899999999998</v>
      </c>
      <c r="G5665" s="2">
        <v>10</v>
      </c>
      <c r="H5665" s="2">
        <v>11.620100000000001</v>
      </c>
      <c r="I5665" s="2">
        <v>0</v>
      </c>
      <c r="J5665" s="2">
        <v>0</v>
      </c>
    </row>
    <row r="5666" spans="1:10">
      <c r="A5666" s="2" t="s">
        <v>148</v>
      </c>
      <c r="B5666" s="2" t="s">
        <v>101</v>
      </c>
      <c r="C5666" s="2">
        <v>5.4592099999999998E-2</v>
      </c>
      <c r="D5666" s="60">
        <v>0</v>
      </c>
      <c r="E5666" s="2">
        <v>18.5</v>
      </c>
      <c r="F5666" s="2">
        <v>3.2460599999999999</v>
      </c>
      <c r="G5666" s="2">
        <v>11.620100000000001</v>
      </c>
      <c r="H5666" s="2">
        <v>17.473500000000001</v>
      </c>
      <c r="I5666" s="2">
        <v>0</v>
      </c>
      <c r="J5666" s="2">
        <v>0</v>
      </c>
    </row>
    <row r="5667" spans="1:10">
      <c r="A5667" s="2" t="s">
        <v>148</v>
      </c>
      <c r="B5667" s="2" t="s">
        <v>63</v>
      </c>
      <c r="C5667" s="2">
        <v>0.13998099999999999</v>
      </c>
      <c r="D5667" s="60">
        <v>9.7986699999999995</v>
      </c>
      <c r="E5667" s="2">
        <v>14.5</v>
      </c>
      <c r="F5667" s="2">
        <v>4</v>
      </c>
      <c r="G5667" s="2">
        <v>17.473500000000001</v>
      </c>
      <c r="H5667" s="2">
        <v>24.434799999999999</v>
      </c>
      <c r="I5667" s="2">
        <v>0</v>
      </c>
      <c r="J5667" s="2">
        <v>0</v>
      </c>
    </row>
    <row r="5668" spans="1:10">
      <c r="A5668" s="2" t="s">
        <v>148</v>
      </c>
      <c r="B5668" s="2" t="s">
        <v>63</v>
      </c>
      <c r="C5668" s="2">
        <v>0.23876700000000001</v>
      </c>
      <c r="D5668" s="60">
        <v>16.713699999999999</v>
      </c>
      <c r="E5668" s="2">
        <v>10.5</v>
      </c>
      <c r="F5668" s="2">
        <v>4</v>
      </c>
      <c r="G5668" s="2">
        <v>24.434799999999999</v>
      </c>
      <c r="H5668" s="2">
        <v>30.3873</v>
      </c>
      <c r="I5668" s="2">
        <v>0</v>
      </c>
      <c r="J5668" s="2">
        <v>0</v>
      </c>
    </row>
    <row r="5669" spans="1:10">
      <c r="A5669" s="2" t="s">
        <v>148</v>
      </c>
      <c r="B5669" s="2" t="s">
        <v>101</v>
      </c>
      <c r="C5669" s="2">
        <v>3.70517E-2</v>
      </c>
      <c r="D5669" s="60">
        <v>0</v>
      </c>
      <c r="E5669" s="2">
        <v>10</v>
      </c>
      <c r="F5669" s="2">
        <v>0.5</v>
      </c>
      <c r="G5669" s="2">
        <v>30.3873</v>
      </c>
      <c r="H5669" s="2">
        <v>31.041499999999999</v>
      </c>
      <c r="I5669" s="2">
        <v>0</v>
      </c>
      <c r="J5669" s="2">
        <v>0</v>
      </c>
    </row>
    <row r="5670" spans="1:10">
      <c r="A5670" s="2" t="s">
        <v>148</v>
      </c>
      <c r="B5670" s="2" t="s">
        <v>59</v>
      </c>
      <c r="C5670" s="2">
        <v>0.35136200000000001</v>
      </c>
      <c r="D5670" s="60">
        <v>35.136200000000002</v>
      </c>
      <c r="E5670" s="2">
        <v>6</v>
      </c>
      <c r="F5670" s="2">
        <v>4</v>
      </c>
      <c r="G5670" s="2">
        <v>31.041499999999999</v>
      </c>
      <c r="H5670" s="2">
        <v>35.6145</v>
      </c>
      <c r="I5670" s="2">
        <v>0</v>
      </c>
      <c r="J5670" s="2">
        <v>0</v>
      </c>
    </row>
    <row r="5671" spans="1:10">
      <c r="A5671" s="2" t="s">
        <v>148</v>
      </c>
      <c r="B5671" s="2" t="s">
        <v>56</v>
      </c>
      <c r="C5671" s="2">
        <v>0.44814100000000001</v>
      </c>
      <c r="D5671" s="60">
        <v>62.739699999999999</v>
      </c>
      <c r="E5671" s="2">
        <v>2</v>
      </c>
      <c r="F5671" s="2">
        <v>4</v>
      </c>
      <c r="G5671" s="2">
        <v>35.6145</v>
      </c>
      <c r="H5671" s="2">
        <v>40.341700000000003</v>
      </c>
      <c r="I5671" s="2">
        <v>0</v>
      </c>
      <c r="J5671" s="2">
        <v>0</v>
      </c>
    </row>
    <row r="5672" spans="1:10">
      <c r="A5672" s="2" t="s">
        <v>148</v>
      </c>
      <c r="B5672" s="2" t="s">
        <v>101</v>
      </c>
      <c r="C5672" s="2">
        <v>0.24565000000000001</v>
      </c>
      <c r="D5672" s="60">
        <v>0</v>
      </c>
      <c r="E5672" s="2">
        <v>0.3</v>
      </c>
      <c r="F5672" s="2">
        <v>1.7</v>
      </c>
      <c r="G5672" s="2">
        <v>40.341700000000003</v>
      </c>
      <c r="H5672" s="2">
        <v>46.686999999999998</v>
      </c>
      <c r="I5672" s="2">
        <v>0</v>
      </c>
      <c r="J5672" s="2">
        <v>0</v>
      </c>
    </row>
    <row r="5673" spans="1:10">
      <c r="A5673" s="2" t="s">
        <v>138</v>
      </c>
      <c r="B5673" s="2">
        <v>17</v>
      </c>
      <c r="C5673" s="2">
        <v>18.323</v>
      </c>
      <c r="D5673" s="60" t="s">
        <v>139</v>
      </c>
    </row>
    <row r="5674" spans="1:10">
      <c r="A5674" s="2" t="s">
        <v>140</v>
      </c>
      <c r="B5674" s="2">
        <v>0</v>
      </c>
      <c r="C5674" s="2">
        <v>38.0486</v>
      </c>
      <c r="D5674" s="60">
        <v>24.246300000000002</v>
      </c>
    </row>
    <row r="5675" spans="1:10">
      <c r="A5675" s="2" t="s">
        <v>141</v>
      </c>
      <c r="B5675" s="2">
        <v>0</v>
      </c>
      <c r="C5675" s="2">
        <v>1.3</v>
      </c>
      <c r="D5675" s="60" t="s">
        <v>158</v>
      </c>
    </row>
    <row r="5676" spans="1:10">
      <c r="A5676" s="2" t="s">
        <v>141</v>
      </c>
      <c r="B5676" s="2">
        <v>0</v>
      </c>
      <c r="C5676" s="2">
        <v>3.8</v>
      </c>
      <c r="D5676" s="60" t="s">
        <v>142</v>
      </c>
    </row>
    <row r="5677" spans="1:10">
      <c r="A5677" s="2" t="s">
        <v>141</v>
      </c>
      <c r="B5677" s="2">
        <v>0</v>
      </c>
      <c r="C5677" s="2">
        <v>18.7</v>
      </c>
      <c r="D5677" s="60" t="s">
        <v>155</v>
      </c>
    </row>
    <row r="5678" spans="1:10">
      <c r="A5678" s="2" t="s">
        <v>141</v>
      </c>
      <c r="B5678" s="2">
        <v>1.3</v>
      </c>
      <c r="C5678" s="2">
        <v>1.6</v>
      </c>
      <c r="D5678" s="60" t="s">
        <v>174</v>
      </c>
    </row>
    <row r="5679" spans="1:10">
      <c r="A5679" s="2" t="s">
        <v>141</v>
      </c>
      <c r="B5679" s="2">
        <v>3.8</v>
      </c>
      <c r="C5679" s="2">
        <v>4.8</v>
      </c>
      <c r="D5679" s="60" t="s">
        <v>144</v>
      </c>
    </row>
    <row r="5680" spans="1:10">
      <c r="A5680" s="2" t="s">
        <v>141</v>
      </c>
      <c r="B5680" s="2">
        <v>4.8</v>
      </c>
      <c r="C5680" s="2">
        <v>5.2</v>
      </c>
      <c r="D5680" s="60" t="s">
        <v>145</v>
      </c>
    </row>
    <row r="5681" spans="1:10">
      <c r="A5681" s="2" t="s">
        <v>141</v>
      </c>
      <c r="B5681" s="2">
        <v>5.2</v>
      </c>
      <c r="C5681" s="2">
        <v>18.7</v>
      </c>
      <c r="D5681" s="60" t="s">
        <v>144</v>
      </c>
    </row>
    <row r="5682" spans="1:10">
      <c r="A5682" s="2" t="s">
        <v>148</v>
      </c>
      <c r="B5682" s="2" t="s">
        <v>99</v>
      </c>
      <c r="C5682" s="2">
        <v>3.6679400000000001E-2</v>
      </c>
      <c r="D5682" s="60">
        <v>0</v>
      </c>
      <c r="E5682" s="2">
        <v>0</v>
      </c>
      <c r="F5682" s="2">
        <v>0.3</v>
      </c>
      <c r="G5682" s="2">
        <v>38.448999999999998</v>
      </c>
      <c r="H5682" s="2">
        <v>40.548299999999998</v>
      </c>
      <c r="I5682" s="2">
        <v>0</v>
      </c>
      <c r="J5682" s="2">
        <v>0</v>
      </c>
    </row>
    <row r="5683" spans="1:10">
      <c r="A5683" s="2" t="s">
        <v>148</v>
      </c>
      <c r="B5683" s="2" t="s">
        <v>100</v>
      </c>
      <c r="C5683" s="2">
        <v>1.6119000000000001E-2</v>
      </c>
      <c r="D5683" s="60">
        <v>0</v>
      </c>
      <c r="E5683" s="2">
        <v>19.189599999999999</v>
      </c>
      <c r="F5683" s="2">
        <v>5.0567599999999997</v>
      </c>
      <c r="G5683" s="2">
        <v>0</v>
      </c>
      <c r="H5683" s="2">
        <v>10</v>
      </c>
      <c r="I5683" s="2">
        <v>0</v>
      </c>
      <c r="J5683" s="2">
        <v>0</v>
      </c>
    </row>
    <row r="5684" spans="1:10">
      <c r="A5684" s="2" t="s">
        <v>148</v>
      </c>
      <c r="B5684" s="2" t="s">
        <v>98</v>
      </c>
      <c r="C5684" s="2">
        <v>4.4777600000000001E-2</v>
      </c>
      <c r="D5684" s="60">
        <v>0</v>
      </c>
      <c r="E5684" s="2">
        <v>15.7881</v>
      </c>
      <c r="F5684" s="2">
        <v>3.4014600000000002</v>
      </c>
      <c r="G5684" s="2">
        <v>10</v>
      </c>
      <c r="H5684" s="2">
        <v>15.6907</v>
      </c>
      <c r="I5684" s="2">
        <v>0</v>
      </c>
      <c r="J5684" s="2">
        <v>0</v>
      </c>
    </row>
    <row r="5685" spans="1:10">
      <c r="A5685" s="2" t="s">
        <v>148</v>
      </c>
      <c r="B5685" s="2" t="s">
        <v>101</v>
      </c>
      <c r="C5685" s="2">
        <v>3.70988E-3</v>
      </c>
      <c r="D5685" s="60">
        <v>0</v>
      </c>
      <c r="E5685" s="2">
        <v>15.6</v>
      </c>
      <c r="F5685" s="2">
        <v>0.18809600000000001</v>
      </c>
      <c r="G5685" s="2">
        <v>15.6907</v>
      </c>
      <c r="H5685" s="2">
        <v>16.002500000000001</v>
      </c>
      <c r="I5685" s="2">
        <v>0</v>
      </c>
      <c r="J5685" s="2">
        <v>0</v>
      </c>
    </row>
    <row r="5686" spans="1:10">
      <c r="A5686" s="2" t="s">
        <v>148</v>
      </c>
      <c r="B5686" s="2" t="s">
        <v>63</v>
      </c>
      <c r="C5686" s="2">
        <v>0.116658</v>
      </c>
      <c r="D5686" s="60">
        <v>8.1660799999999991</v>
      </c>
      <c r="E5686" s="2">
        <v>11.6</v>
      </c>
      <c r="F5686" s="2">
        <v>4</v>
      </c>
      <c r="G5686" s="2">
        <v>16.002500000000001</v>
      </c>
      <c r="H5686" s="2">
        <v>22.209199999999999</v>
      </c>
      <c r="I5686" s="2">
        <v>0</v>
      </c>
      <c r="J5686" s="2">
        <v>0</v>
      </c>
    </row>
    <row r="5687" spans="1:10">
      <c r="A5687" s="2" t="s">
        <v>148</v>
      </c>
      <c r="B5687" s="2" t="s">
        <v>63</v>
      </c>
      <c r="C5687" s="2">
        <v>0.19422200000000001</v>
      </c>
      <c r="D5687" s="60">
        <v>13.595499999999999</v>
      </c>
      <c r="E5687" s="2">
        <v>7.6</v>
      </c>
      <c r="F5687" s="2">
        <v>4</v>
      </c>
      <c r="G5687" s="2">
        <v>22.209199999999999</v>
      </c>
      <c r="H5687" s="2">
        <v>27.212399999999999</v>
      </c>
      <c r="I5687" s="2">
        <v>0</v>
      </c>
      <c r="J5687" s="2">
        <v>0</v>
      </c>
    </row>
    <row r="5688" spans="1:10">
      <c r="A5688" s="2" t="s">
        <v>148</v>
      </c>
      <c r="B5688" s="2" t="s">
        <v>62</v>
      </c>
      <c r="C5688" s="2">
        <v>0.43251899999999999</v>
      </c>
      <c r="D5688" s="60">
        <v>34.601500000000001</v>
      </c>
      <c r="E5688" s="2">
        <v>1.6</v>
      </c>
      <c r="F5688" s="2">
        <v>6</v>
      </c>
      <c r="G5688" s="2">
        <v>27.212399999999999</v>
      </c>
      <c r="H5688" s="2">
        <v>33.750700000000002</v>
      </c>
      <c r="I5688" s="2">
        <v>0</v>
      </c>
      <c r="J5688" s="2">
        <v>0</v>
      </c>
    </row>
    <row r="5689" spans="1:10">
      <c r="A5689" s="2" t="s">
        <v>148</v>
      </c>
      <c r="B5689" s="2" t="s">
        <v>101</v>
      </c>
      <c r="C5689" s="2">
        <v>0.130111</v>
      </c>
      <c r="D5689" s="60">
        <v>0</v>
      </c>
      <c r="E5689" s="2">
        <v>0.3</v>
      </c>
      <c r="F5689" s="2">
        <v>1.3</v>
      </c>
      <c r="G5689" s="2">
        <v>33.750700000000002</v>
      </c>
      <c r="H5689" s="2">
        <v>38.448999999999998</v>
      </c>
      <c r="I5689" s="2">
        <v>0</v>
      </c>
      <c r="J5689" s="2">
        <v>0</v>
      </c>
    </row>
    <row r="5690" spans="1:10">
      <c r="A5690" s="2" t="s">
        <v>130</v>
      </c>
      <c r="B5690" s="2" t="s">
        <v>131</v>
      </c>
      <c r="C5690" s="2" t="s">
        <v>274</v>
      </c>
      <c r="D5690" s="60" t="s">
        <v>133</v>
      </c>
      <c r="E5690" s="2">
        <v>12</v>
      </c>
      <c r="F5690" s="2">
        <v>2016</v>
      </c>
    </row>
    <row r="5691" spans="1:10">
      <c r="A5691" s="2" t="s">
        <v>134</v>
      </c>
      <c r="B5691" s="2" t="s">
        <v>81</v>
      </c>
      <c r="C5691" s="2">
        <v>28</v>
      </c>
      <c r="D5691" s="60" t="s">
        <v>262</v>
      </c>
      <c r="E5691" s="2" t="s">
        <v>136</v>
      </c>
      <c r="F5691" s="2" t="s">
        <v>171</v>
      </c>
    </row>
    <row r="5692" spans="1:10">
      <c r="A5692" s="2" t="s">
        <v>138</v>
      </c>
      <c r="B5692" s="2">
        <v>1</v>
      </c>
      <c r="C5692" s="2">
        <v>19.4832</v>
      </c>
      <c r="D5692" s="60" t="s">
        <v>149</v>
      </c>
    </row>
    <row r="5693" spans="1:10">
      <c r="A5693" s="2" t="s">
        <v>140</v>
      </c>
      <c r="B5693" s="2">
        <v>0</v>
      </c>
      <c r="C5693" s="2">
        <v>52.458500000000001</v>
      </c>
      <c r="D5693" s="60">
        <v>27.9193</v>
      </c>
    </row>
    <row r="5694" spans="1:10">
      <c r="A5694" s="2" t="s">
        <v>141</v>
      </c>
      <c r="B5694" s="2">
        <v>0</v>
      </c>
      <c r="C5694" s="2">
        <v>3</v>
      </c>
      <c r="D5694" s="60" t="s">
        <v>142</v>
      </c>
    </row>
    <row r="5695" spans="1:10">
      <c r="A5695" s="2" t="s">
        <v>141</v>
      </c>
      <c r="B5695" s="2">
        <v>0</v>
      </c>
      <c r="C5695" s="2">
        <v>5</v>
      </c>
      <c r="D5695" s="60" t="s">
        <v>146</v>
      </c>
    </row>
    <row r="5696" spans="1:10">
      <c r="A5696" s="2" t="s">
        <v>141</v>
      </c>
      <c r="B5696" s="2">
        <v>3</v>
      </c>
      <c r="C5696" s="2">
        <v>5</v>
      </c>
      <c r="D5696" s="60" t="s">
        <v>145</v>
      </c>
    </row>
    <row r="5697" spans="1:10">
      <c r="A5697" s="2" t="s">
        <v>141</v>
      </c>
      <c r="B5697" s="2">
        <v>5</v>
      </c>
      <c r="C5697" s="2">
        <v>5.5</v>
      </c>
      <c r="D5697" s="60" t="s">
        <v>151</v>
      </c>
    </row>
    <row r="5698" spans="1:10">
      <c r="A5698" s="2" t="s">
        <v>141</v>
      </c>
      <c r="B5698" s="2">
        <v>5</v>
      </c>
      <c r="C5698" s="2">
        <v>5.5</v>
      </c>
      <c r="D5698" s="60" t="s">
        <v>161</v>
      </c>
    </row>
    <row r="5699" spans="1:10">
      <c r="A5699" s="2" t="s">
        <v>141</v>
      </c>
      <c r="B5699" s="2">
        <v>5.5</v>
      </c>
      <c r="C5699" s="2">
        <v>13.6</v>
      </c>
      <c r="D5699" s="60" t="s">
        <v>145</v>
      </c>
    </row>
    <row r="5700" spans="1:10">
      <c r="A5700" s="2" t="s">
        <v>141</v>
      </c>
      <c r="B5700" s="2">
        <v>5.5</v>
      </c>
      <c r="C5700" s="2">
        <v>21.516100000000002</v>
      </c>
      <c r="D5700" s="60" t="s">
        <v>146</v>
      </c>
    </row>
    <row r="5701" spans="1:10">
      <c r="A5701" s="2" t="s">
        <v>141</v>
      </c>
      <c r="B5701" s="2">
        <v>13.6</v>
      </c>
      <c r="C5701" s="2">
        <v>21.516100000000002</v>
      </c>
      <c r="D5701" s="60" t="s">
        <v>144</v>
      </c>
    </row>
    <row r="5702" spans="1:10">
      <c r="A5702" s="2" t="s">
        <v>148</v>
      </c>
      <c r="B5702" s="2" t="s">
        <v>99</v>
      </c>
      <c r="C5702" s="2">
        <v>6.5753599999999995E-2</v>
      </c>
      <c r="D5702" s="60">
        <v>0</v>
      </c>
      <c r="E5702" s="2">
        <v>0</v>
      </c>
      <c r="F5702" s="2">
        <v>0.3</v>
      </c>
      <c r="G5702" s="2">
        <v>51.633499999999998</v>
      </c>
      <c r="H5702" s="2">
        <v>54.108699999999999</v>
      </c>
      <c r="I5702" s="2">
        <v>0</v>
      </c>
      <c r="J5702" s="2">
        <v>0</v>
      </c>
    </row>
    <row r="5703" spans="1:10">
      <c r="A5703" s="2" t="s">
        <v>148</v>
      </c>
      <c r="B5703" s="2" t="s">
        <v>100</v>
      </c>
      <c r="C5703" s="2">
        <v>1.38102E-2</v>
      </c>
      <c r="D5703" s="60">
        <v>0</v>
      </c>
      <c r="E5703" s="2">
        <v>23.886299999999999</v>
      </c>
      <c r="F5703" s="2">
        <v>4.0330500000000002</v>
      </c>
      <c r="G5703" s="2">
        <v>0</v>
      </c>
      <c r="H5703" s="2">
        <v>10</v>
      </c>
      <c r="I5703" s="2">
        <v>0</v>
      </c>
      <c r="J5703" s="2">
        <v>0</v>
      </c>
    </row>
    <row r="5704" spans="1:10">
      <c r="A5704" s="2" t="s">
        <v>148</v>
      </c>
      <c r="B5704" s="2" t="s">
        <v>101</v>
      </c>
      <c r="C5704" s="2">
        <v>2.8318699999999999E-2</v>
      </c>
      <c r="D5704" s="60">
        <v>0</v>
      </c>
      <c r="E5704" s="2">
        <v>21.5</v>
      </c>
      <c r="F5704" s="2">
        <v>2.3862899999999998</v>
      </c>
      <c r="G5704" s="2">
        <v>10</v>
      </c>
      <c r="H5704" s="2">
        <v>14.488799999999999</v>
      </c>
      <c r="I5704" s="2">
        <v>0</v>
      </c>
      <c r="J5704" s="2">
        <v>0</v>
      </c>
    </row>
    <row r="5705" spans="1:10">
      <c r="A5705" s="2" t="s">
        <v>148</v>
      </c>
      <c r="B5705" s="2" t="s">
        <v>63</v>
      </c>
      <c r="C5705" s="2">
        <v>0.107631</v>
      </c>
      <c r="D5705" s="60">
        <v>7.5341500000000003</v>
      </c>
      <c r="E5705" s="2">
        <v>17.5</v>
      </c>
      <c r="F5705" s="2">
        <v>4</v>
      </c>
      <c r="G5705" s="2">
        <v>14.488799999999999</v>
      </c>
      <c r="H5705" s="2">
        <v>22.238800000000001</v>
      </c>
      <c r="I5705" s="2">
        <v>0</v>
      </c>
      <c r="J5705" s="2">
        <v>0</v>
      </c>
    </row>
    <row r="5706" spans="1:10">
      <c r="A5706" s="2" t="s">
        <v>148</v>
      </c>
      <c r="B5706" s="2" t="s">
        <v>60</v>
      </c>
      <c r="C5706" s="2">
        <v>0.363232</v>
      </c>
      <c r="D5706" s="60">
        <v>32.690899999999999</v>
      </c>
      <c r="E5706" s="2">
        <v>11.5</v>
      </c>
      <c r="F5706" s="2">
        <v>6</v>
      </c>
      <c r="G5706" s="2">
        <v>22.238800000000001</v>
      </c>
      <c r="H5706" s="2">
        <v>32.543900000000001</v>
      </c>
      <c r="I5706" s="2">
        <v>0</v>
      </c>
      <c r="J5706" s="2">
        <v>0</v>
      </c>
    </row>
    <row r="5707" spans="1:10">
      <c r="A5707" s="2" t="s">
        <v>148</v>
      </c>
      <c r="B5707" s="2" t="s">
        <v>59</v>
      </c>
      <c r="C5707" s="2">
        <v>0.63066500000000003</v>
      </c>
      <c r="D5707" s="60">
        <v>63.066499999999998</v>
      </c>
      <c r="E5707" s="2">
        <v>5.5</v>
      </c>
      <c r="F5707" s="2">
        <v>6</v>
      </c>
      <c r="G5707" s="2">
        <v>32.543900000000001</v>
      </c>
      <c r="H5707" s="2">
        <v>40.073599999999999</v>
      </c>
      <c r="I5707" s="2">
        <v>0</v>
      </c>
      <c r="J5707" s="2">
        <v>0</v>
      </c>
    </row>
    <row r="5708" spans="1:10">
      <c r="A5708" s="2" t="s">
        <v>148</v>
      </c>
      <c r="B5708" s="2" t="s">
        <v>101</v>
      </c>
      <c r="C5708" s="2">
        <v>0.156335</v>
      </c>
      <c r="D5708" s="60">
        <v>0</v>
      </c>
      <c r="E5708" s="2">
        <v>4.3</v>
      </c>
      <c r="F5708" s="2">
        <v>1.2</v>
      </c>
      <c r="G5708" s="2">
        <v>40.073599999999999</v>
      </c>
      <c r="H5708" s="2">
        <v>41.384799999999998</v>
      </c>
      <c r="I5708" s="2">
        <v>0</v>
      </c>
      <c r="J5708" s="2">
        <v>0</v>
      </c>
    </row>
    <row r="5709" spans="1:10">
      <c r="A5709" s="2" t="s">
        <v>148</v>
      </c>
      <c r="B5709" s="2" t="s">
        <v>57</v>
      </c>
      <c r="C5709" s="2">
        <v>0.633023</v>
      </c>
      <c r="D5709" s="60">
        <v>75.962800000000001</v>
      </c>
      <c r="E5709" s="2">
        <v>0.3</v>
      </c>
      <c r="F5709" s="2">
        <v>4</v>
      </c>
      <c r="G5709" s="2">
        <v>41.384799999999998</v>
      </c>
      <c r="H5709" s="2">
        <v>51.633499999999998</v>
      </c>
      <c r="I5709" s="2">
        <v>0</v>
      </c>
      <c r="J5709" s="2">
        <v>0</v>
      </c>
    </row>
    <row r="5710" spans="1:10">
      <c r="A5710" s="2" t="s">
        <v>138</v>
      </c>
      <c r="B5710" s="2">
        <v>2</v>
      </c>
      <c r="C5710" s="2">
        <v>19.575800000000001</v>
      </c>
      <c r="D5710" s="60" t="s">
        <v>139</v>
      </c>
    </row>
    <row r="5711" spans="1:10">
      <c r="A5711" s="2" t="s">
        <v>140</v>
      </c>
      <c r="B5711" s="2">
        <v>0</v>
      </c>
      <c r="C5711" s="2">
        <v>54.232900000000001</v>
      </c>
      <c r="D5711" s="60">
        <v>29.7378</v>
      </c>
    </row>
    <row r="5712" spans="1:10">
      <c r="A5712" s="2" t="s">
        <v>141</v>
      </c>
      <c r="B5712" s="2">
        <v>0</v>
      </c>
      <c r="C5712" s="2">
        <v>4.3</v>
      </c>
      <c r="D5712" s="60" t="s">
        <v>155</v>
      </c>
    </row>
    <row r="5713" spans="1:10">
      <c r="A5713" s="2" t="s">
        <v>141</v>
      </c>
      <c r="B5713" s="2">
        <v>0</v>
      </c>
      <c r="C5713" s="2">
        <v>7</v>
      </c>
      <c r="D5713" s="60" t="s">
        <v>142</v>
      </c>
    </row>
    <row r="5714" spans="1:10">
      <c r="A5714" s="2" t="s">
        <v>141</v>
      </c>
      <c r="B5714" s="2">
        <v>0</v>
      </c>
      <c r="C5714" s="2">
        <v>7.4</v>
      </c>
      <c r="D5714" s="60" t="s">
        <v>158</v>
      </c>
    </row>
    <row r="5715" spans="1:10">
      <c r="A5715" s="2" t="s">
        <v>141</v>
      </c>
      <c r="B5715" s="2">
        <v>4.3</v>
      </c>
      <c r="C5715" s="2">
        <v>22.8</v>
      </c>
      <c r="D5715" s="60" t="s">
        <v>146</v>
      </c>
    </row>
    <row r="5716" spans="1:10">
      <c r="A5716" s="2" t="s">
        <v>141</v>
      </c>
      <c r="B5716" s="2">
        <v>7</v>
      </c>
      <c r="C5716" s="2">
        <v>17.2</v>
      </c>
      <c r="D5716" s="60" t="s">
        <v>145</v>
      </c>
    </row>
    <row r="5717" spans="1:10">
      <c r="A5717" s="2" t="s">
        <v>141</v>
      </c>
      <c r="B5717" s="2">
        <v>7.4</v>
      </c>
      <c r="C5717" s="2">
        <v>7.7</v>
      </c>
      <c r="D5717" s="60" t="s">
        <v>160</v>
      </c>
    </row>
    <row r="5718" spans="1:10">
      <c r="A5718" s="2" t="s">
        <v>141</v>
      </c>
      <c r="B5718" s="2">
        <v>17.2</v>
      </c>
      <c r="C5718" s="2">
        <v>22.8</v>
      </c>
      <c r="D5718" s="60" t="s">
        <v>144</v>
      </c>
    </row>
    <row r="5719" spans="1:10">
      <c r="A5719" s="2" t="s">
        <v>148</v>
      </c>
      <c r="B5719" s="2" t="s">
        <v>99</v>
      </c>
      <c r="C5719" s="2">
        <v>7.0068800000000001E-2</v>
      </c>
      <c r="D5719" s="60">
        <v>0</v>
      </c>
      <c r="E5719" s="2">
        <v>0</v>
      </c>
      <c r="F5719" s="2">
        <v>0.3</v>
      </c>
      <c r="G5719" s="2">
        <v>53.366999999999997</v>
      </c>
      <c r="H5719" s="2">
        <v>55.779400000000003</v>
      </c>
      <c r="I5719" s="2">
        <v>0</v>
      </c>
      <c r="J5719" s="2">
        <v>0</v>
      </c>
    </row>
    <row r="5720" spans="1:10">
      <c r="A5720" s="2" t="s">
        <v>148</v>
      </c>
      <c r="B5720" s="2" t="s">
        <v>100</v>
      </c>
      <c r="C5720" s="2">
        <v>1.4214600000000001E-2</v>
      </c>
      <c r="D5720" s="60">
        <v>0</v>
      </c>
      <c r="E5720" s="2">
        <v>25.617100000000001</v>
      </c>
      <c r="F5720" s="2">
        <v>4.1207000000000003</v>
      </c>
      <c r="G5720" s="2">
        <v>0</v>
      </c>
      <c r="H5720" s="2">
        <v>10</v>
      </c>
      <c r="I5720" s="2">
        <v>0</v>
      </c>
      <c r="J5720" s="2">
        <v>0</v>
      </c>
    </row>
    <row r="5721" spans="1:10">
      <c r="A5721" s="2" t="s">
        <v>148</v>
      </c>
      <c r="B5721" s="2" t="s">
        <v>98</v>
      </c>
      <c r="C5721" s="2">
        <v>0.140291</v>
      </c>
      <c r="D5721" s="60">
        <v>0</v>
      </c>
      <c r="E5721" s="2">
        <v>19.014600000000002</v>
      </c>
      <c r="F5721" s="2">
        <v>6.6024399999999996</v>
      </c>
      <c r="G5721" s="2">
        <v>10</v>
      </c>
      <c r="H5721" s="2">
        <v>22.2334</v>
      </c>
      <c r="I5721" s="2">
        <v>0</v>
      </c>
      <c r="J5721" s="2">
        <v>0</v>
      </c>
    </row>
    <row r="5722" spans="1:10">
      <c r="A5722" s="2" t="s">
        <v>148</v>
      </c>
      <c r="B5722" s="2" t="s">
        <v>101</v>
      </c>
      <c r="C5722" s="2">
        <v>2.94221E-2</v>
      </c>
      <c r="D5722" s="60">
        <v>0</v>
      </c>
      <c r="E5722" s="2">
        <v>18.3</v>
      </c>
      <c r="F5722" s="2">
        <v>0.71462199999999998</v>
      </c>
      <c r="G5722" s="2">
        <v>22.2334</v>
      </c>
      <c r="H5722" s="2">
        <v>23.5486</v>
      </c>
      <c r="I5722" s="2">
        <v>0</v>
      </c>
      <c r="J5722" s="2">
        <v>0</v>
      </c>
    </row>
    <row r="5723" spans="1:10">
      <c r="A5723" s="2" t="s">
        <v>148</v>
      </c>
      <c r="B5723" s="2" t="s">
        <v>60</v>
      </c>
      <c r="C5723" s="2">
        <v>0.231464</v>
      </c>
      <c r="D5723" s="60">
        <v>20.831800000000001</v>
      </c>
      <c r="E5723" s="2">
        <v>14.3</v>
      </c>
      <c r="F5723" s="2">
        <v>4</v>
      </c>
      <c r="G5723" s="2">
        <v>23.5486</v>
      </c>
      <c r="H5723" s="2">
        <v>30.4358</v>
      </c>
      <c r="I5723" s="2">
        <v>0</v>
      </c>
      <c r="J5723" s="2">
        <v>0</v>
      </c>
    </row>
    <row r="5724" spans="1:10">
      <c r="A5724" s="2" t="s">
        <v>148</v>
      </c>
      <c r="B5724" s="2" t="s">
        <v>59</v>
      </c>
      <c r="C5724" s="2">
        <v>0.57220400000000005</v>
      </c>
      <c r="D5724" s="60">
        <v>57.220399999999998</v>
      </c>
      <c r="E5724" s="2">
        <v>8.3000000000000007</v>
      </c>
      <c r="F5724" s="2">
        <v>6</v>
      </c>
      <c r="G5724" s="2">
        <v>30.4358</v>
      </c>
      <c r="H5724" s="2">
        <v>38.644300000000001</v>
      </c>
      <c r="I5724" s="2">
        <v>0</v>
      </c>
      <c r="J5724" s="2">
        <v>0</v>
      </c>
    </row>
    <row r="5725" spans="1:10">
      <c r="A5725" s="2" t="s">
        <v>148</v>
      </c>
      <c r="B5725" s="2" t="s">
        <v>62</v>
      </c>
      <c r="C5725" s="2">
        <v>0.52421799999999996</v>
      </c>
      <c r="D5725" s="60">
        <v>41.937399999999997</v>
      </c>
      <c r="E5725" s="2">
        <v>4.3</v>
      </c>
      <c r="F5725" s="2">
        <v>4</v>
      </c>
      <c r="G5725" s="2">
        <v>38.644300000000001</v>
      </c>
      <c r="H5725" s="2">
        <v>42.968800000000002</v>
      </c>
      <c r="I5725" s="2">
        <v>0</v>
      </c>
      <c r="J5725" s="2">
        <v>0</v>
      </c>
    </row>
    <row r="5726" spans="1:10">
      <c r="A5726" s="2" t="s">
        <v>148</v>
      </c>
      <c r="B5726" s="2" t="s">
        <v>62</v>
      </c>
      <c r="C5726" s="2">
        <v>0.68057100000000004</v>
      </c>
      <c r="D5726" s="60">
        <v>54.445700000000002</v>
      </c>
      <c r="E5726" s="2">
        <v>0.3</v>
      </c>
      <c r="F5726" s="2">
        <v>4</v>
      </c>
      <c r="G5726" s="2">
        <v>42.968800000000002</v>
      </c>
      <c r="H5726" s="2">
        <v>53.366999999999997</v>
      </c>
      <c r="I5726" s="2">
        <v>0</v>
      </c>
      <c r="J5726" s="2">
        <v>0</v>
      </c>
    </row>
    <row r="5727" spans="1:10">
      <c r="A5727" s="2" t="s">
        <v>138</v>
      </c>
      <c r="B5727" s="2">
        <v>3</v>
      </c>
      <c r="C5727" s="2">
        <v>18.983599999999999</v>
      </c>
      <c r="D5727" s="60" t="s">
        <v>149</v>
      </c>
    </row>
    <row r="5728" spans="1:10">
      <c r="A5728" s="2" t="s">
        <v>140</v>
      </c>
      <c r="B5728" s="2">
        <v>0</v>
      </c>
      <c r="C5728" s="2">
        <v>42.5533</v>
      </c>
      <c r="D5728" s="60">
        <v>26.462700000000002</v>
      </c>
    </row>
    <row r="5729" spans="1:10">
      <c r="A5729" s="2" t="s">
        <v>141</v>
      </c>
      <c r="B5729" s="2">
        <v>0</v>
      </c>
      <c r="C5729" s="2">
        <v>4.7</v>
      </c>
      <c r="D5729" s="60" t="s">
        <v>142</v>
      </c>
    </row>
    <row r="5730" spans="1:10">
      <c r="A5730" s="2" t="s">
        <v>141</v>
      </c>
      <c r="B5730" s="2">
        <v>0</v>
      </c>
      <c r="C5730" s="2">
        <v>10</v>
      </c>
      <c r="D5730" s="60" t="s">
        <v>146</v>
      </c>
    </row>
    <row r="5731" spans="1:10">
      <c r="A5731" s="2" t="s">
        <v>141</v>
      </c>
      <c r="B5731" s="2">
        <v>4.7</v>
      </c>
      <c r="C5731" s="2">
        <v>5.2</v>
      </c>
      <c r="D5731" s="60" t="s">
        <v>151</v>
      </c>
    </row>
    <row r="5732" spans="1:10">
      <c r="A5732" s="2" t="s">
        <v>141</v>
      </c>
      <c r="B5732" s="2">
        <v>5.2</v>
      </c>
      <c r="C5732" s="2">
        <v>9.6999999999999993</v>
      </c>
      <c r="D5732" s="60" t="s">
        <v>144</v>
      </c>
    </row>
    <row r="5733" spans="1:10">
      <c r="A5733" s="2" t="s">
        <v>141</v>
      </c>
      <c r="B5733" s="2">
        <v>9.6999999999999993</v>
      </c>
      <c r="C5733" s="2">
        <v>10</v>
      </c>
      <c r="D5733" s="60" t="s">
        <v>145</v>
      </c>
    </row>
    <row r="5734" spans="1:10">
      <c r="A5734" s="2" t="s">
        <v>141</v>
      </c>
      <c r="B5734" s="2">
        <v>10</v>
      </c>
      <c r="C5734" s="2">
        <v>10.5</v>
      </c>
      <c r="D5734" s="60" t="s">
        <v>161</v>
      </c>
    </row>
    <row r="5735" spans="1:10">
      <c r="A5735" s="2" t="s">
        <v>141</v>
      </c>
      <c r="B5735" s="2">
        <v>10</v>
      </c>
      <c r="C5735" s="2">
        <v>20.4876</v>
      </c>
      <c r="D5735" s="60" t="s">
        <v>144</v>
      </c>
    </row>
    <row r="5736" spans="1:10">
      <c r="A5736" s="2" t="s">
        <v>141</v>
      </c>
      <c r="B5736" s="2">
        <v>10.5</v>
      </c>
      <c r="C5736" s="2">
        <v>20.4876</v>
      </c>
      <c r="D5736" s="60" t="s">
        <v>155</v>
      </c>
    </row>
    <row r="5737" spans="1:10">
      <c r="A5737" s="2" t="s">
        <v>148</v>
      </c>
      <c r="B5737" s="2" t="s">
        <v>99</v>
      </c>
      <c r="C5737" s="2">
        <v>4.50541E-2</v>
      </c>
      <c r="D5737" s="60">
        <v>0</v>
      </c>
      <c r="E5737" s="2">
        <v>0</v>
      </c>
      <c r="F5737" s="2">
        <v>0.3</v>
      </c>
      <c r="G5737" s="2">
        <v>42.6935</v>
      </c>
      <c r="H5737" s="2">
        <v>44.844200000000001</v>
      </c>
      <c r="I5737" s="2">
        <v>0</v>
      </c>
      <c r="J5737" s="2">
        <v>0</v>
      </c>
    </row>
    <row r="5738" spans="1:10">
      <c r="A5738" s="2" t="s">
        <v>148</v>
      </c>
      <c r="B5738" s="2" t="s">
        <v>100</v>
      </c>
      <c r="C5738" s="2">
        <v>1.59445E-2</v>
      </c>
      <c r="D5738" s="60">
        <v>0</v>
      </c>
      <c r="E5738" s="2">
        <v>21.583300000000001</v>
      </c>
      <c r="F5738" s="2">
        <v>4.8793899999999999</v>
      </c>
      <c r="G5738" s="2">
        <v>0</v>
      </c>
      <c r="H5738" s="2">
        <v>10</v>
      </c>
      <c r="I5738" s="2">
        <v>0</v>
      </c>
      <c r="J5738" s="2">
        <v>0</v>
      </c>
    </row>
    <row r="5739" spans="1:10">
      <c r="A5739" s="2" t="s">
        <v>148</v>
      </c>
      <c r="B5739" s="2" t="s">
        <v>98</v>
      </c>
      <c r="C5739" s="2">
        <v>3.52349E-2</v>
      </c>
      <c r="D5739" s="60">
        <v>0</v>
      </c>
      <c r="E5739" s="2">
        <v>18.706700000000001</v>
      </c>
      <c r="F5739" s="2">
        <v>2.8765299999999998</v>
      </c>
      <c r="G5739" s="2">
        <v>10</v>
      </c>
      <c r="H5739" s="2">
        <v>14.8491</v>
      </c>
      <c r="I5739" s="2">
        <v>0</v>
      </c>
      <c r="J5739" s="2">
        <v>0</v>
      </c>
    </row>
    <row r="5740" spans="1:10">
      <c r="A5740" s="2" t="s">
        <v>148</v>
      </c>
      <c r="B5740" s="2" t="s">
        <v>101</v>
      </c>
      <c r="C5740" s="2">
        <v>3.6656800000000002E-3</v>
      </c>
      <c r="D5740" s="60">
        <v>0</v>
      </c>
      <c r="E5740" s="2">
        <v>18.5</v>
      </c>
      <c r="F5740" s="2">
        <v>0.20672699999999999</v>
      </c>
      <c r="G5740" s="2">
        <v>14.8491</v>
      </c>
      <c r="H5740" s="2">
        <v>15.201499999999999</v>
      </c>
      <c r="I5740" s="2">
        <v>0</v>
      </c>
      <c r="J5740" s="2">
        <v>0</v>
      </c>
    </row>
    <row r="5741" spans="1:10">
      <c r="A5741" s="2" t="s">
        <v>148</v>
      </c>
      <c r="B5741" s="2" t="s">
        <v>63</v>
      </c>
      <c r="C5741" s="2">
        <v>0.109259</v>
      </c>
      <c r="D5741" s="60">
        <v>7.6481000000000003</v>
      </c>
      <c r="E5741" s="2">
        <v>14.5</v>
      </c>
      <c r="F5741" s="2">
        <v>4</v>
      </c>
      <c r="G5741" s="2">
        <v>15.201499999999999</v>
      </c>
      <c r="H5741" s="2">
        <v>21.802600000000002</v>
      </c>
      <c r="I5741" s="2">
        <v>0</v>
      </c>
      <c r="J5741" s="2">
        <v>0</v>
      </c>
    </row>
    <row r="5742" spans="1:10">
      <c r="A5742" s="2" t="s">
        <v>148</v>
      </c>
      <c r="B5742" s="2" t="s">
        <v>63</v>
      </c>
      <c r="C5742" s="2">
        <v>0.19316700000000001</v>
      </c>
      <c r="D5742" s="60">
        <v>13.521699999999999</v>
      </c>
      <c r="E5742" s="2">
        <v>10.5</v>
      </c>
      <c r="F5742" s="2">
        <v>4</v>
      </c>
      <c r="G5742" s="2">
        <v>21.802600000000002</v>
      </c>
      <c r="H5742" s="2">
        <v>27.485600000000002</v>
      </c>
      <c r="I5742" s="2">
        <v>0</v>
      </c>
      <c r="J5742" s="2">
        <v>0</v>
      </c>
    </row>
    <row r="5743" spans="1:10">
      <c r="A5743" s="2" t="s">
        <v>148</v>
      </c>
      <c r="B5743" s="2" t="s">
        <v>101</v>
      </c>
      <c r="C5743" s="2">
        <v>8.1725199999999998E-2</v>
      </c>
      <c r="D5743" s="60">
        <v>0</v>
      </c>
      <c r="E5743" s="2">
        <v>9.1999999999999993</v>
      </c>
      <c r="F5743" s="2">
        <v>1.3</v>
      </c>
      <c r="G5743" s="2">
        <v>27.485600000000002</v>
      </c>
      <c r="H5743" s="2">
        <v>29.0688</v>
      </c>
      <c r="I5743" s="2">
        <v>0</v>
      </c>
      <c r="J5743" s="2">
        <v>0</v>
      </c>
    </row>
    <row r="5744" spans="1:10">
      <c r="A5744" s="2" t="s">
        <v>148</v>
      </c>
      <c r="B5744" s="2" t="s">
        <v>60</v>
      </c>
      <c r="C5744" s="2">
        <v>0.30669800000000003</v>
      </c>
      <c r="D5744" s="60">
        <v>27.602799999999998</v>
      </c>
      <c r="E5744" s="2">
        <v>5.2</v>
      </c>
      <c r="F5744" s="2">
        <v>4</v>
      </c>
      <c r="G5744" s="2">
        <v>29.0688</v>
      </c>
      <c r="H5744" s="2">
        <v>33.224600000000002</v>
      </c>
      <c r="I5744" s="2">
        <v>0</v>
      </c>
      <c r="J5744" s="2">
        <v>0</v>
      </c>
    </row>
    <row r="5745" spans="1:10">
      <c r="A5745" s="2" t="s">
        <v>148</v>
      </c>
      <c r="B5745" s="2" t="s">
        <v>101</v>
      </c>
      <c r="C5745" s="2">
        <v>8.0052700000000004E-2</v>
      </c>
      <c r="D5745" s="60">
        <v>0</v>
      </c>
      <c r="E5745" s="2">
        <v>4.3</v>
      </c>
      <c r="F5745" s="2">
        <v>0.9</v>
      </c>
      <c r="G5745" s="2">
        <v>33.224600000000002</v>
      </c>
      <c r="H5745" s="2">
        <v>34.081299999999999</v>
      </c>
      <c r="I5745" s="2">
        <v>0</v>
      </c>
      <c r="J5745" s="2">
        <v>0</v>
      </c>
    </row>
    <row r="5746" spans="1:10">
      <c r="A5746" s="2" t="s">
        <v>148</v>
      </c>
      <c r="B5746" s="2" t="s">
        <v>59</v>
      </c>
      <c r="C5746" s="2">
        <v>0.43047299999999999</v>
      </c>
      <c r="D5746" s="60">
        <v>43.0473</v>
      </c>
      <c r="E5746" s="2">
        <v>0.3</v>
      </c>
      <c r="F5746" s="2">
        <v>4</v>
      </c>
      <c r="G5746" s="2">
        <v>34.081299999999999</v>
      </c>
      <c r="H5746" s="2">
        <v>42.6935</v>
      </c>
      <c r="I5746" s="2">
        <v>0</v>
      </c>
      <c r="J5746" s="2">
        <v>0</v>
      </c>
    </row>
    <row r="5747" spans="1:10">
      <c r="A5747" s="2" t="s">
        <v>138</v>
      </c>
      <c r="B5747" s="2">
        <v>4</v>
      </c>
      <c r="C5747" s="2">
        <v>19.863199999999999</v>
      </c>
      <c r="D5747" s="60" t="s">
        <v>139</v>
      </c>
    </row>
    <row r="5748" spans="1:10">
      <c r="A5748" s="2" t="s">
        <v>140</v>
      </c>
      <c r="B5748" s="2">
        <v>0</v>
      </c>
      <c r="C5748" s="2">
        <v>81.427700000000002</v>
      </c>
      <c r="D5748" s="60">
        <v>27.754899999999999</v>
      </c>
    </row>
    <row r="5749" spans="1:10">
      <c r="A5749" s="2" t="s">
        <v>141</v>
      </c>
      <c r="B5749" s="2">
        <v>0</v>
      </c>
      <c r="C5749" s="2">
        <v>1.1000000000000001</v>
      </c>
      <c r="D5749" s="60" t="s">
        <v>151</v>
      </c>
    </row>
    <row r="5750" spans="1:10">
      <c r="A5750" s="2" t="s">
        <v>141</v>
      </c>
      <c r="B5750" s="2">
        <v>0</v>
      </c>
      <c r="C5750" s="2">
        <v>21.4</v>
      </c>
      <c r="D5750" s="60" t="s">
        <v>146</v>
      </c>
    </row>
    <row r="5751" spans="1:10">
      <c r="A5751" s="2" t="s">
        <v>141</v>
      </c>
      <c r="B5751" s="2">
        <v>1.1000000000000001</v>
      </c>
      <c r="C5751" s="2">
        <v>3.9</v>
      </c>
      <c r="D5751" s="60" t="s">
        <v>145</v>
      </c>
    </row>
    <row r="5752" spans="1:10">
      <c r="A5752" s="2" t="s">
        <v>141</v>
      </c>
      <c r="B5752" s="2">
        <v>3.9</v>
      </c>
      <c r="C5752" s="2">
        <v>7</v>
      </c>
      <c r="D5752" s="60" t="s">
        <v>147</v>
      </c>
    </row>
    <row r="5753" spans="1:10">
      <c r="A5753" s="2" t="s">
        <v>141</v>
      </c>
      <c r="B5753" s="2">
        <v>7</v>
      </c>
      <c r="C5753" s="2">
        <v>7.5</v>
      </c>
      <c r="D5753" s="60" t="s">
        <v>151</v>
      </c>
    </row>
    <row r="5754" spans="1:10">
      <c r="A5754" s="2" t="s">
        <v>141</v>
      </c>
      <c r="B5754" s="2">
        <v>7.5</v>
      </c>
      <c r="C5754" s="2">
        <v>11.9</v>
      </c>
      <c r="D5754" s="60" t="s">
        <v>147</v>
      </c>
    </row>
    <row r="5755" spans="1:10">
      <c r="A5755" s="2" t="s">
        <v>141</v>
      </c>
      <c r="B5755" s="2">
        <v>11.9</v>
      </c>
      <c r="C5755" s="2">
        <v>15.8</v>
      </c>
      <c r="D5755" s="60" t="s">
        <v>145</v>
      </c>
    </row>
    <row r="5756" spans="1:10">
      <c r="A5756" s="2" t="s">
        <v>141</v>
      </c>
      <c r="B5756" s="2">
        <v>15.8</v>
      </c>
      <c r="C5756" s="2">
        <v>21.4</v>
      </c>
      <c r="D5756" s="60" t="s">
        <v>144</v>
      </c>
    </row>
    <row r="5757" spans="1:10">
      <c r="A5757" s="2" t="s">
        <v>148</v>
      </c>
      <c r="B5757" s="2" t="s">
        <v>99</v>
      </c>
      <c r="C5757" s="2">
        <v>0.14444499999999999</v>
      </c>
      <c r="D5757" s="60">
        <v>0</v>
      </c>
      <c r="E5757" s="2">
        <v>0</v>
      </c>
      <c r="F5757" s="2">
        <v>0.3</v>
      </c>
      <c r="G5757" s="2">
        <v>76.519300000000001</v>
      </c>
      <c r="H5757" s="2">
        <v>80.207499999999996</v>
      </c>
      <c r="I5757" s="2">
        <v>0</v>
      </c>
      <c r="J5757" s="2">
        <v>0</v>
      </c>
    </row>
    <row r="5758" spans="1:10">
      <c r="A5758" s="2" t="s">
        <v>148</v>
      </c>
      <c r="B5758" s="2" t="s">
        <v>100</v>
      </c>
      <c r="C5758" s="2">
        <v>8.2395599999999999E-3</v>
      </c>
      <c r="D5758" s="60">
        <v>0</v>
      </c>
      <c r="E5758" s="2">
        <v>25.536000000000001</v>
      </c>
      <c r="F5758" s="2">
        <v>2.2188599999999998</v>
      </c>
      <c r="G5758" s="2">
        <v>0</v>
      </c>
      <c r="H5758" s="2">
        <v>10</v>
      </c>
      <c r="I5758" s="2">
        <v>0</v>
      </c>
      <c r="J5758" s="2">
        <v>0</v>
      </c>
    </row>
    <row r="5759" spans="1:10">
      <c r="A5759" s="2" t="s">
        <v>148</v>
      </c>
      <c r="B5759" s="2" t="s">
        <v>101</v>
      </c>
      <c r="C5759" s="2">
        <v>2.8591400000000001E-4</v>
      </c>
      <c r="D5759" s="60">
        <v>0</v>
      </c>
      <c r="E5759" s="2">
        <v>25.5</v>
      </c>
      <c r="F5759" s="2">
        <v>3.60486E-2</v>
      </c>
      <c r="G5759" s="2">
        <v>10</v>
      </c>
      <c r="H5759" s="2">
        <v>10.098100000000001</v>
      </c>
      <c r="I5759" s="2">
        <v>0</v>
      </c>
      <c r="J5759" s="2">
        <v>0</v>
      </c>
    </row>
    <row r="5760" spans="1:10">
      <c r="A5760" s="2" t="s">
        <v>148</v>
      </c>
      <c r="B5760" s="2" t="s">
        <v>64</v>
      </c>
      <c r="C5760" s="2">
        <v>9.3771800000000002E-2</v>
      </c>
      <c r="D5760" s="60">
        <v>2.8131499999999998</v>
      </c>
      <c r="E5760" s="2">
        <v>21.1</v>
      </c>
      <c r="F5760" s="2">
        <v>4.4000000000000004</v>
      </c>
      <c r="G5760" s="2">
        <v>10.098100000000001</v>
      </c>
      <c r="H5760" s="2">
        <v>22.264700000000001</v>
      </c>
      <c r="I5760" s="2">
        <v>0</v>
      </c>
      <c r="J5760" s="2">
        <v>0</v>
      </c>
    </row>
    <row r="5761" spans="1:10">
      <c r="A5761" s="2" t="s">
        <v>148</v>
      </c>
      <c r="B5761" s="2" t="s">
        <v>60</v>
      </c>
      <c r="C5761" s="2">
        <v>0.25083100000000003</v>
      </c>
      <c r="D5761" s="60">
        <v>22.5748</v>
      </c>
      <c r="E5761" s="2">
        <v>17.100000000000001</v>
      </c>
      <c r="F5761" s="2">
        <v>4</v>
      </c>
      <c r="G5761" s="2">
        <v>22.264700000000001</v>
      </c>
      <c r="H5761" s="2">
        <v>33.804699999999997</v>
      </c>
      <c r="I5761" s="2">
        <v>0</v>
      </c>
      <c r="J5761" s="2">
        <v>0</v>
      </c>
    </row>
    <row r="5762" spans="1:10">
      <c r="A5762" s="2" t="s">
        <v>148</v>
      </c>
      <c r="B5762" s="2" t="s">
        <v>59</v>
      </c>
      <c r="C5762" s="2">
        <v>0.48609400000000003</v>
      </c>
      <c r="D5762" s="60">
        <v>48.609400000000001</v>
      </c>
      <c r="E5762" s="2">
        <v>13.1</v>
      </c>
      <c r="F5762" s="2">
        <v>4</v>
      </c>
      <c r="G5762" s="2">
        <v>33.804699999999997</v>
      </c>
      <c r="H5762" s="2">
        <v>44.366799999999998</v>
      </c>
      <c r="I5762" s="2">
        <v>0</v>
      </c>
      <c r="J5762" s="2">
        <v>0</v>
      </c>
    </row>
    <row r="5763" spans="1:10">
      <c r="A5763" s="2" t="s">
        <v>148</v>
      </c>
      <c r="B5763" s="2" t="s">
        <v>58</v>
      </c>
      <c r="C5763" s="2">
        <v>0.752772</v>
      </c>
      <c r="D5763" s="60">
        <v>79.0411</v>
      </c>
      <c r="E5763" s="2">
        <v>9.1</v>
      </c>
      <c r="F5763" s="2">
        <v>4</v>
      </c>
      <c r="G5763" s="2">
        <v>44.366799999999998</v>
      </c>
      <c r="H5763" s="2">
        <v>53.067300000000003</v>
      </c>
      <c r="I5763" s="2">
        <v>0</v>
      </c>
      <c r="J5763" s="2">
        <v>0</v>
      </c>
    </row>
    <row r="5764" spans="1:10">
      <c r="A5764" s="2" t="s">
        <v>148</v>
      </c>
      <c r="B5764" s="2" t="s">
        <v>62</v>
      </c>
      <c r="C5764" s="2">
        <v>1.0091000000000001</v>
      </c>
      <c r="D5764" s="60">
        <v>80.728300000000004</v>
      </c>
      <c r="E5764" s="2">
        <v>5.0999999999999996</v>
      </c>
      <c r="F5764" s="2">
        <v>4</v>
      </c>
      <c r="G5764" s="2">
        <v>53.067300000000003</v>
      </c>
      <c r="H5764" s="2">
        <v>59.997399999999999</v>
      </c>
      <c r="I5764" s="2">
        <v>0</v>
      </c>
      <c r="J5764" s="2">
        <v>0</v>
      </c>
    </row>
    <row r="5765" spans="1:10">
      <c r="A5765" s="2" t="s">
        <v>148</v>
      </c>
      <c r="B5765" s="2" t="s">
        <v>58</v>
      </c>
      <c r="C5765" s="2">
        <v>1.28586</v>
      </c>
      <c r="D5765" s="60">
        <v>135.01499999999999</v>
      </c>
      <c r="E5765" s="2">
        <v>1.1000000000000001</v>
      </c>
      <c r="F5765" s="2">
        <v>4</v>
      </c>
      <c r="G5765" s="2">
        <v>59.997399999999999</v>
      </c>
      <c r="H5765" s="2">
        <v>70.075599999999994</v>
      </c>
      <c r="I5765" s="2">
        <v>0</v>
      </c>
      <c r="J5765" s="2">
        <v>0</v>
      </c>
    </row>
    <row r="5766" spans="1:10">
      <c r="A5766" s="2" t="s">
        <v>148</v>
      </c>
      <c r="B5766" s="2" t="s">
        <v>101</v>
      </c>
      <c r="C5766" s="2">
        <v>0.33469399999999999</v>
      </c>
      <c r="D5766" s="60">
        <v>0</v>
      </c>
      <c r="E5766" s="2">
        <v>0.3</v>
      </c>
      <c r="F5766" s="2">
        <v>0.8</v>
      </c>
      <c r="G5766" s="2">
        <v>70.075599999999994</v>
      </c>
      <c r="H5766" s="2">
        <v>76.519300000000001</v>
      </c>
      <c r="I5766" s="2">
        <v>0</v>
      </c>
      <c r="J5766" s="2">
        <v>0</v>
      </c>
    </row>
    <row r="5767" spans="1:10">
      <c r="A5767" s="2" t="s">
        <v>138</v>
      </c>
      <c r="B5767" s="2">
        <v>5</v>
      </c>
      <c r="C5767" s="2">
        <v>19.6465</v>
      </c>
      <c r="D5767" s="60" t="s">
        <v>149</v>
      </c>
    </row>
    <row r="5768" spans="1:10">
      <c r="A5768" s="2" t="s">
        <v>140</v>
      </c>
      <c r="B5768" s="2">
        <v>0</v>
      </c>
      <c r="C5768" s="2">
        <v>58.760100000000001</v>
      </c>
      <c r="D5768" s="60">
        <v>28.720600000000001</v>
      </c>
    </row>
    <row r="5769" spans="1:10">
      <c r="A5769" s="2" t="s">
        <v>141</v>
      </c>
      <c r="B5769" s="2">
        <v>0</v>
      </c>
      <c r="C5769" s="2">
        <v>6.8</v>
      </c>
      <c r="D5769" s="60" t="s">
        <v>142</v>
      </c>
    </row>
    <row r="5770" spans="1:10">
      <c r="A5770" s="2" t="s">
        <v>141</v>
      </c>
      <c r="B5770" s="2">
        <v>0</v>
      </c>
      <c r="C5770" s="2">
        <v>22.081800000000001</v>
      </c>
      <c r="D5770" s="60" t="s">
        <v>146</v>
      </c>
    </row>
    <row r="5771" spans="1:10">
      <c r="A5771" s="2" t="s">
        <v>141</v>
      </c>
      <c r="B5771" s="2">
        <v>6.8</v>
      </c>
      <c r="C5771" s="2">
        <v>11.5</v>
      </c>
      <c r="D5771" s="60" t="s">
        <v>151</v>
      </c>
    </row>
    <row r="5772" spans="1:10">
      <c r="A5772" s="2" t="s">
        <v>141</v>
      </c>
      <c r="B5772" s="2">
        <v>11.5</v>
      </c>
      <c r="C5772" s="2">
        <v>22.081800000000001</v>
      </c>
      <c r="D5772" s="60" t="s">
        <v>144</v>
      </c>
    </row>
    <row r="5773" spans="1:10">
      <c r="A5773" s="2" t="s">
        <v>148</v>
      </c>
      <c r="B5773" s="2" t="s">
        <v>99</v>
      </c>
      <c r="C5773" s="2">
        <v>8.0707600000000004E-2</v>
      </c>
      <c r="D5773" s="60">
        <v>0</v>
      </c>
      <c r="E5773" s="2">
        <v>0</v>
      </c>
      <c r="F5773" s="2">
        <v>0.3</v>
      </c>
      <c r="G5773" s="2">
        <v>57.236600000000003</v>
      </c>
      <c r="H5773" s="2">
        <v>59.909100000000002</v>
      </c>
      <c r="I5773" s="2">
        <v>0</v>
      </c>
      <c r="J5773" s="2">
        <v>0</v>
      </c>
    </row>
    <row r="5774" spans="1:10">
      <c r="A5774" s="2" t="s">
        <v>148</v>
      </c>
      <c r="B5774" s="2" t="s">
        <v>100</v>
      </c>
      <c r="C5774" s="2">
        <v>1.2629100000000001E-2</v>
      </c>
      <c r="D5774" s="60">
        <v>0</v>
      </c>
      <c r="E5774" s="2">
        <v>25.1204</v>
      </c>
      <c r="F5774" s="2">
        <v>3.6001400000000001</v>
      </c>
      <c r="G5774" s="2">
        <v>0</v>
      </c>
      <c r="H5774" s="2">
        <v>10</v>
      </c>
      <c r="I5774" s="2">
        <v>0</v>
      </c>
      <c r="J5774" s="2">
        <v>0</v>
      </c>
    </row>
    <row r="5775" spans="1:10">
      <c r="A5775" s="2" t="s">
        <v>148</v>
      </c>
      <c r="B5775" s="2" t="s">
        <v>98</v>
      </c>
      <c r="C5775" s="2">
        <v>0.50289200000000001</v>
      </c>
      <c r="D5775" s="60">
        <v>0</v>
      </c>
      <c r="E5775" s="2">
        <v>13.2026</v>
      </c>
      <c r="F5775" s="2">
        <v>11.9178</v>
      </c>
      <c r="G5775" s="2">
        <v>10</v>
      </c>
      <c r="H5775" s="2">
        <v>33.752099999999999</v>
      </c>
      <c r="I5775" s="2">
        <v>0</v>
      </c>
      <c r="J5775" s="2">
        <v>0</v>
      </c>
    </row>
    <row r="5776" spans="1:10">
      <c r="A5776" s="2" t="s">
        <v>148</v>
      </c>
      <c r="B5776" s="2" t="s">
        <v>101</v>
      </c>
      <c r="C5776" s="2">
        <v>7.4750899999999995E-2</v>
      </c>
      <c r="D5776" s="60">
        <v>0</v>
      </c>
      <c r="E5776" s="2">
        <v>12.4</v>
      </c>
      <c r="F5776" s="2">
        <v>0.80260900000000002</v>
      </c>
      <c r="G5776" s="2">
        <v>33.752099999999999</v>
      </c>
      <c r="H5776" s="2">
        <v>35.105800000000002</v>
      </c>
      <c r="I5776" s="2">
        <v>0</v>
      </c>
      <c r="J5776" s="2">
        <v>0</v>
      </c>
    </row>
    <row r="5777" spans="1:10">
      <c r="A5777" s="2" t="s">
        <v>148</v>
      </c>
      <c r="B5777" s="2" t="s">
        <v>62</v>
      </c>
      <c r="C5777" s="2">
        <v>0.73944900000000002</v>
      </c>
      <c r="D5777" s="60">
        <v>59.155900000000003</v>
      </c>
      <c r="E5777" s="2">
        <v>6.4</v>
      </c>
      <c r="F5777" s="2">
        <v>6</v>
      </c>
      <c r="G5777" s="2">
        <v>35.105800000000002</v>
      </c>
      <c r="H5777" s="2">
        <v>43.4955</v>
      </c>
      <c r="I5777" s="2">
        <v>0</v>
      </c>
      <c r="J5777" s="2">
        <v>0</v>
      </c>
    </row>
    <row r="5778" spans="1:10">
      <c r="A5778" s="2" t="s">
        <v>148</v>
      </c>
      <c r="B5778" s="2" t="s">
        <v>55</v>
      </c>
      <c r="C5778" s="2">
        <v>1.11016</v>
      </c>
      <c r="D5778" s="60">
        <v>160.97399999999999</v>
      </c>
      <c r="E5778" s="2">
        <v>0.3</v>
      </c>
      <c r="F5778" s="2">
        <v>6.1</v>
      </c>
      <c r="G5778" s="2">
        <v>43.4955</v>
      </c>
      <c r="H5778" s="2">
        <v>57.236600000000003</v>
      </c>
      <c r="I5778" s="2">
        <v>0</v>
      </c>
      <c r="J5778" s="2">
        <v>0</v>
      </c>
    </row>
    <row r="5779" spans="1:10">
      <c r="A5779" s="2" t="s">
        <v>138</v>
      </c>
      <c r="B5779" s="2">
        <v>6</v>
      </c>
      <c r="C5779" s="2">
        <v>19.353899999999999</v>
      </c>
      <c r="D5779" s="60" t="s">
        <v>149</v>
      </c>
    </row>
    <row r="5780" spans="1:10">
      <c r="A5780" s="2" t="s">
        <v>140</v>
      </c>
      <c r="B5780" s="2">
        <v>0</v>
      </c>
      <c r="C5780" s="2">
        <v>49.016300000000001</v>
      </c>
      <c r="D5780" s="60">
        <v>27.441500000000001</v>
      </c>
    </row>
    <row r="5781" spans="1:10">
      <c r="A5781" s="2" t="s">
        <v>141</v>
      </c>
      <c r="B5781" s="2">
        <v>0</v>
      </c>
      <c r="C5781" s="2">
        <v>6.8</v>
      </c>
      <c r="D5781" s="60" t="s">
        <v>142</v>
      </c>
    </row>
    <row r="5782" spans="1:10">
      <c r="A5782" s="2" t="s">
        <v>141</v>
      </c>
      <c r="B5782" s="2">
        <v>0</v>
      </c>
      <c r="C5782" s="2">
        <v>10.6</v>
      </c>
      <c r="D5782" s="60" t="s">
        <v>146</v>
      </c>
    </row>
    <row r="5783" spans="1:10">
      <c r="A5783" s="2" t="s">
        <v>141</v>
      </c>
      <c r="B5783" s="2">
        <v>6.8</v>
      </c>
      <c r="C5783" s="2">
        <v>10.6</v>
      </c>
      <c r="D5783" s="60" t="s">
        <v>145</v>
      </c>
    </row>
    <row r="5784" spans="1:10">
      <c r="A5784" s="2" t="s">
        <v>141</v>
      </c>
      <c r="B5784" s="2">
        <v>10.6</v>
      </c>
      <c r="C5784" s="2">
        <v>11.2</v>
      </c>
      <c r="D5784" s="60" t="s">
        <v>161</v>
      </c>
    </row>
    <row r="5785" spans="1:10">
      <c r="A5785" s="2" t="s">
        <v>141</v>
      </c>
      <c r="B5785" s="2">
        <v>10.6</v>
      </c>
      <c r="C5785" s="2">
        <v>21.178699999999999</v>
      </c>
      <c r="D5785" s="60" t="s">
        <v>144</v>
      </c>
    </row>
    <row r="5786" spans="1:10">
      <c r="A5786" s="2" t="s">
        <v>141</v>
      </c>
      <c r="B5786" s="2">
        <v>11.2</v>
      </c>
      <c r="C5786" s="2">
        <v>12.2</v>
      </c>
      <c r="D5786" s="60" t="s">
        <v>152</v>
      </c>
    </row>
    <row r="5787" spans="1:10">
      <c r="A5787" s="2" t="s">
        <v>141</v>
      </c>
      <c r="B5787" s="2">
        <v>12.2</v>
      </c>
      <c r="C5787" s="2">
        <v>21.178699999999999</v>
      </c>
      <c r="D5787" s="60" t="s">
        <v>155</v>
      </c>
    </row>
    <row r="5788" spans="1:10">
      <c r="A5788" s="2" t="s">
        <v>148</v>
      </c>
      <c r="B5788" s="2" t="s">
        <v>99</v>
      </c>
      <c r="C5788" s="2">
        <v>5.8166299999999997E-2</v>
      </c>
      <c r="D5788" s="60">
        <v>0</v>
      </c>
      <c r="E5788" s="2">
        <v>0</v>
      </c>
      <c r="F5788" s="2">
        <v>0.3</v>
      </c>
      <c r="G5788" s="2">
        <v>48.546300000000002</v>
      </c>
      <c r="H5788" s="2">
        <v>50.911000000000001</v>
      </c>
      <c r="I5788" s="2">
        <v>0</v>
      </c>
      <c r="J5788" s="2">
        <v>0</v>
      </c>
    </row>
    <row r="5789" spans="1:10">
      <c r="A5789" s="2" t="s">
        <v>148</v>
      </c>
      <c r="B5789" s="2" t="s">
        <v>100</v>
      </c>
      <c r="C5789" s="2">
        <v>1.45068E-2</v>
      </c>
      <c r="D5789" s="60">
        <v>0</v>
      </c>
      <c r="E5789" s="2">
        <v>23.140899999999998</v>
      </c>
      <c r="F5789" s="2">
        <v>4.3005599999999999</v>
      </c>
      <c r="G5789" s="2">
        <v>0</v>
      </c>
      <c r="H5789" s="2">
        <v>10</v>
      </c>
      <c r="I5789" s="2">
        <v>0</v>
      </c>
      <c r="J5789" s="2">
        <v>0</v>
      </c>
    </row>
    <row r="5790" spans="1:10">
      <c r="A5790" s="2" t="s">
        <v>148</v>
      </c>
      <c r="B5790" s="2" t="s">
        <v>98</v>
      </c>
      <c r="C5790" s="2">
        <v>0.15562200000000001</v>
      </c>
      <c r="D5790" s="60">
        <v>0</v>
      </c>
      <c r="E5790" s="2">
        <v>16.142199999999999</v>
      </c>
      <c r="F5790" s="2">
        <v>6.9987399999999997</v>
      </c>
      <c r="G5790" s="2">
        <v>10</v>
      </c>
      <c r="H5790" s="2">
        <v>22.826699999999999</v>
      </c>
      <c r="I5790" s="2">
        <v>0</v>
      </c>
      <c r="J5790" s="2">
        <v>0</v>
      </c>
    </row>
    <row r="5791" spans="1:10">
      <c r="A5791" s="2" t="s">
        <v>148</v>
      </c>
      <c r="B5791" s="2" t="s">
        <v>101</v>
      </c>
      <c r="C5791" s="2">
        <v>1.73142E-3</v>
      </c>
      <c r="D5791" s="60">
        <v>0</v>
      </c>
      <c r="E5791" s="2">
        <v>16.100000000000001</v>
      </c>
      <c r="F5791" s="2">
        <v>4.2170100000000002E-2</v>
      </c>
      <c r="G5791" s="2">
        <v>22.826699999999999</v>
      </c>
      <c r="H5791" s="2">
        <v>22.901399999999999</v>
      </c>
      <c r="I5791" s="2">
        <v>0</v>
      </c>
      <c r="J5791" s="2">
        <v>0</v>
      </c>
    </row>
    <row r="5792" spans="1:10">
      <c r="A5792" s="2" t="s">
        <v>148</v>
      </c>
      <c r="B5792" s="2" t="s">
        <v>64</v>
      </c>
      <c r="C5792" s="2">
        <v>0.28215000000000001</v>
      </c>
      <c r="D5792" s="60">
        <v>8.4645100000000006</v>
      </c>
      <c r="E5792" s="2">
        <v>11.2</v>
      </c>
      <c r="F5792" s="2">
        <v>4.9000000000000004</v>
      </c>
      <c r="G5792" s="2">
        <v>22.901399999999999</v>
      </c>
      <c r="H5792" s="2">
        <v>30.767099999999999</v>
      </c>
      <c r="I5792" s="2">
        <v>0</v>
      </c>
      <c r="J5792" s="2">
        <v>0</v>
      </c>
    </row>
    <row r="5793" spans="1:10">
      <c r="A5793" s="2" t="s">
        <v>148</v>
      </c>
      <c r="B5793" s="2" t="s">
        <v>101</v>
      </c>
      <c r="C5793" s="2">
        <v>6.1657400000000001E-2</v>
      </c>
      <c r="D5793" s="60">
        <v>0</v>
      </c>
      <c r="E5793" s="2">
        <v>10.4</v>
      </c>
      <c r="F5793" s="2">
        <v>0.8</v>
      </c>
      <c r="G5793" s="2">
        <v>30.767099999999999</v>
      </c>
      <c r="H5793" s="2">
        <v>31.872499999999999</v>
      </c>
      <c r="I5793" s="2">
        <v>0</v>
      </c>
      <c r="J5793" s="2">
        <v>0</v>
      </c>
    </row>
    <row r="5794" spans="1:10">
      <c r="A5794" s="2" t="s">
        <v>148</v>
      </c>
      <c r="B5794" s="2" t="s">
        <v>59</v>
      </c>
      <c r="C5794" s="2">
        <v>0.37151000000000001</v>
      </c>
      <c r="D5794" s="60">
        <v>37.151000000000003</v>
      </c>
      <c r="E5794" s="2">
        <v>6.4</v>
      </c>
      <c r="F5794" s="2">
        <v>4</v>
      </c>
      <c r="G5794" s="2">
        <v>31.872499999999999</v>
      </c>
      <c r="H5794" s="2">
        <v>36.659500000000001</v>
      </c>
      <c r="I5794" s="2">
        <v>0</v>
      </c>
      <c r="J5794" s="2">
        <v>0</v>
      </c>
    </row>
    <row r="5795" spans="1:10">
      <c r="A5795" s="2" t="s">
        <v>148</v>
      </c>
      <c r="B5795" s="2" t="s">
        <v>56</v>
      </c>
      <c r="C5795" s="2">
        <v>0.79387399999999997</v>
      </c>
      <c r="D5795" s="60">
        <v>111.142</v>
      </c>
      <c r="E5795" s="2">
        <v>0.3</v>
      </c>
      <c r="F5795" s="2">
        <v>6.1</v>
      </c>
      <c r="G5795" s="2">
        <v>36.659500000000001</v>
      </c>
      <c r="H5795" s="2">
        <v>48.546300000000002</v>
      </c>
      <c r="I5795" s="2">
        <v>0</v>
      </c>
      <c r="J5795" s="2">
        <v>0</v>
      </c>
    </row>
    <row r="5796" spans="1:10">
      <c r="A5796" s="2" t="s">
        <v>138</v>
      </c>
      <c r="B5796" s="2">
        <v>7</v>
      </c>
      <c r="C5796" s="2">
        <v>19.1875</v>
      </c>
      <c r="D5796" s="60" t="s">
        <v>149</v>
      </c>
    </row>
    <row r="5797" spans="1:10">
      <c r="A5797" s="2" t="s">
        <v>140</v>
      </c>
      <c r="B5797" s="2">
        <v>0</v>
      </c>
      <c r="C5797" s="2">
        <v>45.663800000000002</v>
      </c>
      <c r="D5797" s="60">
        <v>26.947199999999999</v>
      </c>
    </row>
    <row r="5798" spans="1:10">
      <c r="A5798" s="2" t="s">
        <v>141</v>
      </c>
      <c r="B5798" s="2">
        <v>0</v>
      </c>
      <c r="C5798" s="2">
        <v>7</v>
      </c>
      <c r="D5798" s="60" t="s">
        <v>142</v>
      </c>
    </row>
    <row r="5799" spans="1:10">
      <c r="A5799" s="2" t="s">
        <v>141</v>
      </c>
      <c r="B5799" s="2">
        <v>0</v>
      </c>
      <c r="C5799" s="2">
        <v>10.4</v>
      </c>
      <c r="D5799" s="60" t="s">
        <v>146</v>
      </c>
    </row>
    <row r="5800" spans="1:10">
      <c r="A5800" s="2" t="s">
        <v>141</v>
      </c>
      <c r="B5800" s="2">
        <v>7</v>
      </c>
      <c r="C5800" s="2">
        <v>10.4</v>
      </c>
      <c r="D5800" s="60" t="s">
        <v>145</v>
      </c>
    </row>
    <row r="5801" spans="1:10">
      <c r="A5801" s="2" t="s">
        <v>141</v>
      </c>
      <c r="B5801" s="2">
        <v>10.4</v>
      </c>
      <c r="C5801" s="2">
        <v>11.3</v>
      </c>
      <c r="D5801" s="60" t="s">
        <v>147</v>
      </c>
    </row>
    <row r="5802" spans="1:10">
      <c r="A5802" s="2" t="s">
        <v>141</v>
      </c>
      <c r="B5802" s="2">
        <v>10.4</v>
      </c>
      <c r="C5802" s="2">
        <v>11.3</v>
      </c>
      <c r="D5802" s="60" t="s">
        <v>161</v>
      </c>
    </row>
    <row r="5803" spans="1:10">
      <c r="A5803" s="2" t="s">
        <v>141</v>
      </c>
      <c r="B5803" s="2">
        <v>11.3</v>
      </c>
      <c r="C5803" s="2">
        <v>20.829699999999999</v>
      </c>
      <c r="D5803" s="60" t="s">
        <v>144</v>
      </c>
    </row>
    <row r="5804" spans="1:10">
      <c r="A5804" s="2" t="s">
        <v>141</v>
      </c>
      <c r="B5804" s="2">
        <v>11.3</v>
      </c>
      <c r="C5804" s="2">
        <v>20.829699999999999</v>
      </c>
      <c r="D5804" s="60" t="s">
        <v>155</v>
      </c>
    </row>
    <row r="5805" spans="1:10">
      <c r="A5805" s="2" t="s">
        <v>148</v>
      </c>
      <c r="B5805" s="2" t="s">
        <v>99</v>
      </c>
      <c r="C5805" s="2">
        <v>5.11782E-2</v>
      </c>
      <c r="D5805" s="60">
        <v>0</v>
      </c>
      <c r="E5805" s="2">
        <v>0</v>
      </c>
      <c r="F5805" s="2">
        <v>0.3</v>
      </c>
      <c r="G5805" s="2">
        <v>45.519799999999996</v>
      </c>
      <c r="H5805" s="2">
        <v>47.774799999999999</v>
      </c>
      <c r="I5805" s="2">
        <v>0</v>
      </c>
      <c r="J5805" s="2">
        <v>0</v>
      </c>
    </row>
    <row r="5806" spans="1:10">
      <c r="A5806" s="2" t="s">
        <v>148</v>
      </c>
      <c r="B5806" s="2" t="s">
        <v>100</v>
      </c>
      <c r="C5806" s="2">
        <v>1.52281E-2</v>
      </c>
      <c r="D5806" s="60">
        <v>0</v>
      </c>
      <c r="E5806" s="2">
        <v>22.360399999999998</v>
      </c>
      <c r="F5806" s="2">
        <v>4.5867699999999996</v>
      </c>
      <c r="G5806" s="2">
        <v>0</v>
      </c>
      <c r="H5806" s="2">
        <v>10</v>
      </c>
      <c r="I5806" s="2">
        <v>0</v>
      </c>
      <c r="J5806" s="2">
        <v>0</v>
      </c>
    </row>
    <row r="5807" spans="1:10">
      <c r="A5807" s="2" t="s">
        <v>148</v>
      </c>
      <c r="B5807" s="2" t="s">
        <v>98</v>
      </c>
      <c r="C5807" s="2">
        <v>2.8194799999999999E-2</v>
      </c>
      <c r="D5807" s="60">
        <v>0</v>
      </c>
      <c r="E5807" s="2">
        <v>19.934999999999999</v>
      </c>
      <c r="F5807" s="2">
        <v>2.42544</v>
      </c>
      <c r="G5807" s="2">
        <v>10</v>
      </c>
      <c r="H5807" s="2">
        <v>14.24</v>
      </c>
      <c r="I5807" s="2">
        <v>0</v>
      </c>
      <c r="J5807" s="2">
        <v>0</v>
      </c>
    </row>
    <row r="5808" spans="1:10">
      <c r="A5808" s="2" t="s">
        <v>148</v>
      </c>
      <c r="B5808" s="2" t="s">
        <v>101</v>
      </c>
      <c r="C5808" s="2">
        <v>1.09374E-2</v>
      </c>
      <c r="D5808" s="60">
        <v>0</v>
      </c>
      <c r="E5808" s="2">
        <v>19.3</v>
      </c>
      <c r="F5808" s="2">
        <v>0.63496300000000006</v>
      </c>
      <c r="G5808" s="2">
        <v>14.24</v>
      </c>
      <c r="H5808" s="2">
        <v>15.372</v>
      </c>
      <c r="I5808" s="2">
        <v>0</v>
      </c>
      <c r="J5808" s="2">
        <v>0</v>
      </c>
    </row>
    <row r="5809" spans="1:10">
      <c r="A5809" s="2" t="s">
        <v>148</v>
      </c>
      <c r="B5809" s="2" t="s">
        <v>63</v>
      </c>
      <c r="C5809" s="2">
        <v>0.1135</v>
      </c>
      <c r="D5809" s="60">
        <v>7.9449899999999998</v>
      </c>
      <c r="E5809" s="2">
        <v>15.3</v>
      </c>
      <c r="F5809" s="2">
        <v>4</v>
      </c>
      <c r="G5809" s="2">
        <v>15.372</v>
      </c>
      <c r="H5809" s="2">
        <v>22.346399999999999</v>
      </c>
      <c r="I5809" s="2">
        <v>0</v>
      </c>
      <c r="J5809" s="2">
        <v>0</v>
      </c>
    </row>
    <row r="5810" spans="1:10">
      <c r="A5810" s="2" t="s">
        <v>148</v>
      </c>
      <c r="B5810" s="2" t="s">
        <v>63</v>
      </c>
      <c r="C5810" s="2">
        <v>0.20526</v>
      </c>
      <c r="D5810" s="60">
        <v>14.3682</v>
      </c>
      <c r="E5810" s="2">
        <v>11.3</v>
      </c>
      <c r="F5810" s="2">
        <v>4</v>
      </c>
      <c r="G5810" s="2">
        <v>22.346399999999999</v>
      </c>
      <c r="H5810" s="2">
        <v>28.460100000000001</v>
      </c>
      <c r="I5810" s="2">
        <v>0</v>
      </c>
      <c r="J5810" s="2">
        <v>0</v>
      </c>
    </row>
    <row r="5811" spans="1:10">
      <c r="A5811" s="2" t="s">
        <v>148</v>
      </c>
      <c r="B5811" s="2" t="s">
        <v>101</v>
      </c>
      <c r="C5811" s="2">
        <v>0.124393</v>
      </c>
      <c r="D5811" s="60">
        <v>0</v>
      </c>
      <c r="E5811" s="2">
        <v>9.5</v>
      </c>
      <c r="F5811" s="2">
        <v>1.8</v>
      </c>
      <c r="G5811" s="2">
        <v>28.460100000000001</v>
      </c>
      <c r="H5811" s="2">
        <v>30.807099999999998</v>
      </c>
      <c r="I5811" s="2">
        <v>0</v>
      </c>
      <c r="J5811" s="2">
        <v>0</v>
      </c>
    </row>
    <row r="5812" spans="1:10">
      <c r="A5812" s="2" t="s">
        <v>148</v>
      </c>
      <c r="B5812" s="2" t="s">
        <v>59</v>
      </c>
      <c r="C5812" s="2">
        <v>0.34428900000000001</v>
      </c>
      <c r="D5812" s="60">
        <v>34.428899999999999</v>
      </c>
      <c r="E5812" s="2">
        <v>5.5</v>
      </c>
      <c r="F5812" s="2">
        <v>4</v>
      </c>
      <c r="G5812" s="2">
        <v>30.807099999999998</v>
      </c>
      <c r="H5812" s="2">
        <v>35.192100000000003</v>
      </c>
      <c r="I5812" s="2">
        <v>0</v>
      </c>
      <c r="J5812" s="2">
        <v>0</v>
      </c>
    </row>
    <row r="5813" spans="1:10">
      <c r="A5813" s="2" t="s">
        <v>148</v>
      </c>
      <c r="B5813" s="2" t="s">
        <v>56</v>
      </c>
      <c r="C5813" s="2">
        <v>0.61097100000000004</v>
      </c>
      <c r="D5813" s="60">
        <v>85.535899999999998</v>
      </c>
      <c r="E5813" s="2">
        <v>0.3</v>
      </c>
      <c r="F5813" s="2">
        <v>5.2</v>
      </c>
      <c r="G5813" s="2">
        <v>35.192100000000003</v>
      </c>
      <c r="H5813" s="2">
        <v>45.519799999999996</v>
      </c>
      <c r="I5813" s="2">
        <v>0</v>
      </c>
      <c r="J5813" s="2">
        <v>0</v>
      </c>
    </row>
    <row r="5814" spans="1:10">
      <c r="A5814" s="2" t="s">
        <v>138</v>
      </c>
      <c r="B5814" s="2">
        <v>8</v>
      </c>
      <c r="C5814" s="2">
        <v>19.717500000000001</v>
      </c>
      <c r="D5814" s="60" t="s">
        <v>139</v>
      </c>
    </row>
    <row r="5815" spans="1:10">
      <c r="A5815" s="2" t="s">
        <v>140</v>
      </c>
      <c r="B5815" s="2">
        <v>0</v>
      </c>
      <c r="C5815" s="2">
        <v>60.637500000000003</v>
      </c>
      <c r="D5815" s="60">
        <v>31.1541</v>
      </c>
    </row>
    <row r="5816" spans="1:10">
      <c r="A5816" s="2" t="s">
        <v>141</v>
      </c>
      <c r="B5816" s="2">
        <v>0</v>
      </c>
      <c r="C5816" s="2">
        <v>7</v>
      </c>
      <c r="D5816" s="60" t="s">
        <v>142</v>
      </c>
    </row>
    <row r="5817" spans="1:10">
      <c r="A5817" s="2" t="s">
        <v>141</v>
      </c>
      <c r="B5817" s="2">
        <v>0</v>
      </c>
      <c r="C5817" s="2">
        <v>23.8</v>
      </c>
      <c r="D5817" s="60" t="s">
        <v>146</v>
      </c>
    </row>
    <row r="5818" spans="1:10">
      <c r="A5818" s="2" t="s">
        <v>141</v>
      </c>
      <c r="B5818" s="2">
        <v>7</v>
      </c>
      <c r="C5818" s="2">
        <v>9.6</v>
      </c>
      <c r="D5818" s="60" t="s">
        <v>147</v>
      </c>
    </row>
    <row r="5819" spans="1:10">
      <c r="A5819" s="2" t="s">
        <v>141</v>
      </c>
      <c r="B5819" s="2">
        <v>9.6</v>
      </c>
      <c r="C5819" s="2">
        <v>11.2</v>
      </c>
      <c r="D5819" s="60" t="s">
        <v>151</v>
      </c>
    </row>
    <row r="5820" spans="1:10">
      <c r="A5820" s="2" t="s">
        <v>141</v>
      </c>
      <c r="B5820" s="2">
        <v>11.2</v>
      </c>
      <c r="C5820" s="2">
        <v>15.8</v>
      </c>
      <c r="D5820" s="60" t="s">
        <v>147</v>
      </c>
    </row>
    <row r="5821" spans="1:10">
      <c r="A5821" s="2" t="s">
        <v>141</v>
      </c>
      <c r="B5821" s="2">
        <v>15.8</v>
      </c>
      <c r="C5821" s="2">
        <v>23.8</v>
      </c>
      <c r="D5821" s="60" t="s">
        <v>144</v>
      </c>
    </row>
    <row r="5822" spans="1:10">
      <c r="A5822" s="2" t="s">
        <v>148</v>
      </c>
      <c r="B5822" s="2" t="s">
        <v>99</v>
      </c>
      <c r="C5822" s="2">
        <v>8.5829100000000005E-2</v>
      </c>
      <c r="D5822" s="60">
        <v>0</v>
      </c>
      <c r="E5822" s="2">
        <v>0</v>
      </c>
      <c r="F5822" s="2">
        <v>0.3</v>
      </c>
      <c r="G5822" s="2">
        <v>59.116500000000002</v>
      </c>
      <c r="H5822" s="2">
        <v>61.6751</v>
      </c>
      <c r="I5822" s="2">
        <v>0</v>
      </c>
      <c r="J5822" s="2">
        <v>0</v>
      </c>
    </row>
    <row r="5823" spans="1:10">
      <c r="A5823" s="2" t="s">
        <v>148</v>
      </c>
      <c r="B5823" s="2" t="s">
        <v>100</v>
      </c>
      <c r="C5823" s="2">
        <v>1.32246E-2</v>
      </c>
      <c r="D5823" s="60">
        <v>0</v>
      </c>
      <c r="E5823" s="2">
        <v>27.408899999999999</v>
      </c>
      <c r="F5823" s="2">
        <v>3.7451699999999999</v>
      </c>
      <c r="G5823" s="2">
        <v>0</v>
      </c>
      <c r="H5823" s="2">
        <v>10</v>
      </c>
      <c r="I5823" s="2">
        <v>0</v>
      </c>
      <c r="J5823" s="2">
        <v>0</v>
      </c>
    </row>
    <row r="5824" spans="1:10">
      <c r="A5824" s="2" t="s">
        <v>148</v>
      </c>
      <c r="B5824" s="2" t="s">
        <v>98</v>
      </c>
      <c r="C5824" s="2">
        <v>0.14973900000000001</v>
      </c>
      <c r="D5824" s="60">
        <v>0</v>
      </c>
      <c r="E5824" s="2">
        <v>20.7041</v>
      </c>
      <c r="F5824" s="2">
        <v>6.7048100000000002</v>
      </c>
      <c r="G5824" s="2">
        <v>10</v>
      </c>
      <c r="H5824" s="2">
        <v>23.042000000000002</v>
      </c>
      <c r="I5824" s="2">
        <v>0</v>
      </c>
      <c r="J5824" s="2">
        <v>0</v>
      </c>
    </row>
    <row r="5825" spans="1:10">
      <c r="A5825" s="2" t="s">
        <v>148</v>
      </c>
      <c r="B5825" s="2" t="s">
        <v>101</v>
      </c>
      <c r="C5825" s="2">
        <v>1.7440899999999999E-2</v>
      </c>
      <c r="D5825" s="60">
        <v>0</v>
      </c>
      <c r="E5825" s="2">
        <v>20.3</v>
      </c>
      <c r="F5825" s="2">
        <v>0.40410699999999999</v>
      </c>
      <c r="G5825" s="2">
        <v>23.042000000000002</v>
      </c>
      <c r="H5825" s="2">
        <v>23.838699999999999</v>
      </c>
      <c r="I5825" s="2">
        <v>0</v>
      </c>
      <c r="J5825" s="2">
        <v>0</v>
      </c>
    </row>
    <row r="5826" spans="1:10">
      <c r="A5826" s="2" t="s">
        <v>148</v>
      </c>
      <c r="B5826" s="2" t="s">
        <v>60</v>
      </c>
      <c r="C5826" s="2">
        <v>0.24201600000000001</v>
      </c>
      <c r="D5826" s="60">
        <v>21.781400000000001</v>
      </c>
      <c r="E5826" s="2">
        <v>16.3</v>
      </c>
      <c r="F5826" s="2">
        <v>4</v>
      </c>
      <c r="G5826" s="2">
        <v>23.838699999999999</v>
      </c>
      <c r="H5826" s="2">
        <v>31.3718</v>
      </c>
      <c r="I5826" s="2">
        <v>0</v>
      </c>
      <c r="J5826" s="2">
        <v>0</v>
      </c>
    </row>
    <row r="5827" spans="1:10">
      <c r="A5827" s="2" t="s">
        <v>148</v>
      </c>
      <c r="B5827" s="2" t="s">
        <v>59</v>
      </c>
      <c r="C5827" s="2">
        <v>0.380083</v>
      </c>
      <c r="D5827" s="60">
        <v>38.008299999999998</v>
      </c>
      <c r="E5827" s="2">
        <v>12.3</v>
      </c>
      <c r="F5827" s="2">
        <v>4</v>
      </c>
      <c r="G5827" s="2">
        <v>31.3718</v>
      </c>
      <c r="H5827" s="2">
        <v>37.892499999999998</v>
      </c>
      <c r="I5827" s="2">
        <v>0</v>
      </c>
      <c r="J5827" s="2">
        <v>0</v>
      </c>
    </row>
    <row r="5828" spans="1:10">
      <c r="A5828" s="2" t="s">
        <v>148</v>
      </c>
      <c r="B5828" s="2" t="s">
        <v>62</v>
      </c>
      <c r="C5828" s="2">
        <v>0.51972200000000002</v>
      </c>
      <c r="D5828" s="60">
        <v>41.5777</v>
      </c>
      <c r="E5828" s="2">
        <v>8.3000000000000007</v>
      </c>
      <c r="F5828" s="2">
        <v>4</v>
      </c>
      <c r="G5828" s="2">
        <v>37.892499999999998</v>
      </c>
      <c r="H5828" s="2">
        <v>43.204900000000002</v>
      </c>
      <c r="I5828" s="2">
        <v>0</v>
      </c>
      <c r="J5828" s="2">
        <v>0</v>
      </c>
    </row>
    <row r="5829" spans="1:10">
      <c r="A5829" s="2" t="s">
        <v>148</v>
      </c>
      <c r="B5829" s="2" t="s">
        <v>57</v>
      </c>
      <c r="C5829" s="2">
        <v>0.65058499999999997</v>
      </c>
      <c r="D5829" s="60">
        <v>78.0702</v>
      </c>
      <c r="E5829" s="2">
        <v>4.3</v>
      </c>
      <c r="F5829" s="2">
        <v>4</v>
      </c>
      <c r="G5829" s="2">
        <v>43.204900000000002</v>
      </c>
      <c r="H5829" s="2">
        <v>47.752200000000002</v>
      </c>
      <c r="I5829" s="2">
        <v>0</v>
      </c>
      <c r="J5829" s="2">
        <v>0</v>
      </c>
    </row>
    <row r="5830" spans="1:10">
      <c r="A5830" s="2" t="s">
        <v>148</v>
      </c>
      <c r="B5830" s="2" t="s">
        <v>55</v>
      </c>
      <c r="C5830" s="2">
        <v>0.83909299999999998</v>
      </c>
      <c r="D5830" s="60">
        <v>121.66800000000001</v>
      </c>
      <c r="E5830" s="2">
        <v>0.3</v>
      </c>
      <c r="F5830" s="2">
        <v>4</v>
      </c>
      <c r="G5830" s="2">
        <v>47.752200000000002</v>
      </c>
      <c r="H5830" s="2">
        <v>59.116500000000002</v>
      </c>
      <c r="I5830" s="2">
        <v>0</v>
      </c>
      <c r="J5830" s="2">
        <v>0</v>
      </c>
    </row>
    <row r="5831" spans="1:10">
      <c r="A5831" s="2" t="s">
        <v>138</v>
      </c>
      <c r="B5831" s="2">
        <v>9</v>
      </c>
      <c r="C5831" s="2">
        <v>19.320399999999999</v>
      </c>
      <c r="D5831" s="60" t="s">
        <v>149</v>
      </c>
    </row>
    <row r="5832" spans="1:10">
      <c r="A5832" s="2" t="s">
        <v>140</v>
      </c>
      <c r="B5832" s="2">
        <v>0</v>
      </c>
      <c r="C5832" s="2">
        <v>48.26</v>
      </c>
      <c r="D5832" s="60">
        <v>27.332599999999999</v>
      </c>
    </row>
    <row r="5833" spans="1:10">
      <c r="A5833" s="2" t="s">
        <v>141</v>
      </c>
      <c r="B5833" s="2">
        <v>0</v>
      </c>
      <c r="C5833" s="2">
        <v>5.8</v>
      </c>
      <c r="D5833" s="60" t="s">
        <v>142</v>
      </c>
    </row>
    <row r="5834" spans="1:10">
      <c r="A5834" s="2" t="s">
        <v>141</v>
      </c>
      <c r="B5834" s="2">
        <v>0</v>
      </c>
      <c r="C5834" s="2">
        <v>10.199999999999999</v>
      </c>
      <c r="D5834" s="60" t="s">
        <v>146</v>
      </c>
    </row>
    <row r="5835" spans="1:10">
      <c r="A5835" s="2" t="s">
        <v>141</v>
      </c>
      <c r="B5835" s="2">
        <v>5.8</v>
      </c>
      <c r="C5835" s="2">
        <v>10.199999999999999</v>
      </c>
      <c r="D5835" s="60" t="s">
        <v>145</v>
      </c>
    </row>
    <row r="5836" spans="1:10">
      <c r="A5836" s="2" t="s">
        <v>141</v>
      </c>
      <c r="B5836" s="2">
        <v>10.199999999999999</v>
      </c>
      <c r="C5836" s="2">
        <v>10.9</v>
      </c>
      <c r="D5836" s="60" t="s">
        <v>147</v>
      </c>
    </row>
    <row r="5837" spans="1:10">
      <c r="A5837" s="2" t="s">
        <v>141</v>
      </c>
      <c r="B5837" s="2">
        <v>10.199999999999999</v>
      </c>
      <c r="C5837" s="2">
        <v>10.9</v>
      </c>
      <c r="D5837" s="60" t="s">
        <v>161</v>
      </c>
    </row>
    <row r="5838" spans="1:10">
      <c r="A5838" s="2" t="s">
        <v>141</v>
      </c>
      <c r="B5838" s="2">
        <v>10.9</v>
      </c>
      <c r="C5838" s="2">
        <v>21.101800000000001</v>
      </c>
      <c r="D5838" s="60" t="s">
        <v>144</v>
      </c>
    </row>
    <row r="5839" spans="1:10">
      <c r="A5839" s="2" t="s">
        <v>141</v>
      </c>
      <c r="B5839" s="2">
        <v>10.9</v>
      </c>
      <c r="C5839" s="2">
        <v>21.101800000000001</v>
      </c>
      <c r="D5839" s="60" t="s">
        <v>146</v>
      </c>
    </row>
    <row r="5840" spans="1:10">
      <c r="A5840" s="2" t="s">
        <v>148</v>
      </c>
      <c r="B5840" s="2" t="s">
        <v>99</v>
      </c>
      <c r="C5840" s="2">
        <v>5.6555000000000001E-2</v>
      </c>
      <c r="D5840" s="60">
        <v>0</v>
      </c>
      <c r="E5840" s="2">
        <v>0</v>
      </c>
      <c r="F5840" s="2">
        <v>0.3</v>
      </c>
      <c r="G5840" s="2">
        <v>47.865200000000002</v>
      </c>
      <c r="H5840" s="2">
        <v>50.205399999999997</v>
      </c>
      <c r="I5840" s="2">
        <v>0</v>
      </c>
      <c r="J5840" s="2">
        <v>0</v>
      </c>
    </row>
    <row r="5841" spans="1:10">
      <c r="A5841" s="2" t="s">
        <v>148</v>
      </c>
      <c r="B5841" s="2" t="s">
        <v>100</v>
      </c>
      <c r="C5841" s="2">
        <v>1.46655E-2</v>
      </c>
      <c r="D5841" s="60">
        <v>0</v>
      </c>
      <c r="E5841" s="2">
        <v>22.969799999999999</v>
      </c>
      <c r="F5841" s="2">
        <v>4.3627799999999999</v>
      </c>
      <c r="G5841" s="2">
        <v>0</v>
      </c>
      <c r="H5841" s="2">
        <v>10</v>
      </c>
      <c r="I5841" s="2">
        <v>0</v>
      </c>
      <c r="J5841" s="2">
        <v>0</v>
      </c>
    </row>
    <row r="5842" spans="1:10">
      <c r="A5842" s="2" t="s">
        <v>148</v>
      </c>
      <c r="B5842" s="2" t="s">
        <v>98</v>
      </c>
      <c r="C5842" s="2">
        <v>8.8910400000000001E-2</v>
      </c>
      <c r="D5842" s="60">
        <v>0</v>
      </c>
      <c r="E5842" s="2">
        <v>17.854199999999999</v>
      </c>
      <c r="F5842" s="2">
        <v>5.1156100000000002</v>
      </c>
      <c r="G5842" s="2">
        <v>10</v>
      </c>
      <c r="H5842" s="2">
        <v>19.3246</v>
      </c>
      <c r="I5842" s="2">
        <v>0</v>
      </c>
      <c r="J5842" s="2">
        <v>0</v>
      </c>
    </row>
    <row r="5843" spans="1:10">
      <c r="A5843" s="2" t="s">
        <v>148</v>
      </c>
      <c r="B5843" s="2" t="s">
        <v>101</v>
      </c>
      <c r="C5843" s="2">
        <v>3.0569800000000001E-2</v>
      </c>
      <c r="D5843" s="60">
        <v>0</v>
      </c>
      <c r="E5843" s="2">
        <v>16.899999999999999</v>
      </c>
      <c r="F5843" s="2">
        <v>0.95417399999999997</v>
      </c>
      <c r="G5843" s="2">
        <v>19.3246</v>
      </c>
      <c r="H5843" s="2">
        <v>21.0519</v>
      </c>
      <c r="I5843" s="2">
        <v>0</v>
      </c>
      <c r="J5843" s="2">
        <v>0</v>
      </c>
    </row>
    <row r="5844" spans="1:10">
      <c r="A5844" s="2" t="s">
        <v>148</v>
      </c>
      <c r="B5844" s="2" t="s">
        <v>61</v>
      </c>
      <c r="C5844" s="2">
        <v>0.32430900000000001</v>
      </c>
      <c r="D5844" s="60">
        <v>27.566299999999998</v>
      </c>
      <c r="E5844" s="2">
        <v>10.9</v>
      </c>
      <c r="F5844" s="2">
        <v>6</v>
      </c>
      <c r="G5844" s="2">
        <v>21.0519</v>
      </c>
      <c r="H5844" s="2">
        <v>30.696000000000002</v>
      </c>
      <c r="I5844" s="2">
        <v>0</v>
      </c>
      <c r="J5844" s="2">
        <v>0</v>
      </c>
    </row>
    <row r="5845" spans="1:10">
      <c r="A5845" s="2" t="s">
        <v>148</v>
      </c>
      <c r="B5845" s="2" t="s">
        <v>101</v>
      </c>
      <c r="C5845" s="2">
        <v>0.110072</v>
      </c>
      <c r="D5845" s="60">
        <v>0</v>
      </c>
      <c r="E5845" s="2">
        <v>9.5</v>
      </c>
      <c r="F5845" s="2">
        <v>1.4</v>
      </c>
      <c r="G5845" s="2">
        <v>30.696000000000002</v>
      </c>
      <c r="H5845" s="2">
        <v>32.5471</v>
      </c>
      <c r="I5845" s="2">
        <v>0</v>
      </c>
      <c r="J5845" s="2">
        <v>0</v>
      </c>
    </row>
    <row r="5846" spans="1:10">
      <c r="A5846" s="2" t="s">
        <v>148</v>
      </c>
      <c r="B5846" s="2" t="s">
        <v>59</v>
      </c>
      <c r="C5846" s="2">
        <v>0.38287399999999999</v>
      </c>
      <c r="D5846" s="60">
        <v>38.287399999999998</v>
      </c>
      <c r="E5846" s="2">
        <v>5.5</v>
      </c>
      <c r="F5846" s="2">
        <v>4</v>
      </c>
      <c r="G5846" s="2">
        <v>32.5471</v>
      </c>
      <c r="H5846" s="2">
        <v>37.063699999999997</v>
      </c>
      <c r="I5846" s="2">
        <v>0</v>
      </c>
      <c r="J5846" s="2">
        <v>0</v>
      </c>
    </row>
    <row r="5847" spans="1:10">
      <c r="A5847" s="2" t="s">
        <v>148</v>
      </c>
      <c r="B5847" s="2" t="s">
        <v>56</v>
      </c>
      <c r="C5847" s="2">
        <v>0.676674</v>
      </c>
      <c r="D5847" s="60">
        <v>94.734399999999994</v>
      </c>
      <c r="E5847" s="2">
        <v>0.3</v>
      </c>
      <c r="F5847" s="2">
        <v>5.2</v>
      </c>
      <c r="G5847" s="2">
        <v>37.063699999999997</v>
      </c>
      <c r="H5847" s="2">
        <v>47.865200000000002</v>
      </c>
      <c r="I5847" s="2">
        <v>0</v>
      </c>
      <c r="J5847" s="2">
        <v>0</v>
      </c>
    </row>
    <row r="5848" spans="1:10">
      <c r="A5848" s="2" t="s">
        <v>138</v>
      </c>
      <c r="B5848" s="2">
        <v>10</v>
      </c>
      <c r="C5848" s="2">
        <v>19.722100000000001</v>
      </c>
      <c r="D5848" s="60" t="s">
        <v>149</v>
      </c>
    </row>
    <row r="5849" spans="1:10">
      <c r="A5849" s="2" t="s">
        <v>140</v>
      </c>
      <c r="B5849" s="2">
        <v>0</v>
      </c>
      <c r="C5849" s="2">
        <v>63.0764</v>
      </c>
      <c r="D5849" s="60">
        <v>29.218699999999998</v>
      </c>
    </row>
    <row r="5850" spans="1:10">
      <c r="A5850" s="2" t="s">
        <v>141</v>
      </c>
      <c r="B5850" s="2">
        <v>0</v>
      </c>
      <c r="C5850" s="2">
        <v>6.4</v>
      </c>
      <c r="D5850" s="60" t="s">
        <v>142</v>
      </c>
    </row>
    <row r="5851" spans="1:10">
      <c r="A5851" s="2" t="s">
        <v>141</v>
      </c>
      <c r="B5851" s="2">
        <v>0</v>
      </c>
      <c r="C5851" s="2">
        <v>22.433499999999999</v>
      </c>
      <c r="D5851" s="60" t="s">
        <v>146</v>
      </c>
    </row>
    <row r="5852" spans="1:10">
      <c r="A5852" s="2" t="s">
        <v>141</v>
      </c>
      <c r="B5852" s="2">
        <v>6.4</v>
      </c>
      <c r="C5852" s="2">
        <v>7.1</v>
      </c>
      <c r="D5852" s="60" t="s">
        <v>151</v>
      </c>
    </row>
    <row r="5853" spans="1:10">
      <c r="A5853" s="2" t="s">
        <v>141</v>
      </c>
      <c r="B5853" s="2">
        <v>7.1</v>
      </c>
      <c r="C5853" s="2">
        <v>8.8000000000000007</v>
      </c>
      <c r="D5853" s="60" t="s">
        <v>144</v>
      </c>
    </row>
    <row r="5854" spans="1:10">
      <c r="A5854" s="2" t="s">
        <v>141</v>
      </c>
      <c r="B5854" s="2">
        <v>8.8000000000000007</v>
      </c>
      <c r="C5854" s="2">
        <v>11.7</v>
      </c>
      <c r="D5854" s="60" t="s">
        <v>151</v>
      </c>
    </row>
    <row r="5855" spans="1:10">
      <c r="A5855" s="2" t="s">
        <v>141</v>
      </c>
      <c r="B5855" s="2">
        <v>11.7</v>
      </c>
      <c r="C5855" s="2">
        <v>15.9</v>
      </c>
      <c r="D5855" s="60" t="s">
        <v>145</v>
      </c>
    </row>
    <row r="5856" spans="1:10">
      <c r="A5856" s="2" t="s">
        <v>141</v>
      </c>
      <c r="B5856" s="2">
        <v>15.9</v>
      </c>
      <c r="C5856" s="2">
        <v>22.433499999999999</v>
      </c>
      <c r="D5856" s="60" t="s">
        <v>144</v>
      </c>
    </row>
    <row r="5857" spans="1:10">
      <c r="A5857" s="2" t="s">
        <v>148</v>
      </c>
      <c r="B5857" s="2" t="s">
        <v>99</v>
      </c>
      <c r="C5857" s="2">
        <v>9.1730300000000001E-2</v>
      </c>
      <c r="D5857" s="60">
        <v>0</v>
      </c>
      <c r="E5857" s="2">
        <v>0</v>
      </c>
      <c r="F5857" s="2">
        <v>0.3</v>
      </c>
      <c r="G5857" s="2">
        <v>61.040599999999998</v>
      </c>
      <c r="H5857" s="2">
        <v>63.845599999999997</v>
      </c>
      <c r="I5857" s="2">
        <v>0</v>
      </c>
      <c r="J5857" s="2">
        <v>0</v>
      </c>
    </row>
    <row r="5858" spans="1:10">
      <c r="A5858" s="2" t="s">
        <v>148</v>
      </c>
      <c r="B5858" s="2" t="s">
        <v>100</v>
      </c>
      <c r="C5858" s="2">
        <v>1.18823E-2</v>
      </c>
      <c r="D5858" s="60">
        <v>0</v>
      </c>
      <c r="E5858" s="2">
        <v>25.8794</v>
      </c>
      <c r="F5858" s="2">
        <v>3.33927</v>
      </c>
      <c r="G5858" s="2">
        <v>0</v>
      </c>
      <c r="H5858" s="2">
        <v>10.000400000000001</v>
      </c>
      <c r="I5858" s="2">
        <v>0</v>
      </c>
      <c r="J5858" s="2">
        <v>0</v>
      </c>
    </row>
    <row r="5859" spans="1:10">
      <c r="A5859" s="2" t="s">
        <v>148</v>
      </c>
      <c r="B5859" s="2" t="s">
        <v>98</v>
      </c>
      <c r="C5859" s="2">
        <v>0.49752999999999997</v>
      </c>
      <c r="D5859" s="60">
        <v>0</v>
      </c>
      <c r="E5859" s="2">
        <v>14.319699999999999</v>
      </c>
      <c r="F5859" s="2">
        <v>11.559699999999999</v>
      </c>
      <c r="G5859" s="2">
        <v>10.000400000000001</v>
      </c>
      <c r="H5859" s="2">
        <v>34.3337</v>
      </c>
      <c r="I5859" s="2">
        <v>0</v>
      </c>
      <c r="J5859" s="2">
        <v>0</v>
      </c>
    </row>
    <row r="5860" spans="1:10">
      <c r="A5860" s="2" t="s">
        <v>148</v>
      </c>
      <c r="B5860" s="2" t="s">
        <v>101</v>
      </c>
      <c r="C5860" s="2">
        <v>1.11576E-2</v>
      </c>
      <c r="D5860" s="60">
        <v>0</v>
      </c>
      <c r="E5860" s="2">
        <v>14.2</v>
      </c>
      <c r="F5860" s="2">
        <v>0.11973</v>
      </c>
      <c r="G5860" s="2">
        <v>34.3337</v>
      </c>
      <c r="H5860" s="2">
        <v>34.558199999999999</v>
      </c>
      <c r="I5860" s="2">
        <v>0</v>
      </c>
      <c r="J5860" s="2">
        <v>0</v>
      </c>
    </row>
    <row r="5861" spans="1:10">
      <c r="A5861" s="2" t="s">
        <v>148</v>
      </c>
      <c r="B5861" s="2" t="s">
        <v>62</v>
      </c>
      <c r="C5861" s="2">
        <v>0.45632</v>
      </c>
      <c r="D5861" s="60">
        <v>36.505600000000001</v>
      </c>
      <c r="E5861" s="2">
        <v>10.199999999999999</v>
      </c>
      <c r="F5861" s="2">
        <v>4</v>
      </c>
      <c r="G5861" s="2">
        <v>34.558199999999999</v>
      </c>
      <c r="H5861" s="2">
        <v>41.322800000000001</v>
      </c>
      <c r="I5861" s="2">
        <v>0</v>
      </c>
      <c r="J5861" s="2">
        <v>0</v>
      </c>
    </row>
    <row r="5862" spans="1:10">
      <c r="A5862" s="2" t="s">
        <v>148</v>
      </c>
      <c r="B5862" s="2" t="s">
        <v>62</v>
      </c>
      <c r="C5862" s="2">
        <v>0.61242799999999997</v>
      </c>
      <c r="D5862" s="60">
        <v>48.994199999999999</v>
      </c>
      <c r="E5862" s="2">
        <v>6.2</v>
      </c>
      <c r="F5862" s="2">
        <v>4</v>
      </c>
      <c r="G5862" s="2">
        <v>41.322800000000001</v>
      </c>
      <c r="H5862" s="2">
        <v>46.739100000000001</v>
      </c>
      <c r="I5862" s="2">
        <v>0</v>
      </c>
      <c r="J5862" s="2">
        <v>0</v>
      </c>
    </row>
    <row r="5863" spans="1:10">
      <c r="A5863" s="2" t="s">
        <v>148</v>
      </c>
      <c r="B5863" s="2" t="s">
        <v>55</v>
      </c>
      <c r="C5863" s="2">
        <v>1.2313099999999999</v>
      </c>
      <c r="D5863" s="60">
        <v>178.541</v>
      </c>
      <c r="E5863" s="2">
        <v>0.3</v>
      </c>
      <c r="F5863" s="2">
        <v>5.9</v>
      </c>
      <c r="G5863" s="2">
        <v>46.739100000000001</v>
      </c>
      <c r="H5863" s="2">
        <v>61.040599999999998</v>
      </c>
      <c r="I5863" s="2">
        <v>0</v>
      </c>
      <c r="J5863" s="2">
        <v>0</v>
      </c>
    </row>
    <row r="5864" spans="1:10">
      <c r="A5864" s="2" t="s">
        <v>138</v>
      </c>
      <c r="B5864" s="2">
        <v>11</v>
      </c>
      <c r="C5864" s="2">
        <v>19.598400000000002</v>
      </c>
      <c r="D5864" s="60" t="s">
        <v>149</v>
      </c>
    </row>
    <row r="5865" spans="1:10">
      <c r="A5865" s="2" t="s">
        <v>140</v>
      </c>
      <c r="B5865" s="2">
        <v>0</v>
      </c>
      <c r="C5865" s="2">
        <v>56.579000000000001</v>
      </c>
      <c r="D5865" s="60">
        <v>28.453600000000002</v>
      </c>
    </row>
    <row r="5866" spans="1:10">
      <c r="A5866" s="2" t="s">
        <v>141</v>
      </c>
      <c r="B5866" s="2">
        <v>0</v>
      </c>
      <c r="C5866" s="2">
        <v>6.9</v>
      </c>
      <c r="D5866" s="60" t="s">
        <v>142</v>
      </c>
    </row>
    <row r="5867" spans="1:10">
      <c r="A5867" s="2" t="s">
        <v>141</v>
      </c>
      <c r="B5867" s="2">
        <v>0</v>
      </c>
      <c r="C5867" s="2">
        <v>8.9</v>
      </c>
      <c r="D5867" s="60" t="s">
        <v>146</v>
      </c>
    </row>
    <row r="5868" spans="1:10">
      <c r="A5868" s="2" t="s">
        <v>141</v>
      </c>
      <c r="B5868" s="2">
        <v>6.9</v>
      </c>
      <c r="C5868" s="2">
        <v>8.9</v>
      </c>
      <c r="D5868" s="60" t="s">
        <v>147</v>
      </c>
    </row>
    <row r="5869" spans="1:10">
      <c r="A5869" s="2" t="s">
        <v>141</v>
      </c>
      <c r="B5869" s="2">
        <v>8.9</v>
      </c>
      <c r="C5869" s="2">
        <v>10</v>
      </c>
      <c r="D5869" s="60" t="s">
        <v>151</v>
      </c>
    </row>
    <row r="5870" spans="1:10">
      <c r="A5870" s="2" t="s">
        <v>141</v>
      </c>
      <c r="B5870" s="2">
        <v>8.9</v>
      </c>
      <c r="C5870" s="2">
        <v>10</v>
      </c>
      <c r="D5870" s="60" t="s">
        <v>159</v>
      </c>
    </row>
    <row r="5871" spans="1:10">
      <c r="A5871" s="2" t="s">
        <v>141</v>
      </c>
      <c r="B5871" s="2">
        <v>10</v>
      </c>
      <c r="C5871" s="2">
        <v>12</v>
      </c>
      <c r="D5871" s="60" t="s">
        <v>152</v>
      </c>
    </row>
    <row r="5872" spans="1:10">
      <c r="A5872" s="2" t="s">
        <v>141</v>
      </c>
      <c r="B5872" s="2">
        <v>10</v>
      </c>
      <c r="C5872" s="2">
        <v>21.8933</v>
      </c>
      <c r="D5872" s="60" t="s">
        <v>144</v>
      </c>
    </row>
    <row r="5873" spans="1:10">
      <c r="A5873" s="2" t="s">
        <v>141</v>
      </c>
      <c r="B5873" s="2">
        <v>12</v>
      </c>
      <c r="C5873" s="2">
        <v>21.8933</v>
      </c>
      <c r="D5873" s="60" t="s">
        <v>161</v>
      </c>
    </row>
    <row r="5874" spans="1:10">
      <c r="A5874" s="2" t="s">
        <v>148</v>
      </c>
      <c r="B5874" s="2" t="s">
        <v>99</v>
      </c>
      <c r="C5874" s="2">
        <v>7.5377600000000003E-2</v>
      </c>
      <c r="D5874" s="60">
        <v>0</v>
      </c>
      <c r="E5874" s="2">
        <v>0</v>
      </c>
      <c r="F5874" s="2">
        <v>0.3</v>
      </c>
      <c r="G5874" s="2">
        <v>55.304099999999998</v>
      </c>
      <c r="H5874" s="2">
        <v>57.908999999999999</v>
      </c>
      <c r="I5874" s="2">
        <v>0</v>
      </c>
      <c r="J5874" s="2">
        <v>0</v>
      </c>
    </row>
    <row r="5875" spans="1:10">
      <c r="A5875" s="2" t="s">
        <v>148</v>
      </c>
      <c r="B5875" s="2" t="s">
        <v>100</v>
      </c>
      <c r="C5875" s="2">
        <v>1.3025399999999999E-2</v>
      </c>
      <c r="D5875" s="60">
        <v>0</v>
      </c>
      <c r="E5875" s="2">
        <v>24.711099999999998</v>
      </c>
      <c r="F5875" s="2">
        <v>3.74248</v>
      </c>
      <c r="G5875" s="2">
        <v>0</v>
      </c>
      <c r="H5875" s="2">
        <v>10</v>
      </c>
      <c r="I5875" s="2">
        <v>0</v>
      </c>
      <c r="J5875" s="2">
        <v>0</v>
      </c>
    </row>
    <row r="5876" spans="1:10">
      <c r="A5876" s="2" t="s">
        <v>148</v>
      </c>
      <c r="B5876" s="2" t="s">
        <v>98</v>
      </c>
      <c r="C5876" s="2">
        <v>7.3330599999999996E-2</v>
      </c>
      <c r="D5876" s="60">
        <v>0</v>
      </c>
      <c r="E5876" s="2">
        <v>20.305299999999999</v>
      </c>
      <c r="F5876" s="2">
        <v>4.4057599999999999</v>
      </c>
      <c r="G5876" s="2">
        <v>10</v>
      </c>
      <c r="H5876" s="2">
        <v>18.7835</v>
      </c>
      <c r="I5876" s="2">
        <v>0</v>
      </c>
      <c r="J5876" s="2">
        <v>0</v>
      </c>
    </row>
    <row r="5877" spans="1:10">
      <c r="A5877" s="2" t="s">
        <v>148</v>
      </c>
      <c r="B5877" s="2" t="s">
        <v>101</v>
      </c>
      <c r="C5877" s="2">
        <v>0.88731899999999997</v>
      </c>
      <c r="D5877" s="60">
        <v>0</v>
      </c>
      <c r="E5877" s="2">
        <v>8.3000000000000007</v>
      </c>
      <c r="F5877" s="2">
        <v>12.0053</v>
      </c>
      <c r="G5877" s="2">
        <v>18.7835</v>
      </c>
      <c r="H5877" s="2">
        <v>39.667099999999998</v>
      </c>
      <c r="I5877" s="2">
        <v>0</v>
      </c>
      <c r="J5877" s="2">
        <v>0</v>
      </c>
    </row>
    <row r="5878" spans="1:10">
      <c r="A5878" s="2" t="s">
        <v>148</v>
      </c>
      <c r="B5878" s="2" t="s">
        <v>59</v>
      </c>
      <c r="C5878" s="2">
        <v>0.55653600000000003</v>
      </c>
      <c r="D5878" s="60">
        <v>55.653599999999997</v>
      </c>
      <c r="E5878" s="2">
        <v>4.3</v>
      </c>
      <c r="F5878" s="2">
        <v>4</v>
      </c>
      <c r="G5878" s="2">
        <v>39.667099999999998</v>
      </c>
      <c r="H5878" s="2">
        <v>44.388300000000001</v>
      </c>
      <c r="I5878" s="2">
        <v>0</v>
      </c>
      <c r="J5878" s="2">
        <v>0</v>
      </c>
    </row>
    <row r="5879" spans="1:10">
      <c r="A5879" s="2" t="s">
        <v>148</v>
      </c>
      <c r="B5879" s="2" t="s">
        <v>55</v>
      </c>
      <c r="C5879" s="2">
        <v>0.72761299999999995</v>
      </c>
      <c r="D5879" s="60">
        <v>105.504</v>
      </c>
      <c r="E5879" s="2">
        <v>0.3</v>
      </c>
      <c r="F5879" s="2">
        <v>4</v>
      </c>
      <c r="G5879" s="2">
        <v>44.388300000000001</v>
      </c>
      <c r="H5879" s="2">
        <v>55.304099999999998</v>
      </c>
      <c r="I5879" s="2">
        <v>0</v>
      </c>
      <c r="J5879" s="2">
        <v>0</v>
      </c>
    </row>
    <row r="5880" spans="1:10">
      <c r="A5880" s="2" t="s">
        <v>138</v>
      </c>
      <c r="B5880" s="2">
        <v>12</v>
      </c>
      <c r="C5880" s="2">
        <v>18.6221</v>
      </c>
      <c r="D5880" s="60" t="s">
        <v>149</v>
      </c>
    </row>
    <row r="5881" spans="1:10">
      <c r="A5881" s="2" t="s">
        <v>140</v>
      </c>
      <c r="B5881" s="2">
        <v>0</v>
      </c>
      <c r="C5881" s="2">
        <v>38.610399999999998</v>
      </c>
      <c r="D5881" s="60">
        <v>25.8035</v>
      </c>
    </row>
    <row r="5882" spans="1:10">
      <c r="A5882" s="2" t="s">
        <v>141</v>
      </c>
      <c r="B5882" s="2">
        <v>0</v>
      </c>
      <c r="C5882" s="2">
        <v>6.4</v>
      </c>
      <c r="D5882" s="60" t="s">
        <v>142</v>
      </c>
    </row>
    <row r="5883" spans="1:10">
      <c r="A5883" s="2" t="s">
        <v>141</v>
      </c>
      <c r="B5883" s="2">
        <v>0</v>
      </c>
      <c r="C5883" s="2">
        <v>7.4</v>
      </c>
      <c r="D5883" s="60" t="s">
        <v>158</v>
      </c>
    </row>
    <row r="5884" spans="1:10">
      <c r="A5884" s="2" t="s">
        <v>141</v>
      </c>
      <c r="B5884" s="2">
        <v>0</v>
      </c>
      <c r="C5884" s="2">
        <v>11.7</v>
      </c>
      <c r="D5884" s="60" t="s">
        <v>161</v>
      </c>
    </row>
    <row r="5885" spans="1:10">
      <c r="A5885" s="2" t="s">
        <v>141</v>
      </c>
      <c r="B5885" s="2">
        <v>6.4</v>
      </c>
      <c r="C5885" s="2">
        <v>7.4</v>
      </c>
      <c r="D5885" s="60" t="s">
        <v>151</v>
      </c>
    </row>
    <row r="5886" spans="1:10">
      <c r="A5886" s="2" t="s">
        <v>141</v>
      </c>
      <c r="B5886" s="2">
        <v>7.4</v>
      </c>
      <c r="C5886" s="2">
        <v>7.8</v>
      </c>
      <c r="D5886" s="60" t="s">
        <v>144</v>
      </c>
    </row>
    <row r="5887" spans="1:10">
      <c r="A5887" s="2" t="s">
        <v>141</v>
      </c>
      <c r="B5887" s="2">
        <v>7.4</v>
      </c>
      <c r="C5887" s="2">
        <v>7.8</v>
      </c>
      <c r="D5887" s="60" t="s">
        <v>174</v>
      </c>
    </row>
    <row r="5888" spans="1:10">
      <c r="A5888" s="2" t="s">
        <v>141</v>
      </c>
      <c r="B5888" s="2">
        <v>7.8</v>
      </c>
      <c r="C5888" s="2">
        <v>8</v>
      </c>
      <c r="D5888" s="60" t="s">
        <v>145</v>
      </c>
    </row>
    <row r="5889" spans="1:10">
      <c r="A5889" s="2" t="s">
        <v>141</v>
      </c>
      <c r="B5889" s="2">
        <v>8</v>
      </c>
      <c r="C5889" s="2">
        <v>20.022200000000002</v>
      </c>
      <c r="D5889" s="60" t="s">
        <v>144</v>
      </c>
    </row>
    <row r="5890" spans="1:10">
      <c r="A5890" s="2" t="s">
        <v>141</v>
      </c>
      <c r="B5890" s="2">
        <v>11.7</v>
      </c>
      <c r="C5890" s="2">
        <v>20.022200000000002</v>
      </c>
      <c r="D5890" s="60" t="s">
        <v>152</v>
      </c>
    </row>
    <row r="5891" spans="1:10">
      <c r="A5891" s="2" t="s">
        <v>148</v>
      </c>
      <c r="B5891" s="2" t="s">
        <v>99</v>
      </c>
      <c r="C5891" s="2">
        <v>3.7796000000000003E-2</v>
      </c>
      <c r="D5891" s="60">
        <v>0</v>
      </c>
      <c r="E5891" s="2">
        <v>0</v>
      </c>
      <c r="F5891" s="2">
        <v>0.3</v>
      </c>
      <c r="G5891" s="2">
        <v>39.082799999999999</v>
      </c>
      <c r="H5891" s="2">
        <v>41.097999999999999</v>
      </c>
      <c r="I5891" s="2">
        <v>0</v>
      </c>
      <c r="J5891" s="2">
        <v>0</v>
      </c>
    </row>
    <row r="5892" spans="1:10">
      <c r="A5892" s="2" t="s">
        <v>148</v>
      </c>
      <c r="B5892" s="2" t="s">
        <v>100</v>
      </c>
      <c r="C5892" s="2">
        <v>1.69336E-2</v>
      </c>
      <c r="D5892" s="60">
        <v>0</v>
      </c>
      <c r="E5892" s="2">
        <v>20.508500000000002</v>
      </c>
      <c r="F5892" s="2">
        <v>5.2949799999999998</v>
      </c>
      <c r="G5892" s="2">
        <v>0</v>
      </c>
      <c r="H5892" s="2">
        <v>10</v>
      </c>
      <c r="I5892" s="2">
        <v>0</v>
      </c>
      <c r="J5892" s="2">
        <v>0</v>
      </c>
    </row>
    <row r="5893" spans="1:10">
      <c r="A5893" s="2" t="s">
        <v>148</v>
      </c>
      <c r="B5893" s="2" t="s">
        <v>98</v>
      </c>
      <c r="C5893" s="2">
        <v>0.17066000000000001</v>
      </c>
      <c r="D5893" s="60">
        <v>0</v>
      </c>
      <c r="E5893" s="2">
        <v>12.6152</v>
      </c>
      <c r="F5893" s="2">
        <v>7.8933200000000001</v>
      </c>
      <c r="G5893" s="2">
        <v>10</v>
      </c>
      <c r="H5893" s="2">
        <v>22.1431</v>
      </c>
      <c r="I5893" s="2">
        <v>0</v>
      </c>
      <c r="J5893" s="2">
        <v>0</v>
      </c>
    </row>
    <row r="5894" spans="1:10">
      <c r="A5894" s="2" t="s">
        <v>148</v>
      </c>
      <c r="B5894" s="2" t="s">
        <v>101</v>
      </c>
      <c r="C5894" s="2">
        <v>0.84033199999999997</v>
      </c>
      <c r="D5894" s="60">
        <v>0</v>
      </c>
      <c r="E5894" s="2">
        <v>0.3</v>
      </c>
      <c r="F5894" s="2">
        <v>12.315200000000001</v>
      </c>
      <c r="G5894" s="2">
        <v>22.1431</v>
      </c>
      <c r="H5894" s="2">
        <v>39.082799999999999</v>
      </c>
      <c r="I5894" s="2">
        <v>0</v>
      </c>
      <c r="J5894" s="2">
        <v>0</v>
      </c>
    </row>
    <row r="5895" spans="1:10">
      <c r="A5895" s="2" t="s">
        <v>138</v>
      </c>
      <c r="B5895" s="2">
        <v>13</v>
      </c>
      <c r="C5895" s="2">
        <v>19.8246</v>
      </c>
      <c r="D5895" s="60" t="s">
        <v>139</v>
      </c>
    </row>
    <row r="5896" spans="1:10">
      <c r="A5896" s="2" t="s">
        <v>140</v>
      </c>
      <c r="B5896" s="2">
        <v>0</v>
      </c>
      <c r="C5896" s="2">
        <v>65.214600000000004</v>
      </c>
      <c r="D5896" s="60">
        <v>36.536099999999998</v>
      </c>
    </row>
    <row r="5897" spans="1:10">
      <c r="A5897" s="2" t="s">
        <v>141</v>
      </c>
      <c r="B5897" s="2">
        <v>0</v>
      </c>
      <c r="C5897" s="2">
        <v>6.8</v>
      </c>
      <c r="D5897" s="60" t="s">
        <v>142</v>
      </c>
    </row>
    <row r="5898" spans="1:10">
      <c r="A5898" s="2" t="s">
        <v>141</v>
      </c>
      <c r="B5898" s="2">
        <v>0</v>
      </c>
      <c r="C5898" s="2">
        <v>27.6</v>
      </c>
      <c r="D5898" s="60" t="s">
        <v>146</v>
      </c>
    </row>
    <row r="5899" spans="1:10">
      <c r="A5899" s="2" t="s">
        <v>141</v>
      </c>
      <c r="B5899" s="2">
        <v>6.8</v>
      </c>
      <c r="C5899" s="2">
        <v>15.4</v>
      </c>
      <c r="D5899" s="60" t="s">
        <v>147</v>
      </c>
    </row>
    <row r="5900" spans="1:10">
      <c r="A5900" s="2" t="s">
        <v>141</v>
      </c>
      <c r="B5900" s="2">
        <v>15.4</v>
      </c>
      <c r="C5900" s="2">
        <v>27.6</v>
      </c>
      <c r="D5900" s="60" t="s">
        <v>144</v>
      </c>
    </row>
    <row r="5901" spans="1:10">
      <c r="A5901" s="2" t="s">
        <v>148</v>
      </c>
      <c r="B5901" s="2" t="s">
        <v>99</v>
      </c>
      <c r="C5901" s="2">
        <v>9.8809099999999997E-2</v>
      </c>
      <c r="D5901" s="60">
        <v>0</v>
      </c>
      <c r="E5901" s="2">
        <v>0</v>
      </c>
      <c r="F5901" s="2">
        <v>0.3</v>
      </c>
      <c r="G5901" s="2">
        <v>63.605499999999999</v>
      </c>
      <c r="H5901" s="2">
        <v>65.975099999999998</v>
      </c>
      <c r="I5901" s="2">
        <v>0</v>
      </c>
      <c r="J5901" s="2">
        <v>0</v>
      </c>
    </row>
    <row r="5902" spans="1:10">
      <c r="A5902" s="2" t="s">
        <v>148</v>
      </c>
      <c r="B5902" s="2" t="s">
        <v>100</v>
      </c>
      <c r="C5902" s="2">
        <v>1.4247599999999999E-2</v>
      </c>
      <c r="D5902" s="60">
        <v>0</v>
      </c>
      <c r="E5902" s="2">
        <v>32.559899999999999</v>
      </c>
      <c r="F5902" s="2">
        <v>3.9762499999999998</v>
      </c>
      <c r="G5902" s="2">
        <v>0</v>
      </c>
      <c r="H5902" s="2">
        <v>10.000299999999999</v>
      </c>
      <c r="I5902" s="2">
        <v>0</v>
      </c>
      <c r="J5902" s="2">
        <v>0</v>
      </c>
    </row>
    <row r="5903" spans="1:10">
      <c r="A5903" s="2" t="s">
        <v>148</v>
      </c>
      <c r="B5903" s="2" t="s">
        <v>98</v>
      </c>
      <c r="C5903" s="2">
        <v>0.230772</v>
      </c>
      <c r="D5903" s="60">
        <v>0</v>
      </c>
      <c r="E5903" s="2">
        <v>23.75</v>
      </c>
      <c r="F5903" s="2">
        <v>8.8098700000000001</v>
      </c>
      <c r="G5903" s="2">
        <v>10.000299999999999</v>
      </c>
      <c r="H5903" s="2">
        <v>25.602799999999998</v>
      </c>
      <c r="I5903" s="2">
        <v>0</v>
      </c>
      <c r="J5903" s="2">
        <v>0</v>
      </c>
    </row>
    <row r="5904" spans="1:10">
      <c r="A5904" s="2" t="s">
        <v>148</v>
      </c>
      <c r="B5904" s="2" t="s">
        <v>101</v>
      </c>
      <c r="C5904" s="2">
        <v>7.6234800000000005E-2</v>
      </c>
      <c r="D5904" s="60">
        <v>0</v>
      </c>
      <c r="E5904" s="2">
        <v>22.4</v>
      </c>
      <c r="F5904" s="2">
        <v>1.34999</v>
      </c>
      <c r="G5904" s="2">
        <v>25.602799999999998</v>
      </c>
      <c r="H5904" s="2">
        <v>27.9999</v>
      </c>
      <c r="I5904" s="2">
        <v>0</v>
      </c>
      <c r="J5904" s="2">
        <v>0</v>
      </c>
    </row>
    <row r="5905" spans="1:10">
      <c r="A5905" s="2" t="s">
        <v>148</v>
      </c>
      <c r="B5905" s="2" t="s">
        <v>60</v>
      </c>
      <c r="C5905" s="2">
        <v>0.311145</v>
      </c>
      <c r="D5905" s="60">
        <v>28.0031</v>
      </c>
      <c r="E5905" s="2">
        <v>18.399999999999999</v>
      </c>
      <c r="F5905" s="2">
        <v>4</v>
      </c>
      <c r="G5905" s="2">
        <v>27.9999</v>
      </c>
      <c r="H5905" s="2">
        <v>34.7044</v>
      </c>
      <c r="I5905" s="2">
        <v>0</v>
      </c>
      <c r="J5905" s="2">
        <v>0</v>
      </c>
    </row>
    <row r="5906" spans="1:10">
      <c r="A5906" s="2" t="s">
        <v>148</v>
      </c>
      <c r="B5906" s="2" t="s">
        <v>59</v>
      </c>
      <c r="C5906" s="2">
        <v>0.44776199999999999</v>
      </c>
      <c r="D5906" s="60">
        <v>44.776200000000003</v>
      </c>
      <c r="E5906" s="2">
        <v>14.4</v>
      </c>
      <c r="F5906" s="2">
        <v>4</v>
      </c>
      <c r="G5906" s="2">
        <v>34.7044</v>
      </c>
      <c r="H5906" s="2">
        <v>40.567799999999998</v>
      </c>
      <c r="I5906" s="2">
        <v>0</v>
      </c>
      <c r="J5906" s="2">
        <v>0</v>
      </c>
    </row>
    <row r="5907" spans="1:10">
      <c r="A5907" s="2" t="s">
        <v>148</v>
      </c>
      <c r="B5907" s="2" t="s">
        <v>58</v>
      </c>
      <c r="C5907" s="2">
        <v>0.58425099999999996</v>
      </c>
      <c r="D5907" s="60">
        <v>61.346400000000003</v>
      </c>
      <c r="E5907" s="2">
        <v>10.4</v>
      </c>
      <c r="F5907" s="2">
        <v>4</v>
      </c>
      <c r="G5907" s="2">
        <v>40.567799999999998</v>
      </c>
      <c r="H5907" s="2">
        <v>45.482300000000002</v>
      </c>
      <c r="I5907" s="2">
        <v>0</v>
      </c>
      <c r="J5907" s="2">
        <v>0</v>
      </c>
    </row>
    <row r="5908" spans="1:10">
      <c r="A5908" s="2" t="s">
        <v>148</v>
      </c>
      <c r="B5908" s="2" t="s">
        <v>58</v>
      </c>
      <c r="C5908" s="2">
        <v>0.71265000000000001</v>
      </c>
      <c r="D5908" s="60">
        <v>74.828299999999999</v>
      </c>
      <c r="E5908" s="2">
        <v>6.4</v>
      </c>
      <c r="F5908" s="2">
        <v>4</v>
      </c>
      <c r="G5908" s="2">
        <v>45.482300000000002</v>
      </c>
      <c r="H5908" s="2">
        <v>49.668500000000002</v>
      </c>
      <c r="I5908" s="2">
        <v>0</v>
      </c>
      <c r="J5908" s="2">
        <v>0</v>
      </c>
    </row>
    <row r="5909" spans="1:10">
      <c r="A5909" s="2" t="s">
        <v>148</v>
      </c>
      <c r="B5909" s="2" t="s">
        <v>55</v>
      </c>
      <c r="C5909" s="2">
        <v>1.4128400000000001</v>
      </c>
      <c r="D5909" s="60">
        <v>204.86199999999999</v>
      </c>
      <c r="E5909" s="2">
        <v>0.3</v>
      </c>
      <c r="F5909" s="2">
        <v>6.1</v>
      </c>
      <c r="G5909" s="2">
        <v>49.668500000000002</v>
      </c>
      <c r="H5909" s="2">
        <v>63.605499999999999</v>
      </c>
      <c r="I5909" s="2">
        <v>0</v>
      </c>
      <c r="J5909" s="2">
        <v>0</v>
      </c>
    </row>
    <row r="5910" spans="1:10">
      <c r="A5910" s="2" t="s">
        <v>138</v>
      </c>
      <c r="B5910" s="2">
        <v>14</v>
      </c>
      <c r="C5910" s="2">
        <v>19.655200000000001</v>
      </c>
      <c r="D5910" s="60" t="s">
        <v>149</v>
      </c>
    </row>
    <row r="5911" spans="1:10">
      <c r="A5911" s="2" t="s">
        <v>140</v>
      </c>
      <c r="B5911" s="2">
        <v>0</v>
      </c>
      <c r="C5911" s="2">
        <v>59.194299999999998</v>
      </c>
      <c r="D5911" s="60">
        <v>28.772500000000001</v>
      </c>
    </row>
    <row r="5912" spans="1:10">
      <c r="A5912" s="2" t="s">
        <v>141</v>
      </c>
      <c r="B5912" s="2">
        <v>0</v>
      </c>
      <c r="C5912" s="2">
        <v>2.8</v>
      </c>
      <c r="D5912" s="60" t="s">
        <v>142</v>
      </c>
    </row>
    <row r="5913" spans="1:10">
      <c r="A5913" s="2" t="s">
        <v>141</v>
      </c>
      <c r="B5913" s="2">
        <v>0</v>
      </c>
      <c r="C5913" s="2">
        <v>4.5</v>
      </c>
      <c r="D5913" s="60" t="s">
        <v>158</v>
      </c>
    </row>
    <row r="5914" spans="1:10">
      <c r="A5914" s="2" t="s">
        <v>141</v>
      </c>
      <c r="B5914" s="2">
        <v>0</v>
      </c>
      <c r="C5914" s="2">
        <v>12</v>
      </c>
      <c r="D5914" s="60" t="s">
        <v>146</v>
      </c>
    </row>
    <row r="5915" spans="1:10">
      <c r="A5915" s="2" t="s">
        <v>141</v>
      </c>
      <c r="B5915" s="2">
        <v>2.8</v>
      </c>
      <c r="C5915" s="2">
        <v>12</v>
      </c>
      <c r="D5915" s="60" t="s">
        <v>147</v>
      </c>
    </row>
    <row r="5916" spans="1:10">
      <c r="A5916" s="2" t="s">
        <v>141</v>
      </c>
      <c r="B5916" s="2">
        <v>4.5</v>
      </c>
      <c r="C5916" s="2">
        <v>4.7</v>
      </c>
      <c r="D5916" s="60" t="s">
        <v>176</v>
      </c>
    </row>
    <row r="5917" spans="1:10">
      <c r="A5917" s="2" t="s">
        <v>141</v>
      </c>
      <c r="B5917" s="2">
        <v>12</v>
      </c>
      <c r="C5917" s="2">
        <v>12.7</v>
      </c>
      <c r="D5917" s="60" t="s">
        <v>151</v>
      </c>
    </row>
    <row r="5918" spans="1:10">
      <c r="A5918" s="2" t="s">
        <v>141</v>
      </c>
      <c r="B5918" s="2">
        <v>12</v>
      </c>
      <c r="C5918" s="2">
        <v>12.7</v>
      </c>
      <c r="D5918" s="60" t="s">
        <v>161</v>
      </c>
    </row>
    <row r="5919" spans="1:10">
      <c r="A5919" s="2" t="s">
        <v>141</v>
      </c>
      <c r="B5919" s="2">
        <v>12.7</v>
      </c>
      <c r="C5919" s="2">
        <v>15.7</v>
      </c>
      <c r="D5919" s="60" t="s">
        <v>145</v>
      </c>
    </row>
    <row r="5920" spans="1:10">
      <c r="A5920" s="2" t="s">
        <v>141</v>
      </c>
      <c r="B5920" s="2">
        <v>12.7</v>
      </c>
      <c r="C5920" s="2">
        <v>22.118500000000001</v>
      </c>
      <c r="D5920" s="60" t="s">
        <v>146</v>
      </c>
    </row>
    <row r="5921" spans="1:10">
      <c r="A5921" s="2" t="s">
        <v>141</v>
      </c>
      <c r="B5921" s="2">
        <v>15.7</v>
      </c>
      <c r="C5921" s="2">
        <v>22.118500000000001</v>
      </c>
      <c r="D5921" s="60" t="s">
        <v>144</v>
      </c>
    </row>
    <row r="5922" spans="1:10">
      <c r="A5922" s="2" t="s">
        <v>148</v>
      </c>
      <c r="B5922" s="2" t="s">
        <v>99</v>
      </c>
      <c r="C5922" s="2">
        <v>8.1788100000000002E-2</v>
      </c>
      <c r="D5922" s="60">
        <v>0</v>
      </c>
      <c r="E5922" s="2">
        <v>0</v>
      </c>
      <c r="F5922" s="2">
        <v>0.3</v>
      </c>
      <c r="G5922" s="2">
        <v>57.6205</v>
      </c>
      <c r="H5922" s="2">
        <v>60.3065</v>
      </c>
      <c r="I5922" s="2">
        <v>0</v>
      </c>
      <c r="J5922" s="2">
        <v>0</v>
      </c>
    </row>
    <row r="5923" spans="1:10">
      <c r="A5923" s="2" t="s">
        <v>148</v>
      </c>
      <c r="B5923" s="2" t="s">
        <v>100</v>
      </c>
      <c r="C5923" s="2">
        <v>1.2551700000000001E-2</v>
      </c>
      <c r="D5923" s="60">
        <v>0</v>
      </c>
      <c r="E5923" s="2">
        <v>25.1999</v>
      </c>
      <c r="F5923" s="2">
        <v>3.5726800000000001</v>
      </c>
      <c r="G5923" s="2">
        <v>0</v>
      </c>
      <c r="H5923" s="2">
        <v>10</v>
      </c>
      <c r="I5923" s="2">
        <v>0</v>
      </c>
      <c r="J5923" s="2">
        <v>0</v>
      </c>
    </row>
    <row r="5924" spans="1:10">
      <c r="A5924" s="2" t="s">
        <v>148</v>
      </c>
      <c r="B5924" s="2" t="s">
        <v>98</v>
      </c>
      <c r="C5924" s="2">
        <v>4.1327700000000002E-2</v>
      </c>
      <c r="D5924" s="60">
        <v>0</v>
      </c>
      <c r="E5924" s="2">
        <v>22.159600000000001</v>
      </c>
      <c r="F5924" s="2">
        <v>3.04026</v>
      </c>
      <c r="G5924" s="2">
        <v>10</v>
      </c>
      <c r="H5924" s="2">
        <v>16.143000000000001</v>
      </c>
      <c r="I5924" s="2">
        <v>0</v>
      </c>
      <c r="J5924" s="2">
        <v>0</v>
      </c>
    </row>
    <row r="5925" spans="1:10">
      <c r="A5925" s="2" t="s">
        <v>148</v>
      </c>
      <c r="B5925" s="2" t="s">
        <v>101</v>
      </c>
      <c r="C5925" s="2">
        <v>3.5894599999999999E-2</v>
      </c>
      <c r="D5925" s="60">
        <v>0</v>
      </c>
      <c r="E5925" s="2">
        <v>20.7</v>
      </c>
      <c r="F5925" s="2">
        <v>1.4596</v>
      </c>
      <c r="G5925" s="2">
        <v>16.143000000000001</v>
      </c>
      <c r="H5925" s="2">
        <v>19.2088</v>
      </c>
      <c r="I5925" s="2">
        <v>0</v>
      </c>
      <c r="J5925" s="2">
        <v>0</v>
      </c>
    </row>
    <row r="5926" spans="1:10">
      <c r="A5926" s="2" t="s">
        <v>148</v>
      </c>
      <c r="B5926" s="2" t="s">
        <v>61</v>
      </c>
      <c r="C5926" s="2">
        <v>0.17366699999999999</v>
      </c>
      <c r="D5926" s="60">
        <v>14.761699999999999</v>
      </c>
      <c r="E5926" s="2">
        <v>16.7</v>
      </c>
      <c r="F5926" s="2">
        <v>4</v>
      </c>
      <c r="G5926" s="2">
        <v>19.2088</v>
      </c>
      <c r="H5926" s="2">
        <v>27.488700000000001</v>
      </c>
      <c r="I5926" s="2">
        <v>0</v>
      </c>
      <c r="J5926" s="2">
        <v>0</v>
      </c>
    </row>
    <row r="5927" spans="1:10">
      <c r="A5927" s="2" t="s">
        <v>148</v>
      </c>
      <c r="B5927" s="2" t="s">
        <v>60</v>
      </c>
      <c r="C5927" s="2">
        <v>0.30890099999999998</v>
      </c>
      <c r="D5927" s="60">
        <v>27.801100000000002</v>
      </c>
      <c r="E5927" s="2">
        <v>12.7</v>
      </c>
      <c r="F5927" s="2">
        <v>4</v>
      </c>
      <c r="G5927" s="2">
        <v>27.488700000000001</v>
      </c>
      <c r="H5927" s="2">
        <v>34.874699999999997</v>
      </c>
      <c r="I5927" s="2">
        <v>0</v>
      </c>
      <c r="J5927" s="2">
        <v>0</v>
      </c>
    </row>
    <row r="5928" spans="1:10">
      <c r="A5928" s="2" t="s">
        <v>148</v>
      </c>
      <c r="B5928" s="2" t="s">
        <v>101</v>
      </c>
      <c r="C5928" s="2">
        <v>0.255629</v>
      </c>
      <c r="D5928" s="60">
        <v>0</v>
      </c>
      <c r="E5928" s="2">
        <v>10.3</v>
      </c>
      <c r="F5928" s="2">
        <v>2.4</v>
      </c>
      <c r="G5928" s="2">
        <v>34.874699999999997</v>
      </c>
      <c r="H5928" s="2">
        <v>38.659100000000002</v>
      </c>
      <c r="I5928" s="2">
        <v>0</v>
      </c>
      <c r="J5928" s="2">
        <v>0</v>
      </c>
    </row>
    <row r="5929" spans="1:10">
      <c r="A5929" s="2" t="s">
        <v>148</v>
      </c>
      <c r="B5929" s="2" t="s">
        <v>59</v>
      </c>
      <c r="C5929" s="2">
        <v>0.53873700000000002</v>
      </c>
      <c r="D5929" s="60">
        <v>53.873699999999999</v>
      </c>
      <c r="E5929" s="2">
        <v>6.3</v>
      </c>
      <c r="F5929" s="2">
        <v>4</v>
      </c>
      <c r="G5929" s="2">
        <v>38.659100000000002</v>
      </c>
      <c r="H5929" s="2">
        <v>43.917099999999998</v>
      </c>
      <c r="I5929" s="2">
        <v>0</v>
      </c>
      <c r="J5929" s="2">
        <v>0</v>
      </c>
    </row>
    <row r="5930" spans="1:10">
      <c r="A5930" s="2" t="s">
        <v>148</v>
      </c>
      <c r="B5930" s="2" t="s">
        <v>57</v>
      </c>
      <c r="C5930" s="2">
        <v>1.11026</v>
      </c>
      <c r="D5930" s="60">
        <v>133.232</v>
      </c>
      <c r="E5930" s="2">
        <v>0.3</v>
      </c>
      <c r="F5930" s="2">
        <v>6</v>
      </c>
      <c r="G5930" s="2">
        <v>43.917099999999998</v>
      </c>
      <c r="H5930" s="2">
        <v>57.6205</v>
      </c>
      <c r="I5930" s="2">
        <v>0</v>
      </c>
      <c r="J5930" s="2">
        <v>0</v>
      </c>
    </row>
    <row r="5931" spans="1:10">
      <c r="A5931" s="2" t="s">
        <v>138</v>
      </c>
      <c r="B5931" s="2">
        <v>15</v>
      </c>
      <c r="C5931" s="2">
        <v>19.679600000000001</v>
      </c>
      <c r="D5931" s="60" t="s">
        <v>149</v>
      </c>
    </row>
    <row r="5932" spans="1:10">
      <c r="A5932" s="2" t="s">
        <v>140</v>
      </c>
      <c r="B5932" s="2">
        <v>0</v>
      </c>
      <c r="C5932" s="2">
        <v>60.493400000000001</v>
      </c>
      <c r="D5932" s="60">
        <v>28.9254</v>
      </c>
    </row>
    <row r="5933" spans="1:10">
      <c r="A5933" s="2" t="s">
        <v>141</v>
      </c>
      <c r="B5933" s="2">
        <v>0</v>
      </c>
      <c r="C5933" s="2">
        <v>7</v>
      </c>
      <c r="D5933" s="60" t="s">
        <v>142</v>
      </c>
    </row>
    <row r="5934" spans="1:10">
      <c r="A5934" s="2" t="s">
        <v>141</v>
      </c>
      <c r="B5934" s="2">
        <v>0</v>
      </c>
      <c r="C5934" s="2">
        <v>7</v>
      </c>
      <c r="D5934" s="60" t="s">
        <v>158</v>
      </c>
    </row>
    <row r="5935" spans="1:10">
      <c r="A5935" s="2" t="s">
        <v>141</v>
      </c>
      <c r="B5935" s="2">
        <v>0</v>
      </c>
      <c r="C5935" s="2">
        <v>22.226400000000002</v>
      </c>
      <c r="D5935" s="60" t="s">
        <v>146</v>
      </c>
    </row>
    <row r="5936" spans="1:10">
      <c r="A5936" s="2" t="s">
        <v>141</v>
      </c>
      <c r="B5936" s="2">
        <v>7</v>
      </c>
      <c r="C5936" s="2">
        <v>7.3</v>
      </c>
      <c r="D5936" s="60" t="s">
        <v>176</v>
      </c>
    </row>
    <row r="5937" spans="1:10">
      <c r="A5937" s="2" t="s">
        <v>141</v>
      </c>
      <c r="B5937" s="2">
        <v>7</v>
      </c>
      <c r="C5937" s="2">
        <v>14.4</v>
      </c>
      <c r="D5937" s="60" t="s">
        <v>145</v>
      </c>
    </row>
    <row r="5938" spans="1:10">
      <c r="A5938" s="2" t="s">
        <v>141</v>
      </c>
      <c r="B5938" s="2">
        <v>14.4</v>
      </c>
      <c r="C5938" s="2">
        <v>22.226400000000002</v>
      </c>
      <c r="D5938" s="60" t="s">
        <v>144</v>
      </c>
    </row>
    <row r="5939" spans="1:10">
      <c r="A5939" s="2" t="s">
        <v>148</v>
      </c>
      <c r="B5939" s="2" t="s">
        <v>99</v>
      </c>
      <c r="C5939" s="2">
        <v>8.5058700000000001E-2</v>
      </c>
      <c r="D5939" s="60">
        <v>0</v>
      </c>
      <c r="E5939" s="2">
        <v>0</v>
      </c>
      <c r="F5939" s="2">
        <v>0.3</v>
      </c>
      <c r="G5939" s="2">
        <v>58.767400000000002</v>
      </c>
      <c r="H5939" s="2">
        <v>61.493400000000001</v>
      </c>
      <c r="I5939" s="2">
        <v>0</v>
      </c>
      <c r="J5939" s="2">
        <v>0</v>
      </c>
    </row>
    <row r="5940" spans="1:10">
      <c r="A5940" s="2" t="s">
        <v>148</v>
      </c>
      <c r="B5940" s="2" t="s">
        <v>100</v>
      </c>
      <c r="C5940" s="2">
        <v>1.2323000000000001E-2</v>
      </c>
      <c r="D5940" s="60">
        <v>0</v>
      </c>
      <c r="E5940" s="2">
        <v>25.433199999999999</v>
      </c>
      <c r="F5940" s="2">
        <v>3.4921500000000001</v>
      </c>
      <c r="G5940" s="2">
        <v>0</v>
      </c>
      <c r="H5940" s="2">
        <v>10</v>
      </c>
      <c r="I5940" s="2">
        <v>0</v>
      </c>
      <c r="J5940" s="2">
        <v>0</v>
      </c>
    </row>
    <row r="5941" spans="1:10">
      <c r="A5941" s="2" t="s">
        <v>148</v>
      </c>
      <c r="B5941" s="2" t="s">
        <v>98</v>
      </c>
      <c r="C5941" s="2">
        <v>0.46723900000000002</v>
      </c>
      <c r="D5941" s="60">
        <v>0</v>
      </c>
      <c r="E5941" s="2">
        <v>14.0403</v>
      </c>
      <c r="F5941" s="2">
        <v>11.392899999999999</v>
      </c>
      <c r="G5941" s="2">
        <v>10</v>
      </c>
      <c r="H5941" s="2">
        <v>33.316099999999999</v>
      </c>
      <c r="I5941" s="2">
        <v>0</v>
      </c>
      <c r="J5941" s="2">
        <v>0</v>
      </c>
    </row>
    <row r="5942" spans="1:10">
      <c r="A5942" s="2" t="s">
        <v>148</v>
      </c>
      <c r="B5942" s="2" t="s">
        <v>101</v>
      </c>
      <c r="C5942" s="2">
        <v>4.8495700000000003E-2</v>
      </c>
      <c r="D5942" s="60">
        <v>0</v>
      </c>
      <c r="E5942" s="2">
        <v>13.5</v>
      </c>
      <c r="F5942" s="2">
        <v>0.54034000000000004</v>
      </c>
      <c r="G5942" s="2">
        <v>33.316099999999999</v>
      </c>
      <c r="H5942" s="2">
        <v>34.286200000000001</v>
      </c>
      <c r="I5942" s="2">
        <v>0</v>
      </c>
      <c r="J5942" s="2">
        <v>0</v>
      </c>
    </row>
    <row r="5943" spans="1:10">
      <c r="A5943" s="2" t="s">
        <v>148</v>
      </c>
      <c r="B5943" s="2" t="s">
        <v>59</v>
      </c>
      <c r="C5943" s="2">
        <v>0.44506200000000001</v>
      </c>
      <c r="D5943" s="60">
        <v>44.5062</v>
      </c>
      <c r="E5943" s="2">
        <v>9.5</v>
      </c>
      <c r="F5943" s="2">
        <v>4</v>
      </c>
      <c r="G5943" s="2">
        <v>34.286200000000001</v>
      </c>
      <c r="H5943" s="2">
        <v>40.662599999999998</v>
      </c>
      <c r="I5943" s="2">
        <v>0</v>
      </c>
      <c r="J5943" s="2">
        <v>0</v>
      </c>
    </row>
    <row r="5944" spans="1:10">
      <c r="A5944" s="2" t="s">
        <v>148</v>
      </c>
      <c r="B5944" s="2" t="s">
        <v>58</v>
      </c>
      <c r="C5944" s="2">
        <v>0.58968699999999996</v>
      </c>
      <c r="D5944" s="60">
        <v>61.917099999999998</v>
      </c>
      <c r="E5944" s="2">
        <v>5.5</v>
      </c>
      <c r="F5944" s="2">
        <v>4</v>
      </c>
      <c r="G5944" s="2">
        <v>40.662599999999998</v>
      </c>
      <c r="H5944" s="2">
        <v>45.778700000000001</v>
      </c>
      <c r="I5944" s="2">
        <v>0</v>
      </c>
      <c r="J5944" s="2">
        <v>0</v>
      </c>
    </row>
    <row r="5945" spans="1:10">
      <c r="A5945" s="2" t="s">
        <v>148</v>
      </c>
      <c r="B5945" s="2" t="s">
        <v>55</v>
      </c>
      <c r="C5945" s="2">
        <v>1.02674</v>
      </c>
      <c r="D5945" s="60">
        <v>148.87700000000001</v>
      </c>
      <c r="E5945" s="2">
        <v>0.3</v>
      </c>
      <c r="F5945" s="2">
        <v>5.2</v>
      </c>
      <c r="G5945" s="2">
        <v>45.778700000000001</v>
      </c>
      <c r="H5945" s="2">
        <v>58.767400000000002</v>
      </c>
      <c r="I5945" s="2">
        <v>0</v>
      </c>
      <c r="J5945" s="2">
        <v>0</v>
      </c>
    </row>
    <row r="5946" spans="1:10">
      <c r="A5946" s="2" t="s">
        <v>138</v>
      </c>
      <c r="B5946" s="2">
        <v>16</v>
      </c>
      <c r="C5946" s="2">
        <v>19.787299999999998</v>
      </c>
      <c r="D5946" s="60" t="s">
        <v>149</v>
      </c>
    </row>
    <row r="5947" spans="1:10">
      <c r="A5947" s="2" t="s">
        <v>140</v>
      </c>
      <c r="B5947" s="2">
        <v>0</v>
      </c>
      <c r="C5947" s="2">
        <v>68.188900000000004</v>
      </c>
      <c r="D5947" s="60">
        <v>29.760300000000001</v>
      </c>
    </row>
    <row r="5948" spans="1:10">
      <c r="A5948" s="2" t="s">
        <v>141</v>
      </c>
      <c r="B5948" s="2">
        <v>0</v>
      </c>
      <c r="C5948" s="2">
        <v>7.1</v>
      </c>
      <c r="D5948" s="60" t="s">
        <v>142</v>
      </c>
    </row>
    <row r="5949" spans="1:10">
      <c r="A5949" s="2" t="s">
        <v>141</v>
      </c>
      <c r="B5949" s="2">
        <v>0</v>
      </c>
      <c r="C5949" s="2">
        <v>22.815899999999999</v>
      </c>
      <c r="D5949" s="60" t="s">
        <v>143</v>
      </c>
    </row>
    <row r="5950" spans="1:10">
      <c r="A5950" s="2" t="s">
        <v>141</v>
      </c>
      <c r="B5950" s="2">
        <v>7.1</v>
      </c>
      <c r="C5950" s="2">
        <v>17.7</v>
      </c>
      <c r="D5950" s="60" t="s">
        <v>145</v>
      </c>
    </row>
    <row r="5951" spans="1:10">
      <c r="A5951" s="2" t="s">
        <v>141</v>
      </c>
      <c r="B5951" s="2">
        <v>17.7</v>
      </c>
      <c r="C5951" s="2">
        <v>22.815899999999999</v>
      </c>
      <c r="D5951" s="60" t="s">
        <v>144</v>
      </c>
    </row>
    <row r="5952" spans="1:10">
      <c r="A5952" s="2" t="s">
        <v>148</v>
      </c>
      <c r="B5952" s="2" t="s">
        <v>99</v>
      </c>
      <c r="C5952" s="2">
        <v>0.10559200000000001</v>
      </c>
      <c r="D5952" s="60">
        <v>0</v>
      </c>
      <c r="E5952" s="2">
        <v>0</v>
      </c>
      <c r="F5952" s="2">
        <v>0.3</v>
      </c>
      <c r="G5952" s="2">
        <v>65.5137</v>
      </c>
      <c r="H5952" s="2">
        <v>68.473100000000002</v>
      </c>
      <c r="I5952" s="2">
        <v>0</v>
      </c>
      <c r="J5952" s="2">
        <v>0</v>
      </c>
    </row>
    <row r="5953" spans="1:10">
      <c r="A5953" s="2" t="s">
        <v>148</v>
      </c>
      <c r="B5953" s="2" t="s">
        <v>100</v>
      </c>
      <c r="C5953" s="2">
        <v>1.1052299999999999E-2</v>
      </c>
      <c r="D5953" s="60">
        <v>0</v>
      </c>
      <c r="E5953" s="2">
        <v>26.699100000000001</v>
      </c>
      <c r="F5953" s="2">
        <v>3.0612300000000001</v>
      </c>
      <c r="G5953" s="2">
        <v>0</v>
      </c>
      <c r="H5953" s="2">
        <v>10.0002</v>
      </c>
      <c r="I5953" s="2">
        <v>0</v>
      </c>
      <c r="J5953" s="2">
        <v>0</v>
      </c>
    </row>
    <row r="5954" spans="1:10">
      <c r="A5954" s="2" t="s">
        <v>148</v>
      </c>
      <c r="B5954" s="2" t="s">
        <v>98</v>
      </c>
      <c r="C5954" s="2">
        <v>0.114967</v>
      </c>
      <c r="D5954" s="60">
        <v>0</v>
      </c>
      <c r="E5954" s="2">
        <v>21.244599999999998</v>
      </c>
      <c r="F5954" s="2">
        <v>5.45444</v>
      </c>
      <c r="G5954" s="2">
        <v>10.0002</v>
      </c>
      <c r="H5954" s="2">
        <v>22.194400000000002</v>
      </c>
      <c r="I5954" s="2">
        <v>0</v>
      </c>
      <c r="J5954" s="2">
        <v>0</v>
      </c>
    </row>
    <row r="5955" spans="1:10">
      <c r="A5955" s="2" t="s">
        <v>148</v>
      </c>
      <c r="B5955" s="2" t="s">
        <v>101</v>
      </c>
      <c r="C5955" s="2">
        <v>3.5639499999999998E-2</v>
      </c>
      <c r="D5955" s="60">
        <v>0</v>
      </c>
      <c r="E5955" s="2">
        <v>20.399999999999999</v>
      </c>
      <c r="F5955" s="2">
        <v>0.844615</v>
      </c>
      <c r="G5955" s="2">
        <v>22.194400000000002</v>
      </c>
      <c r="H5955" s="2">
        <v>24.148599999999998</v>
      </c>
      <c r="I5955" s="2">
        <v>0</v>
      </c>
      <c r="J5955" s="2">
        <v>0</v>
      </c>
    </row>
    <row r="5956" spans="1:10">
      <c r="A5956" s="2" t="s">
        <v>148</v>
      </c>
      <c r="B5956" s="2" t="s">
        <v>60</v>
      </c>
      <c r="C5956" s="2">
        <v>0.26056499999999999</v>
      </c>
      <c r="D5956" s="60">
        <v>23.450900000000001</v>
      </c>
      <c r="E5956" s="2">
        <v>16.399999999999999</v>
      </c>
      <c r="F5956" s="2">
        <v>4</v>
      </c>
      <c r="G5956" s="2">
        <v>24.148599999999998</v>
      </c>
      <c r="H5956" s="2">
        <v>33.093200000000003</v>
      </c>
      <c r="I5956" s="2">
        <v>0</v>
      </c>
      <c r="J5956" s="2">
        <v>0</v>
      </c>
    </row>
    <row r="5957" spans="1:10">
      <c r="A5957" s="2" t="s">
        <v>148</v>
      </c>
      <c r="B5957" s="2" t="s">
        <v>59</v>
      </c>
      <c r="C5957" s="2">
        <v>0.43469799999999997</v>
      </c>
      <c r="D5957" s="60">
        <v>43.469799999999999</v>
      </c>
      <c r="E5957" s="2">
        <v>12.4</v>
      </c>
      <c r="F5957" s="2">
        <v>4</v>
      </c>
      <c r="G5957" s="2">
        <v>33.093200000000003</v>
      </c>
      <c r="H5957" s="2">
        <v>40.932299999999998</v>
      </c>
      <c r="I5957" s="2">
        <v>0</v>
      </c>
      <c r="J5957" s="2">
        <v>0</v>
      </c>
    </row>
    <row r="5958" spans="1:10">
      <c r="A5958" s="2" t="s">
        <v>148</v>
      </c>
      <c r="B5958" s="2" t="s">
        <v>58</v>
      </c>
      <c r="C5958" s="2">
        <v>0.98826599999999998</v>
      </c>
      <c r="D5958" s="60">
        <v>103.768</v>
      </c>
      <c r="E5958" s="2">
        <v>6.4</v>
      </c>
      <c r="F5958" s="2">
        <v>6</v>
      </c>
      <c r="G5958" s="2">
        <v>40.932299999999998</v>
      </c>
      <c r="H5958" s="2">
        <v>50.016100000000002</v>
      </c>
      <c r="I5958" s="2">
        <v>0</v>
      </c>
      <c r="J5958" s="2">
        <v>0</v>
      </c>
    </row>
    <row r="5959" spans="1:10">
      <c r="A5959" s="2" t="s">
        <v>148</v>
      </c>
      <c r="B5959" s="2" t="s">
        <v>55</v>
      </c>
      <c r="C5959" s="2">
        <v>1.4611499999999999</v>
      </c>
      <c r="D5959" s="60">
        <v>211.86699999999999</v>
      </c>
      <c r="E5959" s="2">
        <v>0.3</v>
      </c>
      <c r="F5959" s="2">
        <v>6.1</v>
      </c>
      <c r="G5959" s="2">
        <v>50.016100000000002</v>
      </c>
      <c r="H5959" s="2">
        <v>65.5137</v>
      </c>
      <c r="I5959" s="2">
        <v>0</v>
      </c>
      <c r="J5959" s="2">
        <v>0</v>
      </c>
    </row>
    <row r="5960" spans="1:10">
      <c r="A5960" s="2" t="s">
        <v>130</v>
      </c>
      <c r="B5960" s="2" t="s">
        <v>131</v>
      </c>
      <c r="C5960" s="2" t="s">
        <v>274</v>
      </c>
      <c r="D5960" s="60" t="s">
        <v>133</v>
      </c>
      <c r="E5960" s="2">
        <v>12</v>
      </c>
      <c r="F5960" s="2">
        <v>2016</v>
      </c>
    </row>
    <row r="5961" spans="1:10">
      <c r="A5961" s="2" t="s">
        <v>294</v>
      </c>
      <c r="B5961" s="2" t="s">
        <v>254</v>
      </c>
      <c r="C5961" s="2" t="s">
        <v>295</v>
      </c>
      <c r="D5961" s="60" t="s">
        <v>296</v>
      </c>
    </row>
    <row r="5962" spans="1:10">
      <c r="A5962" s="2" t="s">
        <v>134</v>
      </c>
      <c r="B5962" s="2" t="s">
        <v>82</v>
      </c>
      <c r="C5962" s="2">
        <v>28</v>
      </c>
      <c r="D5962" s="60" t="s">
        <v>297</v>
      </c>
      <c r="E5962" s="2" t="s">
        <v>136</v>
      </c>
      <c r="F5962" s="2" t="s">
        <v>137</v>
      </c>
    </row>
    <row r="5963" spans="1:10">
      <c r="A5963" s="2" t="s">
        <v>138</v>
      </c>
      <c r="B5963" s="2">
        <v>1</v>
      </c>
      <c r="C5963" s="2">
        <v>19.663</v>
      </c>
      <c r="D5963" s="60" t="s">
        <v>149</v>
      </c>
    </row>
    <row r="5964" spans="1:10">
      <c r="A5964" s="2" t="s">
        <v>140</v>
      </c>
      <c r="B5964" s="2">
        <v>0</v>
      </c>
      <c r="C5964" s="2">
        <v>58.644300000000001</v>
      </c>
      <c r="D5964" s="60">
        <v>28.706</v>
      </c>
    </row>
    <row r="5965" spans="1:10">
      <c r="A5965" s="2" t="s">
        <v>141</v>
      </c>
      <c r="B5965" s="2">
        <v>0</v>
      </c>
      <c r="C5965" s="2">
        <v>6.4</v>
      </c>
      <c r="D5965" s="60" t="s">
        <v>142</v>
      </c>
    </row>
    <row r="5966" spans="1:10">
      <c r="A5966" s="2" t="s">
        <v>141</v>
      </c>
      <c r="B5966" s="2">
        <v>0</v>
      </c>
      <c r="C5966" s="2">
        <v>6.4</v>
      </c>
      <c r="D5966" s="60" t="s">
        <v>158</v>
      </c>
    </row>
    <row r="5967" spans="1:10">
      <c r="A5967" s="2" t="s">
        <v>141</v>
      </c>
      <c r="B5967" s="2">
        <v>0</v>
      </c>
      <c r="C5967" s="2">
        <v>12</v>
      </c>
      <c r="D5967" s="60" t="s">
        <v>146</v>
      </c>
    </row>
    <row r="5968" spans="1:10">
      <c r="A5968" s="2" t="s">
        <v>141</v>
      </c>
      <c r="B5968" s="2">
        <v>6.4</v>
      </c>
      <c r="C5968" s="2">
        <v>6.8</v>
      </c>
      <c r="D5968" s="60" t="s">
        <v>147</v>
      </c>
    </row>
    <row r="5969" spans="1:10">
      <c r="A5969" s="2" t="s">
        <v>141</v>
      </c>
      <c r="B5969" s="2">
        <v>6.4</v>
      </c>
      <c r="C5969" s="2">
        <v>6.8</v>
      </c>
      <c r="D5969" s="60" t="s">
        <v>177</v>
      </c>
    </row>
    <row r="5970" spans="1:10">
      <c r="A5970" s="2" t="s">
        <v>141</v>
      </c>
      <c r="B5970" s="2">
        <v>6.8</v>
      </c>
      <c r="C5970" s="2">
        <v>9.4</v>
      </c>
      <c r="D5970" s="60" t="s">
        <v>144</v>
      </c>
    </row>
    <row r="5971" spans="1:10">
      <c r="A5971" s="2" t="s">
        <v>141</v>
      </c>
      <c r="B5971" s="2">
        <v>9.4</v>
      </c>
      <c r="C5971" s="2">
        <v>14.9</v>
      </c>
      <c r="D5971" s="60" t="s">
        <v>145</v>
      </c>
    </row>
    <row r="5972" spans="1:10">
      <c r="A5972" s="2" t="s">
        <v>141</v>
      </c>
      <c r="B5972" s="2">
        <v>12</v>
      </c>
      <c r="C5972" s="2">
        <v>12.5</v>
      </c>
      <c r="D5972" s="60" t="s">
        <v>161</v>
      </c>
    </row>
    <row r="5973" spans="1:10">
      <c r="A5973" s="2" t="s">
        <v>141</v>
      </c>
      <c r="B5973" s="2">
        <v>12.5</v>
      </c>
      <c r="C5973" s="2">
        <v>22.081800000000001</v>
      </c>
      <c r="D5973" s="60" t="s">
        <v>152</v>
      </c>
    </row>
    <row r="5974" spans="1:10">
      <c r="A5974" s="2" t="s">
        <v>141</v>
      </c>
      <c r="B5974" s="2">
        <v>14.9</v>
      </c>
      <c r="C5974" s="2">
        <v>22.081800000000001</v>
      </c>
      <c r="D5974" s="60" t="s">
        <v>144</v>
      </c>
    </row>
    <row r="5975" spans="1:10">
      <c r="A5975" s="2" t="s">
        <v>148</v>
      </c>
      <c r="B5975" s="2" t="s">
        <v>99</v>
      </c>
      <c r="C5975" s="2">
        <v>8.0420400000000003E-2</v>
      </c>
      <c r="D5975" s="60">
        <v>0</v>
      </c>
      <c r="E5975" s="2">
        <v>0</v>
      </c>
      <c r="F5975" s="2">
        <v>0.3</v>
      </c>
      <c r="G5975" s="2">
        <v>57.134099999999997</v>
      </c>
      <c r="H5975" s="2">
        <v>59.803100000000001</v>
      </c>
      <c r="I5975" s="2">
        <v>0</v>
      </c>
      <c r="J5975" s="2">
        <v>0</v>
      </c>
    </row>
    <row r="5976" spans="1:10">
      <c r="A5976" s="2" t="s">
        <v>148</v>
      </c>
      <c r="B5976" s="2" t="s">
        <v>100</v>
      </c>
      <c r="C5976" s="2">
        <v>1.26496E-2</v>
      </c>
      <c r="D5976" s="60">
        <v>0</v>
      </c>
      <c r="E5976" s="2">
        <v>25.098600000000001</v>
      </c>
      <c r="F5976" s="2">
        <v>3.6074299999999999</v>
      </c>
      <c r="G5976" s="2">
        <v>0</v>
      </c>
      <c r="H5976" s="2">
        <v>10</v>
      </c>
      <c r="I5976" s="2">
        <v>0</v>
      </c>
      <c r="J5976" s="2">
        <v>0</v>
      </c>
    </row>
    <row r="5977" spans="1:10">
      <c r="A5977" s="2" t="s">
        <v>148</v>
      </c>
      <c r="B5977" s="2" t="s">
        <v>98</v>
      </c>
      <c r="C5977" s="2">
        <v>1.79256E-2</v>
      </c>
      <c r="D5977" s="60">
        <v>0</v>
      </c>
      <c r="E5977" s="2">
        <v>23.426200000000001</v>
      </c>
      <c r="F5977" s="2">
        <v>1.67235</v>
      </c>
      <c r="G5977" s="2">
        <v>10</v>
      </c>
      <c r="H5977" s="2">
        <v>13.308999999999999</v>
      </c>
      <c r="I5977" s="2">
        <v>0</v>
      </c>
      <c r="J5977" s="2">
        <v>0</v>
      </c>
    </row>
    <row r="5978" spans="1:10">
      <c r="A5978" s="2" t="s">
        <v>148</v>
      </c>
      <c r="B5978" s="2" t="s">
        <v>101</v>
      </c>
      <c r="C5978" s="2">
        <v>3.66633E-4</v>
      </c>
      <c r="D5978" s="60">
        <v>0</v>
      </c>
      <c r="E5978" s="2">
        <v>23.4</v>
      </c>
      <c r="F5978" s="2">
        <v>2.6249600000000001E-2</v>
      </c>
      <c r="G5978" s="2">
        <v>13.308999999999999</v>
      </c>
      <c r="H5978" s="2">
        <v>13.362</v>
      </c>
      <c r="I5978" s="2">
        <v>0</v>
      </c>
      <c r="J5978" s="2">
        <v>0</v>
      </c>
    </row>
    <row r="5979" spans="1:10">
      <c r="A5979" s="2" t="s">
        <v>148</v>
      </c>
      <c r="B5979" s="2" t="s">
        <v>64</v>
      </c>
      <c r="C5979" s="2">
        <v>0.134104</v>
      </c>
      <c r="D5979" s="60">
        <v>4.02311</v>
      </c>
      <c r="E5979" s="2">
        <v>18.5</v>
      </c>
      <c r="F5979" s="2">
        <v>4.9000000000000004</v>
      </c>
      <c r="G5979" s="2">
        <v>13.362</v>
      </c>
      <c r="H5979" s="2">
        <v>23.5383</v>
      </c>
      <c r="I5979" s="2">
        <v>0</v>
      </c>
      <c r="J5979" s="2">
        <v>0</v>
      </c>
    </row>
    <row r="5980" spans="1:10">
      <c r="A5980" s="2" t="s">
        <v>148</v>
      </c>
      <c r="B5980" s="2" t="s">
        <v>64</v>
      </c>
      <c r="C5980" s="2">
        <v>0.41264299999999998</v>
      </c>
      <c r="D5980" s="60">
        <v>12.379300000000001</v>
      </c>
      <c r="E5980" s="2">
        <v>12.5</v>
      </c>
      <c r="F5980" s="2">
        <v>6</v>
      </c>
      <c r="G5980" s="2">
        <v>23.5383</v>
      </c>
      <c r="H5980" s="2">
        <v>34.867899999999999</v>
      </c>
      <c r="I5980" s="2">
        <v>0</v>
      </c>
      <c r="J5980" s="2">
        <v>0</v>
      </c>
    </row>
    <row r="5981" spans="1:10">
      <c r="A5981" s="2" t="s">
        <v>148</v>
      </c>
      <c r="B5981" s="2" t="s">
        <v>101</v>
      </c>
      <c r="C5981" s="2">
        <v>0.17538599999999999</v>
      </c>
      <c r="D5981" s="60">
        <v>0</v>
      </c>
      <c r="E5981" s="2">
        <v>10.8</v>
      </c>
      <c r="F5981" s="2">
        <v>1.7</v>
      </c>
      <c r="G5981" s="2">
        <v>34.867899999999999</v>
      </c>
      <c r="H5981" s="2">
        <v>37.558999999999997</v>
      </c>
      <c r="I5981" s="2">
        <v>0</v>
      </c>
      <c r="J5981" s="2">
        <v>0</v>
      </c>
    </row>
    <row r="5982" spans="1:10">
      <c r="A5982" s="2" t="s">
        <v>148</v>
      </c>
      <c r="B5982" s="2" t="s">
        <v>59</v>
      </c>
      <c r="C5982" s="2">
        <v>0.51222999999999996</v>
      </c>
      <c r="D5982" s="60">
        <v>51.222999999999999</v>
      </c>
      <c r="E5982" s="2">
        <v>6.8</v>
      </c>
      <c r="F5982" s="2">
        <v>4</v>
      </c>
      <c r="G5982" s="2">
        <v>37.558999999999997</v>
      </c>
      <c r="H5982" s="2">
        <v>42.936</v>
      </c>
      <c r="I5982" s="2">
        <v>0</v>
      </c>
      <c r="J5982" s="2">
        <v>0</v>
      </c>
    </row>
    <row r="5983" spans="1:10">
      <c r="A5983" s="2" t="s">
        <v>148</v>
      </c>
      <c r="B5983" s="2" t="s">
        <v>101</v>
      </c>
      <c r="C5983" s="2">
        <v>5.8564900000000003E-2</v>
      </c>
      <c r="D5983" s="60">
        <v>0</v>
      </c>
      <c r="E5983" s="2">
        <v>6.4</v>
      </c>
      <c r="F5983" s="2">
        <v>0.4</v>
      </c>
      <c r="G5983" s="2">
        <v>42.936</v>
      </c>
      <c r="H5983" s="2">
        <v>43.414700000000003</v>
      </c>
      <c r="I5983" s="2">
        <v>0</v>
      </c>
      <c r="J5983" s="2">
        <v>0</v>
      </c>
    </row>
    <row r="5984" spans="1:10">
      <c r="A5984" s="2" t="s">
        <v>148</v>
      </c>
      <c r="B5984" s="2" t="s">
        <v>55</v>
      </c>
      <c r="C5984" s="2">
        <v>1.10612</v>
      </c>
      <c r="D5984" s="60">
        <v>160.387</v>
      </c>
      <c r="E5984" s="2">
        <v>0.3</v>
      </c>
      <c r="F5984" s="2">
        <v>6.1</v>
      </c>
      <c r="G5984" s="2">
        <v>43.414700000000003</v>
      </c>
      <c r="H5984" s="2">
        <v>57.134099999999997</v>
      </c>
      <c r="I5984" s="2">
        <v>0</v>
      </c>
      <c r="J5984" s="2">
        <v>0</v>
      </c>
    </row>
    <row r="5985" spans="1:10">
      <c r="A5985" s="2" t="s">
        <v>138</v>
      </c>
      <c r="B5985" s="2">
        <v>2</v>
      </c>
      <c r="C5985" s="2">
        <v>19.676500000000001</v>
      </c>
      <c r="D5985" s="60" t="s">
        <v>149</v>
      </c>
    </row>
    <row r="5986" spans="1:10">
      <c r="A5986" s="2" t="s">
        <v>140</v>
      </c>
      <c r="B5986" s="2">
        <v>0</v>
      </c>
      <c r="C5986" s="2">
        <v>59.353000000000002</v>
      </c>
      <c r="D5986" s="60">
        <v>28.789100000000001</v>
      </c>
    </row>
    <row r="5987" spans="1:10">
      <c r="A5987" s="2" t="s">
        <v>141</v>
      </c>
      <c r="B5987" s="2">
        <v>0</v>
      </c>
      <c r="C5987" s="2">
        <v>1.6</v>
      </c>
      <c r="D5987" s="60" t="s">
        <v>157</v>
      </c>
    </row>
    <row r="5988" spans="1:10">
      <c r="A5988" s="2" t="s">
        <v>141</v>
      </c>
      <c r="B5988" s="2">
        <v>0</v>
      </c>
      <c r="C5988" s="2">
        <v>2</v>
      </c>
      <c r="D5988" s="60" t="s">
        <v>142</v>
      </c>
    </row>
    <row r="5989" spans="1:10">
      <c r="A5989" s="2" t="s">
        <v>141</v>
      </c>
      <c r="B5989" s="2">
        <v>0</v>
      </c>
      <c r="C5989" s="2">
        <v>4.5</v>
      </c>
      <c r="D5989" s="60" t="s">
        <v>155</v>
      </c>
    </row>
    <row r="5990" spans="1:10">
      <c r="A5990" s="2" t="s">
        <v>141</v>
      </c>
      <c r="B5990" s="2">
        <v>2</v>
      </c>
      <c r="C5990" s="2">
        <v>2.1</v>
      </c>
      <c r="D5990" s="60" t="s">
        <v>298</v>
      </c>
    </row>
    <row r="5991" spans="1:10">
      <c r="A5991" s="2" t="s">
        <v>141</v>
      </c>
      <c r="B5991" s="2">
        <v>2.1</v>
      </c>
      <c r="C5991" s="2">
        <v>6.7</v>
      </c>
      <c r="D5991" s="60" t="s">
        <v>142</v>
      </c>
    </row>
    <row r="5992" spans="1:10">
      <c r="A5992" s="2" t="s">
        <v>141</v>
      </c>
      <c r="B5992" s="2">
        <v>4.5</v>
      </c>
      <c r="C5992" s="2">
        <v>22.142700000000001</v>
      </c>
      <c r="D5992" s="60" t="s">
        <v>146</v>
      </c>
    </row>
    <row r="5993" spans="1:10">
      <c r="A5993" s="2" t="s">
        <v>141</v>
      </c>
      <c r="B5993" s="2">
        <v>6.7</v>
      </c>
      <c r="C5993" s="2">
        <v>10.199999999999999</v>
      </c>
      <c r="D5993" s="60" t="s">
        <v>144</v>
      </c>
    </row>
    <row r="5994" spans="1:10">
      <c r="A5994" s="2" t="s">
        <v>141</v>
      </c>
      <c r="B5994" s="2">
        <v>10.199999999999999</v>
      </c>
      <c r="C5994" s="2">
        <v>12.9</v>
      </c>
      <c r="D5994" s="60" t="s">
        <v>147</v>
      </c>
    </row>
    <row r="5995" spans="1:10">
      <c r="A5995" s="2" t="s">
        <v>141</v>
      </c>
      <c r="B5995" s="2">
        <v>12.9</v>
      </c>
      <c r="C5995" s="2">
        <v>14.8</v>
      </c>
      <c r="D5995" s="60" t="s">
        <v>145</v>
      </c>
    </row>
    <row r="5996" spans="1:10">
      <c r="A5996" s="2" t="s">
        <v>141</v>
      </c>
      <c r="B5996" s="2">
        <v>14.8</v>
      </c>
      <c r="C5996" s="2">
        <v>22.142700000000001</v>
      </c>
      <c r="D5996" s="60" t="s">
        <v>144</v>
      </c>
    </row>
    <row r="5997" spans="1:10">
      <c r="A5997" s="2" t="s">
        <v>148</v>
      </c>
      <c r="B5997" s="2" t="s">
        <v>99</v>
      </c>
      <c r="C5997" s="2">
        <v>8.2184199999999999E-2</v>
      </c>
      <c r="D5997" s="60">
        <v>0</v>
      </c>
      <c r="E5997" s="2">
        <v>0</v>
      </c>
      <c r="F5997" s="2">
        <v>0.3</v>
      </c>
      <c r="G5997" s="2">
        <v>57.7605</v>
      </c>
      <c r="H5997" s="2">
        <v>60.451599999999999</v>
      </c>
      <c r="I5997" s="2">
        <v>0</v>
      </c>
      <c r="J5997" s="2">
        <v>0</v>
      </c>
    </row>
    <row r="5998" spans="1:10">
      <c r="A5998" s="2" t="s">
        <v>148</v>
      </c>
      <c r="B5998" s="2" t="s">
        <v>100</v>
      </c>
      <c r="C5998" s="2">
        <v>1.25226E-2</v>
      </c>
      <c r="D5998" s="60">
        <v>0</v>
      </c>
      <c r="E5998" s="2">
        <v>25.226700000000001</v>
      </c>
      <c r="F5998" s="2">
        <v>3.56243</v>
      </c>
      <c r="G5998" s="2">
        <v>0</v>
      </c>
      <c r="H5998" s="2">
        <v>10</v>
      </c>
      <c r="I5998" s="2">
        <v>0</v>
      </c>
      <c r="J5998" s="2">
        <v>0</v>
      </c>
    </row>
    <row r="5999" spans="1:10">
      <c r="A5999" s="2" t="s">
        <v>148</v>
      </c>
      <c r="B5999" s="2" t="s">
        <v>98</v>
      </c>
      <c r="C5999" s="2">
        <v>5.6237000000000002E-2</v>
      </c>
      <c r="D5999" s="60">
        <v>0</v>
      </c>
      <c r="E5999" s="2">
        <v>21.5197</v>
      </c>
      <c r="F5999" s="2">
        <v>3.70702</v>
      </c>
      <c r="G5999" s="2">
        <v>10</v>
      </c>
      <c r="H5999" s="2">
        <v>17.550799999999999</v>
      </c>
      <c r="I5999" s="2">
        <v>0</v>
      </c>
      <c r="J5999" s="2">
        <v>0</v>
      </c>
    </row>
    <row r="6000" spans="1:10">
      <c r="A6000" s="2" t="s">
        <v>148</v>
      </c>
      <c r="B6000" s="2" t="s">
        <v>101</v>
      </c>
      <c r="C6000" s="2">
        <v>2.78155E-2</v>
      </c>
      <c r="D6000" s="60">
        <v>0</v>
      </c>
      <c r="E6000" s="2">
        <v>20.5</v>
      </c>
      <c r="F6000" s="2">
        <v>1.01969</v>
      </c>
      <c r="G6000" s="2">
        <v>17.550799999999999</v>
      </c>
      <c r="H6000" s="2">
        <v>19.7029</v>
      </c>
      <c r="I6000" s="2">
        <v>0</v>
      </c>
      <c r="J6000" s="2">
        <v>0</v>
      </c>
    </row>
    <row r="6001" spans="1:10">
      <c r="A6001" s="2" t="s">
        <v>148</v>
      </c>
      <c r="B6001" s="2" t="s">
        <v>61</v>
      </c>
      <c r="C6001" s="2">
        <v>0.32167200000000001</v>
      </c>
      <c r="D6001" s="60">
        <v>27.342099999999999</v>
      </c>
      <c r="E6001" s="2">
        <v>14.5</v>
      </c>
      <c r="F6001" s="2">
        <v>6</v>
      </c>
      <c r="G6001" s="2">
        <v>19.7029</v>
      </c>
      <c r="H6001" s="2">
        <v>31.796199999999999</v>
      </c>
      <c r="I6001" s="2">
        <v>0</v>
      </c>
      <c r="J6001" s="2">
        <v>0</v>
      </c>
    </row>
    <row r="6002" spans="1:10">
      <c r="A6002" s="2" t="s">
        <v>148</v>
      </c>
      <c r="B6002" s="2" t="s">
        <v>59</v>
      </c>
      <c r="C6002" s="2">
        <v>0.64161299999999999</v>
      </c>
      <c r="D6002" s="60">
        <v>64.161299999999997</v>
      </c>
      <c r="E6002" s="2">
        <v>8.5</v>
      </c>
      <c r="F6002" s="2">
        <v>6</v>
      </c>
      <c r="G6002" s="2">
        <v>31.796199999999999</v>
      </c>
      <c r="H6002" s="2">
        <v>41.273899999999998</v>
      </c>
      <c r="I6002" s="2">
        <v>0</v>
      </c>
      <c r="J6002" s="2">
        <v>0</v>
      </c>
    </row>
    <row r="6003" spans="1:10">
      <c r="A6003" s="2" t="s">
        <v>148</v>
      </c>
      <c r="B6003" s="2" t="s">
        <v>58</v>
      </c>
      <c r="C6003" s="2">
        <v>0.60226199999999996</v>
      </c>
      <c r="D6003" s="60">
        <v>63.237499999999997</v>
      </c>
      <c r="E6003" s="2">
        <v>4.5</v>
      </c>
      <c r="F6003" s="2">
        <v>4</v>
      </c>
      <c r="G6003" s="2">
        <v>41.273899999999998</v>
      </c>
      <c r="H6003" s="2">
        <v>46.156300000000002</v>
      </c>
      <c r="I6003" s="2">
        <v>0</v>
      </c>
      <c r="J6003" s="2">
        <v>0</v>
      </c>
    </row>
    <row r="6004" spans="1:10">
      <c r="A6004" s="2" t="s">
        <v>148</v>
      </c>
      <c r="B6004" s="2" t="s">
        <v>101</v>
      </c>
      <c r="C6004" s="2">
        <v>3.3640200000000002E-2</v>
      </c>
      <c r="D6004" s="60">
        <v>0</v>
      </c>
      <c r="E6004" s="2">
        <v>4.3</v>
      </c>
      <c r="F6004" s="2">
        <v>0.2</v>
      </c>
      <c r="G6004" s="2">
        <v>46.156300000000002</v>
      </c>
      <c r="H6004" s="2">
        <v>46.399099999999997</v>
      </c>
      <c r="I6004" s="2">
        <v>0</v>
      </c>
      <c r="J6004" s="2">
        <v>0</v>
      </c>
    </row>
    <row r="6005" spans="1:10">
      <c r="A6005" s="2" t="s">
        <v>148</v>
      </c>
      <c r="B6005" s="2" t="s">
        <v>62</v>
      </c>
      <c r="C6005" s="2">
        <v>0.794624</v>
      </c>
      <c r="D6005" s="60">
        <v>63.569899999999997</v>
      </c>
      <c r="E6005" s="2">
        <v>0.3</v>
      </c>
      <c r="F6005" s="2">
        <v>4</v>
      </c>
      <c r="G6005" s="2">
        <v>46.399099999999997</v>
      </c>
      <c r="H6005" s="2">
        <v>57.7605</v>
      </c>
      <c r="I6005" s="2">
        <v>0</v>
      </c>
      <c r="J6005" s="2">
        <v>0</v>
      </c>
    </row>
    <row r="6006" spans="1:10">
      <c r="A6006" s="2" t="s">
        <v>138</v>
      </c>
      <c r="B6006" s="2">
        <v>3</v>
      </c>
      <c r="C6006" s="2">
        <v>19.681899999999999</v>
      </c>
      <c r="D6006" s="60" t="s">
        <v>139</v>
      </c>
    </row>
    <row r="6007" spans="1:10">
      <c r="A6007" s="2" t="s">
        <v>140</v>
      </c>
      <c r="B6007" s="2">
        <v>0</v>
      </c>
      <c r="C6007" s="2">
        <v>55.219299999999997</v>
      </c>
      <c r="D6007" s="60">
        <v>33.2348</v>
      </c>
    </row>
    <row r="6008" spans="1:10">
      <c r="A6008" s="2" t="s">
        <v>141</v>
      </c>
      <c r="B6008" s="2">
        <v>0</v>
      </c>
      <c r="C6008" s="2">
        <v>7.1</v>
      </c>
      <c r="D6008" s="60" t="s">
        <v>142</v>
      </c>
    </row>
    <row r="6009" spans="1:10">
      <c r="A6009" s="2" t="s">
        <v>141</v>
      </c>
      <c r="B6009" s="2">
        <v>0</v>
      </c>
      <c r="C6009" s="2">
        <v>17</v>
      </c>
      <c r="D6009" s="60" t="s">
        <v>158</v>
      </c>
    </row>
    <row r="6010" spans="1:10">
      <c r="A6010" s="2" t="s">
        <v>141</v>
      </c>
      <c r="B6010" s="2">
        <v>0</v>
      </c>
      <c r="C6010" s="2">
        <v>25.4</v>
      </c>
      <c r="D6010" s="60" t="s">
        <v>143</v>
      </c>
    </row>
    <row r="6011" spans="1:10">
      <c r="A6011" s="2" t="s">
        <v>141</v>
      </c>
      <c r="B6011" s="2">
        <v>7.1</v>
      </c>
      <c r="C6011" s="2">
        <v>9.3000000000000007</v>
      </c>
      <c r="D6011" s="60" t="s">
        <v>144</v>
      </c>
    </row>
    <row r="6012" spans="1:10">
      <c r="A6012" s="2" t="s">
        <v>141</v>
      </c>
      <c r="B6012" s="2">
        <v>9.3000000000000007</v>
      </c>
      <c r="C6012" s="2">
        <v>9.6</v>
      </c>
      <c r="D6012" s="60" t="s">
        <v>145</v>
      </c>
    </row>
    <row r="6013" spans="1:10">
      <c r="A6013" s="2" t="s">
        <v>141</v>
      </c>
      <c r="B6013" s="2">
        <v>9.6</v>
      </c>
      <c r="C6013" s="2">
        <v>13.7</v>
      </c>
      <c r="D6013" s="60" t="s">
        <v>144</v>
      </c>
    </row>
    <row r="6014" spans="1:10">
      <c r="A6014" s="2" t="s">
        <v>141</v>
      </c>
      <c r="B6014" s="2">
        <v>13.7</v>
      </c>
      <c r="C6014" s="2">
        <v>17.899999999999999</v>
      </c>
      <c r="D6014" s="60" t="s">
        <v>145</v>
      </c>
    </row>
    <row r="6015" spans="1:10">
      <c r="A6015" s="2" t="s">
        <v>141</v>
      </c>
      <c r="B6015" s="2">
        <v>17</v>
      </c>
      <c r="C6015" s="2">
        <v>17.3</v>
      </c>
      <c r="D6015" s="60" t="s">
        <v>160</v>
      </c>
    </row>
    <row r="6016" spans="1:10">
      <c r="A6016" s="2" t="s">
        <v>141</v>
      </c>
      <c r="B6016" s="2">
        <v>17.899999999999999</v>
      </c>
      <c r="C6016" s="2">
        <v>25.4</v>
      </c>
      <c r="D6016" s="60" t="s">
        <v>144</v>
      </c>
    </row>
    <row r="6017" spans="1:10">
      <c r="A6017" s="2" t="s">
        <v>148</v>
      </c>
      <c r="B6017" s="2" t="s">
        <v>99</v>
      </c>
      <c r="C6017" s="2">
        <v>7.2891600000000001E-2</v>
      </c>
      <c r="D6017" s="60">
        <v>0</v>
      </c>
      <c r="E6017" s="2">
        <v>0</v>
      </c>
      <c r="F6017" s="2">
        <v>0.3</v>
      </c>
      <c r="G6017" s="2">
        <v>54.5428</v>
      </c>
      <c r="H6017" s="2">
        <v>56.764499999999998</v>
      </c>
      <c r="I6017" s="2">
        <v>0</v>
      </c>
      <c r="J6017" s="2">
        <v>0</v>
      </c>
    </row>
    <row r="6018" spans="1:10">
      <c r="A6018" s="2" t="s">
        <v>148</v>
      </c>
      <c r="B6018" s="2" t="s">
        <v>100</v>
      </c>
      <c r="C6018" s="2">
        <v>1.5570799999999999E-2</v>
      </c>
      <c r="D6018" s="60">
        <v>0</v>
      </c>
      <c r="E6018" s="2">
        <v>28.739799999999999</v>
      </c>
      <c r="F6018" s="2">
        <v>4.4950099999999997</v>
      </c>
      <c r="G6018" s="2">
        <v>0</v>
      </c>
      <c r="H6018" s="2">
        <v>10</v>
      </c>
      <c r="I6018" s="2">
        <v>0</v>
      </c>
      <c r="J6018" s="2">
        <v>0</v>
      </c>
    </row>
    <row r="6019" spans="1:10">
      <c r="A6019" s="2" t="s">
        <v>148</v>
      </c>
      <c r="B6019" s="2" t="s">
        <v>98</v>
      </c>
      <c r="C6019" s="2">
        <v>4.5356899999999999E-2</v>
      </c>
      <c r="D6019" s="60">
        <v>0</v>
      </c>
      <c r="E6019" s="2">
        <v>25.2879</v>
      </c>
      <c r="F6019" s="2">
        <v>3.45194</v>
      </c>
      <c r="G6019" s="2">
        <v>10</v>
      </c>
      <c r="H6019" s="2">
        <v>15.719900000000001</v>
      </c>
      <c r="I6019" s="2">
        <v>0</v>
      </c>
      <c r="J6019" s="2">
        <v>0</v>
      </c>
    </row>
    <row r="6020" spans="1:10">
      <c r="A6020" s="2" t="s">
        <v>148</v>
      </c>
      <c r="B6020" s="2" t="s">
        <v>101</v>
      </c>
      <c r="C6020" s="2">
        <v>1.8949400000000002E-2</v>
      </c>
      <c r="D6020" s="60">
        <v>0</v>
      </c>
      <c r="E6020" s="2">
        <v>24.4</v>
      </c>
      <c r="F6020" s="2">
        <v>0.88786399999999999</v>
      </c>
      <c r="G6020" s="2">
        <v>15.719900000000001</v>
      </c>
      <c r="H6020" s="2">
        <v>17.2394</v>
      </c>
      <c r="I6020" s="2">
        <v>0</v>
      </c>
      <c r="J6020" s="2">
        <v>0</v>
      </c>
    </row>
    <row r="6021" spans="1:10">
      <c r="A6021" s="2" t="s">
        <v>148</v>
      </c>
      <c r="B6021" s="2" t="s">
        <v>61</v>
      </c>
      <c r="C6021" s="2">
        <v>0.13535900000000001</v>
      </c>
      <c r="D6021" s="60">
        <v>11.5055</v>
      </c>
      <c r="E6021" s="2">
        <v>20.399999999999999</v>
      </c>
      <c r="F6021" s="2">
        <v>4</v>
      </c>
      <c r="G6021" s="2">
        <v>17.2394</v>
      </c>
      <c r="H6021" s="2">
        <v>24.050999999999998</v>
      </c>
      <c r="I6021" s="2">
        <v>0</v>
      </c>
      <c r="J6021" s="2">
        <v>0</v>
      </c>
    </row>
    <row r="6022" spans="1:10">
      <c r="A6022" s="2" t="s">
        <v>148</v>
      </c>
      <c r="B6022" s="2" t="s">
        <v>63</v>
      </c>
      <c r="C6022" s="2">
        <v>0.23464099999999999</v>
      </c>
      <c r="D6022" s="60">
        <v>16.424900000000001</v>
      </c>
      <c r="E6022" s="2">
        <v>16.399999999999999</v>
      </c>
      <c r="F6022" s="2">
        <v>4</v>
      </c>
      <c r="G6022" s="2">
        <v>24.050999999999998</v>
      </c>
      <c r="H6022" s="2">
        <v>30.360800000000001</v>
      </c>
      <c r="I6022" s="2">
        <v>0</v>
      </c>
      <c r="J6022" s="2">
        <v>0</v>
      </c>
    </row>
    <row r="6023" spans="1:10">
      <c r="A6023" s="2" t="s">
        <v>148</v>
      </c>
      <c r="B6023" s="2" t="s">
        <v>59</v>
      </c>
      <c r="C6023" s="2">
        <v>0.34605900000000001</v>
      </c>
      <c r="D6023" s="60">
        <v>34.605899999999998</v>
      </c>
      <c r="E6023" s="2">
        <v>12.4</v>
      </c>
      <c r="F6023" s="2">
        <v>4</v>
      </c>
      <c r="G6023" s="2">
        <v>30.360800000000001</v>
      </c>
      <c r="H6023" s="2">
        <v>35.778700000000001</v>
      </c>
      <c r="I6023" s="2">
        <v>0</v>
      </c>
      <c r="J6023" s="2">
        <v>0</v>
      </c>
    </row>
    <row r="6024" spans="1:10">
      <c r="A6024" s="2" t="s">
        <v>148</v>
      </c>
      <c r="B6024" s="2" t="s">
        <v>59</v>
      </c>
      <c r="C6024" s="2">
        <v>0.72287199999999996</v>
      </c>
      <c r="D6024" s="60">
        <v>72.287199999999999</v>
      </c>
      <c r="E6024" s="2">
        <v>6.4</v>
      </c>
      <c r="F6024" s="2">
        <v>6</v>
      </c>
      <c r="G6024" s="2">
        <v>35.778700000000001</v>
      </c>
      <c r="H6024" s="2">
        <v>42.1813</v>
      </c>
      <c r="I6024" s="2">
        <v>0</v>
      </c>
      <c r="J6024" s="2">
        <v>0</v>
      </c>
    </row>
    <row r="6025" spans="1:10">
      <c r="A6025" s="2" t="s">
        <v>148</v>
      </c>
      <c r="B6025" s="2" t="s">
        <v>55</v>
      </c>
      <c r="C6025" s="2">
        <v>1.02691</v>
      </c>
      <c r="D6025" s="60">
        <v>148.90199999999999</v>
      </c>
      <c r="E6025" s="2">
        <v>0.3</v>
      </c>
      <c r="F6025" s="2">
        <v>6.1</v>
      </c>
      <c r="G6025" s="2">
        <v>42.1813</v>
      </c>
      <c r="H6025" s="2">
        <v>54.5428</v>
      </c>
      <c r="I6025" s="2">
        <v>0</v>
      </c>
      <c r="J6025" s="2">
        <v>0</v>
      </c>
    </row>
    <row r="6026" spans="1:10">
      <c r="A6026" s="2" t="s">
        <v>138</v>
      </c>
      <c r="B6026" s="2">
        <v>4</v>
      </c>
      <c r="C6026" s="2">
        <v>19.863600000000002</v>
      </c>
      <c r="D6026" s="60" t="s">
        <v>139</v>
      </c>
    </row>
    <row r="6027" spans="1:10">
      <c r="A6027" s="2" t="s">
        <v>140</v>
      </c>
      <c r="B6027" s="2">
        <v>0</v>
      </c>
      <c r="C6027" s="2">
        <v>71.758899999999997</v>
      </c>
      <c r="D6027" s="60">
        <v>34.190199999999997</v>
      </c>
    </row>
    <row r="6028" spans="1:10">
      <c r="A6028" s="2" t="s">
        <v>141</v>
      </c>
      <c r="B6028" s="2">
        <v>0</v>
      </c>
      <c r="C6028" s="2">
        <v>7.4</v>
      </c>
      <c r="D6028" s="60" t="s">
        <v>142</v>
      </c>
    </row>
    <row r="6029" spans="1:10">
      <c r="A6029" s="2" t="s">
        <v>141</v>
      </c>
      <c r="B6029" s="2">
        <v>0</v>
      </c>
      <c r="C6029" s="2">
        <v>9</v>
      </c>
      <c r="D6029" s="60" t="s">
        <v>143</v>
      </c>
    </row>
    <row r="6030" spans="1:10">
      <c r="A6030" s="2" t="s">
        <v>141</v>
      </c>
      <c r="B6030" s="2">
        <v>7.4</v>
      </c>
      <c r="C6030" s="2">
        <v>18.600000000000001</v>
      </c>
      <c r="D6030" s="60" t="s">
        <v>145</v>
      </c>
    </row>
    <row r="6031" spans="1:10">
      <c r="A6031" s="2" t="s">
        <v>141</v>
      </c>
      <c r="B6031" s="2">
        <v>9</v>
      </c>
      <c r="C6031" s="2">
        <v>10</v>
      </c>
      <c r="D6031" s="60" t="s">
        <v>155</v>
      </c>
    </row>
    <row r="6032" spans="1:10">
      <c r="A6032" s="2" t="s">
        <v>141</v>
      </c>
      <c r="B6032" s="2">
        <v>10</v>
      </c>
      <c r="C6032" s="2">
        <v>26.1</v>
      </c>
      <c r="D6032" s="60" t="s">
        <v>143</v>
      </c>
    </row>
    <row r="6033" spans="1:10">
      <c r="A6033" s="2" t="s">
        <v>141</v>
      </c>
      <c r="B6033" s="2">
        <v>18.600000000000001</v>
      </c>
      <c r="C6033" s="2">
        <v>26.1</v>
      </c>
      <c r="D6033" s="60" t="s">
        <v>144</v>
      </c>
    </row>
    <row r="6034" spans="1:10">
      <c r="A6034" s="2" t="s">
        <v>148</v>
      </c>
      <c r="B6034" s="2" t="s">
        <v>99</v>
      </c>
      <c r="C6034" s="2">
        <v>0.116746</v>
      </c>
      <c r="D6034" s="60">
        <v>0</v>
      </c>
      <c r="E6034" s="2">
        <v>0</v>
      </c>
      <c r="F6034" s="2">
        <v>0.3</v>
      </c>
      <c r="G6034" s="2">
        <v>69.061099999999996</v>
      </c>
      <c r="H6034" s="2">
        <v>71.800299999999993</v>
      </c>
      <c r="I6034" s="2">
        <v>0</v>
      </c>
      <c r="J6034" s="2">
        <v>0</v>
      </c>
    </row>
    <row r="6035" spans="1:10">
      <c r="A6035" s="2" t="s">
        <v>148</v>
      </c>
      <c r="B6035" s="2" t="s">
        <v>100</v>
      </c>
      <c r="C6035" s="2">
        <v>1.1905499999999999E-2</v>
      </c>
      <c r="D6035" s="60">
        <v>0</v>
      </c>
      <c r="E6035" s="2">
        <v>30.922699999999999</v>
      </c>
      <c r="F6035" s="2">
        <v>3.2674599999999998</v>
      </c>
      <c r="G6035" s="2">
        <v>0</v>
      </c>
      <c r="H6035" s="2">
        <v>10.0001</v>
      </c>
      <c r="I6035" s="2">
        <v>0</v>
      </c>
      <c r="J6035" s="2">
        <v>0</v>
      </c>
    </row>
    <row r="6036" spans="1:10">
      <c r="A6036" s="2" t="s">
        <v>148</v>
      </c>
      <c r="B6036" s="2" t="s">
        <v>101</v>
      </c>
      <c r="C6036" s="2">
        <v>4.5378199999999997E-3</v>
      </c>
      <c r="D6036" s="60">
        <v>0</v>
      </c>
      <c r="E6036" s="2">
        <v>30.4</v>
      </c>
      <c r="F6036" s="2">
        <v>0.52273000000000003</v>
      </c>
      <c r="G6036" s="2">
        <v>10.0001</v>
      </c>
      <c r="H6036" s="2">
        <v>11.018000000000001</v>
      </c>
      <c r="I6036" s="2">
        <v>0</v>
      </c>
      <c r="J6036" s="2">
        <v>0</v>
      </c>
    </row>
    <row r="6037" spans="1:10">
      <c r="A6037" s="2" t="s">
        <v>148</v>
      </c>
      <c r="B6037" s="2" t="s">
        <v>64</v>
      </c>
      <c r="C6037" s="2">
        <v>0.143042</v>
      </c>
      <c r="D6037" s="60">
        <v>4.2912499999999998</v>
      </c>
      <c r="E6037" s="2">
        <v>24.4</v>
      </c>
      <c r="F6037" s="2">
        <v>6</v>
      </c>
      <c r="G6037" s="2">
        <v>11.018000000000001</v>
      </c>
      <c r="H6037" s="2">
        <v>23.287600000000001</v>
      </c>
      <c r="I6037" s="2">
        <v>0</v>
      </c>
      <c r="J6037" s="2">
        <v>0</v>
      </c>
    </row>
    <row r="6038" spans="1:10">
      <c r="A6038" s="2" t="s">
        <v>148</v>
      </c>
      <c r="B6038" s="2" t="s">
        <v>60</v>
      </c>
      <c r="C6038" s="2">
        <v>0.239095</v>
      </c>
      <c r="D6038" s="60">
        <v>21.518599999999999</v>
      </c>
      <c r="E6038" s="2">
        <v>20.399999999999999</v>
      </c>
      <c r="F6038" s="2">
        <v>4</v>
      </c>
      <c r="G6038" s="2">
        <v>23.287600000000001</v>
      </c>
      <c r="H6038" s="2">
        <v>31.613199999999999</v>
      </c>
      <c r="I6038" s="2">
        <v>0</v>
      </c>
      <c r="J6038" s="2">
        <v>0</v>
      </c>
    </row>
    <row r="6039" spans="1:10">
      <c r="A6039" s="2" t="s">
        <v>148</v>
      </c>
      <c r="B6039" s="2" t="s">
        <v>59</v>
      </c>
      <c r="C6039" s="2">
        <v>0.66171199999999997</v>
      </c>
      <c r="D6039" s="60">
        <v>66.171199999999999</v>
      </c>
      <c r="E6039" s="2">
        <v>14.4</v>
      </c>
      <c r="F6039" s="2">
        <v>6</v>
      </c>
      <c r="G6039" s="2">
        <v>31.613199999999999</v>
      </c>
      <c r="H6039" s="2">
        <v>42.67</v>
      </c>
      <c r="I6039" s="2">
        <v>0</v>
      </c>
      <c r="J6039" s="2">
        <v>0</v>
      </c>
    </row>
    <row r="6040" spans="1:10">
      <c r="A6040" s="2" t="s">
        <v>148</v>
      </c>
      <c r="B6040" s="2" t="s">
        <v>58</v>
      </c>
      <c r="C6040" s="2">
        <v>0.65820599999999996</v>
      </c>
      <c r="D6040" s="60">
        <v>69.111699999999999</v>
      </c>
      <c r="E6040" s="2">
        <v>10.4</v>
      </c>
      <c r="F6040" s="2">
        <v>4</v>
      </c>
      <c r="G6040" s="2">
        <v>42.67</v>
      </c>
      <c r="H6040" s="2">
        <v>48.615200000000002</v>
      </c>
      <c r="I6040" s="2">
        <v>0</v>
      </c>
      <c r="J6040" s="2">
        <v>0</v>
      </c>
    </row>
    <row r="6041" spans="1:10">
      <c r="A6041" s="2" t="s">
        <v>148</v>
      </c>
      <c r="B6041" s="2" t="s">
        <v>62</v>
      </c>
      <c r="C6041" s="2">
        <v>0.822627</v>
      </c>
      <c r="D6041" s="60">
        <v>65.810100000000006</v>
      </c>
      <c r="E6041" s="2">
        <v>6.4</v>
      </c>
      <c r="F6041" s="2">
        <v>4</v>
      </c>
      <c r="G6041" s="2">
        <v>48.615200000000002</v>
      </c>
      <c r="H6041" s="2">
        <v>53.570500000000003</v>
      </c>
      <c r="I6041" s="2">
        <v>0</v>
      </c>
      <c r="J6041" s="2">
        <v>0</v>
      </c>
    </row>
    <row r="6042" spans="1:10">
      <c r="A6042" s="2" t="s">
        <v>148</v>
      </c>
      <c r="B6042" s="2" t="s">
        <v>55</v>
      </c>
      <c r="C6042" s="2">
        <v>1.6521300000000001</v>
      </c>
      <c r="D6042" s="60">
        <v>239.559</v>
      </c>
      <c r="E6042" s="2">
        <v>0.3</v>
      </c>
      <c r="F6042" s="2">
        <v>6.1</v>
      </c>
      <c r="G6042" s="2">
        <v>53.570500000000003</v>
      </c>
      <c r="H6042" s="2">
        <v>69.061099999999996</v>
      </c>
      <c r="I6042" s="2">
        <v>0</v>
      </c>
      <c r="J6042" s="2">
        <v>0</v>
      </c>
    </row>
    <row r="6043" spans="1:10">
      <c r="A6043" s="2" t="s">
        <v>138</v>
      </c>
      <c r="B6043" s="2">
        <v>5</v>
      </c>
      <c r="C6043" s="2">
        <v>19.717500000000001</v>
      </c>
      <c r="D6043" s="60" t="s">
        <v>149</v>
      </c>
    </row>
    <row r="6044" spans="1:10">
      <c r="A6044" s="2" t="s">
        <v>140</v>
      </c>
      <c r="B6044" s="2">
        <v>0</v>
      </c>
      <c r="C6044" s="2">
        <v>61.751899999999999</v>
      </c>
      <c r="D6044" s="60">
        <v>29.062200000000001</v>
      </c>
    </row>
    <row r="6045" spans="1:10">
      <c r="A6045" s="2" t="s">
        <v>141</v>
      </c>
      <c r="B6045" s="2">
        <v>0</v>
      </c>
      <c r="C6045" s="2">
        <v>6.7</v>
      </c>
      <c r="D6045" s="60" t="s">
        <v>142</v>
      </c>
    </row>
    <row r="6046" spans="1:10">
      <c r="A6046" s="2" t="s">
        <v>141</v>
      </c>
      <c r="B6046" s="2">
        <v>0</v>
      </c>
      <c r="C6046" s="2">
        <v>22.3428</v>
      </c>
      <c r="D6046" s="60" t="s">
        <v>146</v>
      </c>
    </row>
    <row r="6047" spans="1:10">
      <c r="A6047" s="2" t="s">
        <v>141</v>
      </c>
      <c r="B6047" s="2">
        <v>6.7</v>
      </c>
      <c r="C6047" s="2">
        <v>12.4</v>
      </c>
      <c r="D6047" s="60" t="s">
        <v>145</v>
      </c>
    </row>
    <row r="6048" spans="1:10">
      <c r="A6048" s="2" t="s">
        <v>141</v>
      </c>
      <c r="B6048" s="2">
        <v>12.4</v>
      </c>
      <c r="C6048" s="2">
        <v>22.3428</v>
      </c>
      <c r="D6048" s="60" t="s">
        <v>144</v>
      </c>
    </row>
    <row r="6049" spans="1:10">
      <c r="A6049" s="2" t="s">
        <v>148</v>
      </c>
      <c r="B6049" s="2" t="s">
        <v>99</v>
      </c>
      <c r="C6049" s="2">
        <v>8.8279899999999994E-2</v>
      </c>
      <c r="D6049" s="60">
        <v>0</v>
      </c>
      <c r="E6049" s="2">
        <v>0</v>
      </c>
      <c r="F6049" s="2">
        <v>0.3</v>
      </c>
      <c r="G6049" s="2">
        <v>59.875399999999999</v>
      </c>
      <c r="H6049" s="2">
        <v>62.640500000000003</v>
      </c>
      <c r="I6049" s="2">
        <v>0</v>
      </c>
      <c r="J6049" s="2">
        <v>0</v>
      </c>
    </row>
    <row r="6050" spans="1:10">
      <c r="A6050" s="2" t="s">
        <v>148</v>
      </c>
      <c r="B6050" s="2" t="s">
        <v>100</v>
      </c>
      <c r="C6050" s="2">
        <v>1.21022E-2</v>
      </c>
      <c r="D6050" s="60">
        <v>0</v>
      </c>
      <c r="E6050" s="2">
        <v>25.646699999999999</v>
      </c>
      <c r="F6050" s="2">
        <v>3.41553</v>
      </c>
      <c r="G6050" s="2">
        <v>0</v>
      </c>
      <c r="H6050" s="2">
        <v>10</v>
      </c>
      <c r="I6050" s="2">
        <v>0</v>
      </c>
      <c r="J6050" s="2">
        <v>0</v>
      </c>
    </row>
    <row r="6051" spans="1:10">
      <c r="A6051" s="2" t="s">
        <v>148</v>
      </c>
      <c r="B6051" s="2" t="s">
        <v>101</v>
      </c>
      <c r="C6051" s="2">
        <v>5.0743799999999999E-2</v>
      </c>
      <c r="D6051" s="60">
        <v>0</v>
      </c>
      <c r="E6051" s="2">
        <v>22.2</v>
      </c>
      <c r="F6051" s="2">
        <v>3.44672</v>
      </c>
      <c r="G6051" s="2">
        <v>10</v>
      </c>
      <c r="H6051" s="2">
        <v>17.1601</v>
      </c>
      <c r="I6051" s="2">
        <v>0</v>
      </c>
      <c r="J6051" s="2">
        <v>0</v>
      </c>
    </row>
    <row r="6052" spans="1:10">
      <c r="A6052" s="2" t="s">
        <v>148</v>
      </c>
      <c r="B6052" s="2" t="s">
        <v>61</v>
      </c>
      <c r="C6052" s="2">
        <v>0.14693500000000001</v>
      </c>
      <c r="D6052" s="60">
        <v>12.4895</v>
      </c>
      <c r="E6052" s="2">
        <v>18.2</v>
      </c>
      <c r="F6052" s="2">
        <v>4</v>
      </c>
      <c r="G6052" s="2">
        <v>17.1601</v>
      </c>
      <c r="H6052" s="2">
        <v>25.780100000000001</v>
      </c>
      <c r="I6052" s="2">
        <v>0</v>
      </c>
      <c r="J6052" s="2">
        <v>0</v>
      </c>
    </row>
    <row r="6053" spans="1:10">
      <c r="A6053" s="2" t="s">
        <v>148</v>
      </c>
      <c r="B6053" s="2" t="s">
        <v>60</v>
      </c>
      <c r="C6053" s="2">
        <v>0.28180500000000003</v>
      </c>
      <c r="D6053" s="60">
        <v>25.362500000000001</v>
      </c>
      <c r="E6053" s="2">
        <v>14.2</v>
      </c>
      <c r="F6053" s="2">
        <v>4</v>
      </c>
      <c r="G6053" s="2">
        <v>25.780100000000001</v>
      </c>
      <c r="H6053" s="2">
        <v>33.765500000000003</v>
      </c>
      <c r="I6053" s="2">
        <v>0</v>
      </c>
      <c r="J6053" s="2">
        <v>0</v>
      </c>
    </row>
    <row r="6054" spans="1:10">
      <c r="A6054" s="2" t="s">
        <v>148</v>
      </c>
      <c r="B6054" s="2" t="s">
        <v>59</v>
      </c>
      <c r="C6054" s="2">
        <v>0.43670599999999998</v>
      </c>
      <c r="D6054" s="60">
        <v>43.6706</v>
      </c>
      <c r="E6054" s="2">
        <v>10.199999999999999</v>
      </c>
      <c r="F6054" s="2">
        <v>4</v>
      </c>
      <c r="G6054" s="2">
        <v>33.765500000000003</v>
      </c>
      <c r="H6054" s="2">
        <v>40.461399999999998</v>
      </c>
      <c r="I6054" s="2">
        <v>0</v>
      </c>
      <c r="J6054" s="2">
        <v>0</v>
      </c>
    </row>
    <row r="6055" spans="1:10">
      <c r="A6055" s="2" t="s">
        <v>148</v>
      </c>
      <c r="B6055" s="2" t="s">
        <v>58</v>
      </c>
      <c r="C6055" s="2">
        <v>0.58792999999999995</v>
      </c>
      <c r="D6055" s="60">
        <v>61.732599999999998</v>
      </c>
      <c r="E6055" s="2">
        <v>6.2</v>
      </c>
      <c r="F6055" s="2">
        <v>4</v>
      </c>
      <c r="G6055" s="2">
        <v>40.461399999999998</v>
      </c>
      <c r="H6055" s="2">
        <v>45.816499999999998</v>
      </c>
      <c r="I6055" s="2">
        <v>0</v>
      </c>
      <c r="J6055" s="2">
        <v>0</v>
      </c>
    </row>
    <row r="6056" spans="1:10">
      <c r="A6056" s="2" t="s">
        <v>148</v>
      </c>
      <c r="B6056" s="2" t="s">
        <v>55</v>
      </c>
      <c r="C6056" s="2">
        <v>1.1839500000000001</v>
      </c>
      <c r="D6056" s="60">
        <v>171.673</v>
      </c>
      <c r="E6056" s="2">
        <v>0.3</v>
      </c>
      <c r="F6056" s="2">
        <v>5.9</v>
      </c>
      <c r="G6056" s="2">
        <v>45.816499999999998</v>
      </c>
      <c r="H6056" s="2">
        <v>59.875399999999999</v>
      </c>
      <c r="I6056" s="2">
        <v>0</v>
      </c>
      <c r="J6056" s="2">
        <v>0</v>
      </c>
    </row>
    <row r="6057" spans="1:10">
      <c r="A6057" s="2" t="s">
        <v>138</v>
      </c>
      <c r="B6057" s="2">
        <v>6</v>
      </c>
      <c r="C6057" s="2">
        <v>19.820399999999999</v>
      </c>
      <c r="D6057" s="60" t="s">
        <v>139</v>
      </c>
    </row>
    <row r="6058" spans="1:10">
      <c r="A6058" s="2" t="s">
        <v>140</v>
      </c>
      <c r="B6058" s="2">
        <v>0</v>
      </c>
      <c r="C6058" s="2">
        <v>66.366</v>
      </c>
      <c r="D6058" s="60">
        <v>33.507800000000003</v>
      </c>
    </row>
    <row r="6059" spans="1:10">
      <c r="A6059" s="2" t="s">
        <v>141</v>
      </c>
      <c r="B6059" s="2">
        <v>0</v>
      </c>
      <c r="C6059" s="2">
        <v>1</v>
      </c>
      <c r="D6059" s="60" t="s">
        <v>157</v>
      </c>
    </row>
    <row r="6060" spans="1:10">
      <c r="A6060" s="2" t="s">
        <v>141</v>
      </c>
      <c r="B6060" s="2">
        <v>0</v>
      </c>
      <c r="C6060" s="2">
        <v>7.3</v>
      </c>
      <c r="D6060" s="60" t="s">
        <v>142</v>
      </c>
    </row>
    <row r="6061" spans="1:10">
      <c r="A6061" s="2" t="s">
        <v>141</v>
      </c>
      <c r="B6061" s="2">
        <v>0</v>
      </c>
      <c r="C6061" s="2">
        <v>25.6</v>
      </c>
      <c r="D6061" s="60" t="s">
        <v>143</v>
      </c>
    </row>
    <row r="6062" spans="1:10">
      <c r="A6062" s="2" t="s">
        <v>141</v>
      </c>
      <c r="B6062" s="2">
        <v>7.3</v>
      </c>
      <c r="C6062" s="2">
        <v>13.9</v>
      </c>
      <c r="D6062" s="60" t="s">
        <v>144</v>
      </c>
    </row>
    <row r="6063" spans="1:10">
      <c r="A6063" s="2" t="s">
        <v>141</v>
      </c>
      <c r="B6063" s="2">
        <v>13.9</v>
      </c>
      <c r="C6063" s="2">
        <v>19.2</v>
      </c>
      <c r="D6063" s="60" t="s">
        <v>145</v>
      </c>
    </row>
    <row r="6064" spans="1:10">
      <c r="A6064" s="2" t="s">
        <v>141</v>
      </c>
      <c r="B6064" s="2">
        <v>19.2</v>
      </c>
      <c r="C6064" s="2">
        <v>25.6</v>
      </c>
      <c r="D6064" s="60" t="s">
        <v>144</v>
      </c>
    </row>
    <row r="6065" spans="1:10">
      <c r="A6065" s="2" t="s">
        <v>148</v>
      </c>
      <c r="B6065" s="2" t="s">
        <v>99</v>
      </c>
      <c r="C6065" s="2">
        <v>0.101369</v>
      </c>
      <c r="D6065" s="60">
        <v>0</v>
      </c>
      <c r="E6065" s="2">
        <v>0</v>
      </c>
      <c r="F6065" s="2">
        <v>0.3</v>
      </c>
      <c r="G6065" s="2">
        <v>64.33</v>
      </c>
      <c r="H6065" s="2">
        <v>66.930300000000003</v>
      </c>
      <c r="I6065" s="2">
        <v>0</v>
      </c>
      <c r="J6065" s="2">
        <v>0</v>
      </c>
    </row>
    <row r="6066" spans="1:10">
      <c r="A6066" s="2" t="s">
        <v>148</v>
      </c>
      <c r="B6066" s="2" t="s">
        <v>100</v>
      </c>
      <c r="C6066" s="2">
        <v>1.28244E-2</v>
      </c>
      <c r="D6066" s="60">
        <v>0</v>
      </c>
      <c r="E6066" s="2">
        <v>29.939299999999999</v>
      </c>
      <c r="F6066" s="2">
        <v>3.5684399999999998</v>
      </c>
      <c r="G6066" s="2">
        <v>0</v>
      </c>
      <c r="H6066" s="2">
        <v>10.0002</v>
      </c>
      <c r="I6066" s="2">
        <v>0</v>
      </c>
      <c r="J6066" s="2">
        <v>0</v>
      </c>
    </row>
    <row r="6067" spans="1:10">
      <c r="A6067" s="2" t="s">
        <v>148</v>
      </c>
      <c r="B6067" s="2" t="s">
        <v>98</v>
      </c>
      <c r="C6067" s="2">
        <v>0.47176899999999999</v>
      </c>
      <c r="D6067" s="60">
        <v>0</v>
      </c>
      <c r="E6067" s="2">
        <v>18.102900000000002</v>
      </c>
      <c r="F6067" s="2">
        <v>11.836399999999999</v>
      </c>
      <c r="G6067" s="2">
        <v>10.0002</v>
      </c>
      <c r="H6067" s="2">
        <v>33.012</v>
      </c>
      <c r="I6067" s="2">
        <v>0</v>
      </c>
      <c r="J6067" s="2">
        <v>0</v>
      </c>
    </row>
    <row r="6068" spans="1:10">
      <c r="A6068" s="2" t="s">
        <v>148</v>
      </c>
      <c r="B6068" s="2" t="s">
        <v>101</v>
      </c>
      <c r="C6068" s="2">
        <v>5.3082600000000001E-2</v>
      </c>
      <c r="D6068" s="60">
        <v>0</v>
      </c>
      <c r="E6068" s="2">
        <v>17.5</v>
      </c>
      <c r="F6068" s="2">
        <v>0.6</v>
      </c>
      <c r="G6068" s="2">
        <v>33.017400000000002</v>
      </c>
      <c r="H6068" s="2">
        <v>34.101300000000002</v>
      </c>
      <c r="I6068" s="2">
        <v>0</v>
      </c>
      <c r="J6068" s="2">
        <v>0</v>
      </c>
    </row>
    <row r="6069" spans="1:10">
      <c r="A6069" s="2" t="s">
        <v>148</v>
      </c>
      <c r="B6069" s="2" t="s">
        <v>59</v>
      </c>
      <c r="C6069" s="2">
        <v>0.44296099999999999</v>
      </c>
      <c r="D6069" s="60">
        <v>44.296100000000003</v>
      </c>
      <c r="E6069" s="2">
        <v>13.5</v>
      </c>
      <c r="F6069" s="2">
        <v>4</v>
      </c>
      <c r="G6069" s="2">
        <v>34.101300000000002</v>
      </c>
      <c r="H6069" s="2">
        <v>40.7149</v>
      </c>
      <c r="I6069" s="2">
        <v>0</v>
      </c>
      <c r="J6069" s="2">
        <v>0</v>
      </c>
    </row>
    <row r="6070" spans="1:10">
      <c r="A6070" s="2" t="s">
        <v>148</v>
      </c>
      <c r="B6070" s="2" t="s">
        <v>58</v>
      </c>
      <c r="C6070" s="2">
        <v>0.59644699999999995</v>
      </c>
      <c r="D6070" s="60">
        <v>62.627000000000002</v>
      </c>
      <c r="E6070" s="2">
        <v>9.5</v>
      </c>
      <c r="F6070" s="2">
        <v>4</v>
      </c>
      <c r="G6070" s="2">
        <v>40.7149</v>
      </c>
      <c r="H6070" s="2">
        <v>46.187800000000003</v>
      </c>
      <c r="I6070" s="2">
        <v>0</v>
      </c>
      <c r="J6070" s="2">
        <v>0</v>
      </c>
    </row>
    <row r="6071" spans="1:10">
      <c r="A6071" s="2" t="s">
        <v>148</v>
      </c>
      <c r="B6071" s="2" t="s">
        <v>58</v>
      </c>
      <c r="C6071" s="2">
        <v>0.74058299999999999</v>
      </c>
      <c r="D6071" s="60">
        <v>77.761200000000002</v>
      </c>
      <c r="E6071" s="2">
        <v>5.5</v>
      </c>
      <c r="F6071" s="2">
        <v>4</v>
      </c>
      <c r="G6071" s="2">
        <v>46.187800000000003</v>
      </c>
      <c r="H6071" s="2">
        <v>50.804000000000002</v>
      </c>
      <c r="I6071" s="2">
        <v>0</v>
      </c>
      <c r="J6071" s="2">
        <v>0</v>
      </c>
    </row>
    <row r="6072" spans="1:10">
      <c r="A6072" s="2" t="s">
        <v>148</v>
      </c>
      <c r="B6072" s="2" t="s">
        <v>55</v>
      </c>
      <c r="C6072" s="2">
        <v>1.2511300000000001</v>
      </c>
      <c r="D6072" s="60">
        <v>181.41300000000001</v>
      </c>
      <c r="E6072" s="2">
        <v>0.3</v>
      </c>
      <c r="F6072" s="2">
        <v>5.2</v>
      </c>
      <c r="G6072" s="2">
        <v>50.804000000000002</v>
      </c>
      <c r="H6072" s="2">
        <v>64.33</v>
      </c>
      <c r="I6072" s="2">
        <v>0</v>
      </c>
      <c r="J6072" s="2">
        <v>0</v>
      </c>
    </row>
    <row r="6073" spans="1:10">
      <c r="A6073" s="2" t="s">
        <v>138</v>
      </c>
      <c r="B6073" s="2">
        <v>7</v>
      </c>
      <c r="C6073" s="2">
        <v>19.689699999999998</v>
      </c>
      <c r="D6073" s="60" t="s">
        <v>139</v>
      </c>
    </row>
    <row r="6074" spans="1:10">
      <c r="A6074" s="2" t="s">
        <v>140</v>
      </c>
      <c r="B6074" s="2">
        <v>0</v>
      </c>
      <c r="C6074" s="2">
        <v>57.3645</v>
      </c>
      <c r="D6074" s="60">
        <v>31.4605</v>
      </c>
    </row>
    <row r="6075" spans="1:10">
      <c r="A6075" s="2" t="s">
        <v>141</v>
      </c>
      <c r="B6075" s="2">
        <v>0</v>
      </c>
      <c r="C6075" s="2">
        <v>3</v>
      </c>
      <c r="D6075" s="60" t="s">
        <v>155</v>
      </c>
    </row>
    <row r="6076" spans="1:10">
      <c r="A6076" s="2" t="s">
        <v>141</v>
      </c>
      <c r="B6076" s="2">
        <v>0</v>
      </c>
      <c r="C6076" s="2">
        <v>6.9</v>
      </c>
      <c r="D6076" s="60" t="s">
        <v>142</v>
      </c>
    </row>
    <row r="6077" spans="1:10">
      <c r="A6077" s="2" t="s">
        <v>141</v>
      </c>
      <c r="B6077" s="2">
        <v>3</v>
      </c>
      <c r="C6077" s="2">
        <v>24.1</v>
      </c>
      <c r="D6077" s="60" t="s">
        <v>146</v>
      </c>
    </row>
    <row r="6078" spans="1:10">
      <c r="A6078" s="2" t="s">
        <v>141</v>
      </c>
      <c r="B6078" s="2">
        <v>6.9</v>
      </c>
      <c r="C6078" s="2">
        <v>9.1</v>
      </c>
      <c r="D6078" s="60" t="s">
        <v>144</v>
      </c>
    </row>
    <row r="6079" spans="1:10">
      <c r="A6079" s="2" t="s">
        <v>141</v>
      </c>
      <c r="B6079" s="2">
        <v>9.1</v>
      </c>
      <c r="C6079" s="2">
        <v>19.100000000000001</v>
      </c>
      <c r="D6079" s="60" t="s">
        <v>145</v>
      </c>
    </row>
    <row r="6080" spans="1:10">
      <c r="A6080" s="2" t="s">
        <v>141</v>
      </c>
      <c r="B6080" s="2">
        <v>19.100000000000001</v>
      </c>
      <c r="C6080" s="2">
        <v>24.1</v>
      </c>
      <c r="D6080" s="60" t="s">
        <v>144</v>
      </c>
    </row>
    <row r="6081" spans="1:10">
      <c r="A6081" s="2" t="s">
        <v>148</v>
      </c>
      <c r="B6081" s="2" t="s">
        <v>99</v>
      </c>
      <c r="C6081" s="2">
        <v>7.7760399999999993E-2</v>
      </c>
      <c r="D6081" s="60">
        <v>0</v>
      </c>
      <c r="E6081" s="2">
        <v>0</v>
      </c>
      <c r="F6081" s="2">
        <v>0.3</v>
      </c>
      <c r="G6081" s="2">
        <v>56.279299999999999</v>
      </c>
      <c r="H6081" s="2">
        <v>58.692900000000002</v>
      </c>
      <c r="I6081" s="2">
        <v>0</v>
      </c>
      <c r="J6081" s="2">
        <v>0</v>
      </c>
    </row>
    <row r="6082" spans="1:10">
      <c r="A6082" s="2" t="s">
        <v>148</v>
      </c>
      <c r="B6082" s="2" t="s">
        <v>100</v>
      </c>
      <c r="C6082" s="2">
        <v>1.4175999999999999E-2</v>
      </c>
      <c r="D6082" s="60">
        <v>0</v>
      </c>
      <c r="E6082" s="2">
        <v>27.400200000000002</v>
      </c>
      <c r="F6082" s="2">
        <v>4.0602900000000002</v>
      </c>
      <c r="G6082" s="2">
        <v>0</v>
      </c>
      <c r="H6082" s="2">
        <v>10</v>
      </c>
      <c r="I6082" s="2">
        <v>0</v>
      </c>
      <c r="J6082" s="2">
        <v>0</v>
      </c>
    </row>
    <row r="6083" spans="1:10">
      <c r="A6083" s="2" t="s">
        <v>148</v>
      </c>
      <c r="B6083" s="2" t="s">
        <v>98</v>
      </c>
      <c r="C6083" s="2">
        <v>0.149418</v>
      </c>
      <c r="D6083" s="60">
        <v>0</v>
      </c>
      <c r="E6083" s="2">
        <v>20.534199999999998</v>
      </c>
      <c r="F6083" s="2">
        <v>6.8660100000000002</v>
      </c>
      <c r="G6083" s="2">
        <v>10</v>
      </c>
      <c r="H6083" s="2">
        <v>22.6219</v>
      </c>
      <c r="I6083" s="2">
        <v>0</v>
      </c>
      <c r="J6083" s="2">
        <v>0</v>
      </c>
    </row>
    <row r="6084" spans="1:10">
      <c r="A6084" s="2" t="s">
        <v>148</v>
      </c>
      <c r="B6084" s="2" t="s">
        <v>101</v>
      </c>
      <c r="C6084" s="2">
        <v>9.5962900000000004E-3</v>
      </c>
      <c r="D6084" s="60">
        <v>0</v>
      </c>
      <c r="E6084" s="2">
        <v>20.3</v>
      </c>
      <c r="F6084" s="2">
        <v>0.234235</v>
      </c>
      <c r="G6084" s="2">
        <v>22.6219</v>
      </c>
      <c r="H6084" s="2">
        <v>23.055499999999999</v>
      </c>
      <c r="I6084" s="2">
        <v>0</v>
      </c>
      <c r="J6084" s="2">
        <v>0</v>
      </c>
    </row>
    <row r="6085" spans="1:10">
      <c r="A6085" s="2" t="s">
        <v>148</v>
      </c>
      <c r="B6085" s="2" t="s">
        <v>60</v>
      </c>
      <c r="C6085" s="2">
        <v>0.22445499999999999</v>
      </c>
      <c r="D6085" s="60">
        <v>20.200900000000001</v>
      </c>
      <c r="E6085" s="2">
        <v>16.3</v>
      </c>
      <c r="F6085" s="2">
        <v>4</v>
      </c>
      <c r="G6085" s="2">
        <v>23.055499999999999</v>
      </c>
      <c r="H6085" s="2">
        <v>30.122199999999999</v>
      </c>
      <c r="I6085" s="2">
        <v>0</v>
      </c>
      <c r="J6085" s="2">
        <v>0</v>
      </c>
    </row>
    <row r="6086" spans="1:10">
      <c r="A6086" s="2" t="s">
        <v>148</v>
      </c>
      <c r="B6086" s="2" t="s">
        <v>59</v>
      </c>
      <c r="C6086" s="2">
        <v>0.34869099999999997</v>
      </c>
      <c r="D6086" s="60">
        <v>34.869100000000003</v>
      </c>
      <c r="E6086" s="2">
        <v>12.3</v>
      </c>
      <c r="F6086" s="2">
        <v>4</v>
      </c>
      <c r="G6086" s="2">
        <v>30.122199999999999</v>
      </c>
      <c r="H6086" s="2">
        <v>36.228200000000001</v>
      </c>
      <c r="I6086" s="2">
        <v>0</v>
      </c>
      <c r="J6086" s="2">
        <v>0</v>
      </c>
    </row>
    <row r="6087" spans="1:10">
      <c r="A6087" s="2" t="s">
        <v>148</v>
      </c>
      <c r="B6087" s="2" t="s">
        <v>59</v>
      </c>
      <c r="C6087" s="2">
        <v>0.47375699999999998</v>
      </c>
      <c r="D6087" s="60">
        <v>47.375700000000002</v>
      </c>
      <c r="E6087" s="2">
        <v>8.3000000000000007</v>
      </c>
      <c r="F6087" s="2">
        <v>4</v>
      </c>
      <c r="G6087" s="2">
        <v>36.228200000000001</v>
      </c>
      <c r="H6087" s="2">
        <v>41.2074</v>
      </c>
      <c r="I6087" s="2">
        <v>0</v>
      </c>
      <c r="J6087" s="2">
        <v>0</v>
      </c>
    </row>
    <row r="6088" spans="1:10">
      <c r="A6088" s="2" t="s">
        <v>148</v>
      </c>
      <c r="B6088" s="2" t="s">
        <v>57</v>
      </c>
      <c r="C6088" s="2">
        <v>0.59099000000000002</v>
      </c>
      <c r="D6088" s="60">
        <v>70.918800000000005</v>
      </c>
      <c r="E6088" s="2">
        <v>4.3</v>
      </c>
      <c r="F6088" s="2">
        <v>4</v>
      </c>
      <c r="G6088" s="2">
        <v>41.2074</v>
      </c>
      <c r="H6088" s="2">
        <v>45.491</v>
      </c>
      <c r="I6088" s="2">
        <v>0</v>
      </c>
      <c r="J6088" s="2">
        <v>0</v>
      </c>
    </row>
    <row r="6089" spans="1:10">
      <c r="A6089" s="2" t="s">
        <v>148</v>
      </c>
      <c r="B6089" s="2" t="s">
        <v>62</v>
      </c>
      <c r="C6089" s="2">
        <v>0.76125100000000001</v>
      </c>
      <c r="D6089" s="60">
        <v>60.900100000000002</v>
      </c>
      <c r="E6089" s="2">
        <v>0.3</v>
      </c>
      <c r="F6089" s="2">
        <v>4</v>
      </c>
      <c r="G6089" s="2">
        <v>45.491</v>
      </c>
      <c r="H6089" s="2">
        <v>56.279299999999999</v>
      </c>
      <c r="I6089" s="2">
        <v>0</v>
      </c>
      <c r="J6089" s="2">
        <v>0</v>
      </c>
    </row>
    <row r="6090" spans="1:10">
      <c r="A6090" s="2" t="s">
        <v>138</v>
      </c>
      <c r="B6090" s="2">
        <v>8</v>
      </c>
      <c r="C6090" s="2">
        <v>19.344000000000001</v>
      </c>
      <c r="D6090" s="60" t="s">
        <v>149</v>
      </c>
    </row>
    <row r="6091" spans="1:10">
      <c r="A6091" s="2" t="s">
        <v>140</v>
      </c>
      <c r="B6091" s="2">
        <v>0</v>
      </c>
      <c r="C6091" s="2">
        <v>48.082500000000003</v>
      </c>
      <c r="D6091" s="60">
        <v>27.325900000000001</v>
      </c>
    </row>
    <row r="6092" spans="1:10">
      <c r="A6092" s="2" t="s">
        <v>141</v>
      </c>
      <c r="B6092" s="2">
        <v>0</v>
      </c>
      <c r="C6092" s="2">
        <v>0.4</v>
      </c>
      <c r="D6092" s="60" t="s">
        <v>157</v>
      </c>
    </row>
    <row r="6093" spans="1:10">
      <c r="A6093" s="2" t="s">
        <v>141</v>
      </c>
      <c r="B6093" s="2">
        <v>0</v>
      </c>
      <c r="C6093" s="2">
        <v>6.9</v>
      </c>
      <c r="D6093" s="60" t="s">
        <v>142</v>
      </c>
    </row>
    <row r="6094" spans="1:10">
      <c r="A6094" s="2" t="s">
        <v>141</v>
      </c>
      <c r="B6094" s="2">
        <v>0</v>
      </c>
      <c r="C6094" s="2">
        <v>21.070599999999999</v>
      </c>
      <c r="D6094" s="60" t="s">
        <v>146</v>
      </c>
    </row>
    <row r="6095" spans="1:10">
      <c r="A6095" s="2" t="s">
        <v>141</v>
      </c>
      <c r="B6095" s="2">
        <v>6.9</v>
      </c>
      <c r="C6095" s="2">
        <v>8.8000000000000007</v>
      </c>
      <c r="D6095" s="60" t="s">
        <v>145</v>
      </c>
    </row>
    <row r="6096" spans="1:10">
      <c r="A6096" s="2" t="s">
        <v>141</v>
      </c>
      <c r="B6096" s="2">
        <v>8.8000000000000007</v>
      </c>
      <c r="C6096" s="2">
        <v>9.1</v>
      </c>
      <c r="D6096" s="60" t="s">
        <v>147</v>
      </c>
    </row>
    <row r="6097" spans="1:10">
      <c r="A6097" s="2" t="s">
        <v>141</v>
      </c>
      <c r="B6097" s="2">
        <v>9.1</v>
      </c>
      <c r="C6097" s="2">
        <v>12.7</v>
      </c>
      <c r="D6097" s="60" t="s">
        <v>145</v>
      </c>
    </row>
    <row r="6098" spans="1:10">
      <c r="A6098" s="2" t="s">
        <v>141</v>
      </c>
      <c r="B6098" s="2">
        <v>12.7</v>
      </c>
      <c r="C6098" s="2">
        <v>13</v>
      </c>
      <c r="D6098" s="60" t="s">
        <v>147</v>
      </c>
    </row>
    <row r="6099" spans="1:10">
      <c r="A6099" s="2" t="s">
        <v>141</v>
      </c>
      <c r="B6099" s="2">
        <v>13</v>
      </c>
      <c r="C6099" s="2">
        <v>16.3</v>
      </c>
      <c r="D6099" s="60" t="s">
        <v>145</v>
      </c>
    </row>
    <row r="6100" spans="1:10">
      <c r="A6100" s="2" t="s">
        <v>141</v>
      </c>
      <c r="B6100" s="2">
        <v>16.3</v>
      </c>
      <c r="C6100" s="2">
        <v>21.070599999999999</v>
      </c>
      <c r="D6100" s="60" t="s">
        <v>144</v>
      </c>
    </row>
    <row r="6101" spans="1:10">
      <c r="A6101" s="2" t="s">
        <v>148</v>
      </c>
      <c r="B6101" s="2" t="s">
        <v>99</v>
      </c>
      <c r="C6101" s="2">
        <v>5.6182200000000002E-2</v>
      </c>
      <c r="D6101" s="60">
        <v>0</v>
      </c>
      <c r="E6101" s="2">
        <v>0</v>
      </c>
      <c r="F6101" s="2">
        <v>0.3</v>
      </c>
      <c r="G6101" s="2">
        <v>47.707000000000001</v>
      </c>
      <c r="H6101" s="2">
        <v>50.039900000000003</v>
      </c>
      <c r="I6101" s="2">
        <v>0</v>
      </c>
      <c r="J6101" s="2">
        <v>0</v>
      </c>
    </row>
    <row r="6102" spans="1:10">
      <c r="A6102" s="2" t="s">
        <v>148</v>
      </c>
      <c r="B6102" s="2" t="s">
        <v>100</v>
      </c>
      <c r="C6102" s="2">
        <v>1.47133E-2</v>
      </c>
      <c r="D6102" s="60">
        <v>0</v>
      </c>
      <c r="E6102" s="2">
        <v>22.9453</v>
      </c>
      <c r="F6102" s="2">
        <v>4.3806000000000003</v>
      </c>
      <c r="G6102" s="2">
        <v>0</v>
      </c>
      <c r="H6102" s="2">
        <v>10</v>
      </c>
      <c r="I6102" s="2">
        <v>0</v>
      </c>
      <c r="J6102" s="2">
        <v>0</v>
      </c>
    </row>
    <row r="6103" spans="1:10">
      <c r="A6103" s="2" t="s">
        <v>148</v>
      </c>
      <c r="B6103" s="2" t="s">
        <v>98</v>
      </c>
      <c r="C6103" s="2">
        <v>0.19872699999999999</v>
      </c>
      <c r="D6103" s="60">
        <v>0</v>
      </c>
      <c r="E6103" s="2">
        <v>14.9207</v>
      </c>
      <c r="F6103" s="2">
        <v>8.0246099999999991</v>
      </c>
      <c r="G6103" s="2">
        <v>10</v>
      </c>
      <c r="H6103" s="2">
        <v>24.416799999999999</v>
      </c>
      <c r="I6103" s="2">
        <v>0</v>
      </c>
      <c r="J6103" s="2">
        <v>0</v>
      </c>
    </row>
    <row r="6104" spans="1:10">
      <c r="A6104" s="2" t="s">
        <v>148</v>
      </c>
      <c r="B6104" s="2" t="s">
        <v>101</v>
      </c>
      <c r="C6104" s="2">
        <v>2.5260500000000002E-2</v>
      </c>
      <c r="D6104" s="60">
        <v>0</v>
      </c>
      <c r="E6104" s="2">
        <v>14.4</v>
      </c>
      <c r="F6104" s="2">
        <v>0.52069799999999999</v>
      </c>
      <c r="G6104" s="2">
        <v>24.416799999999999</v>
      </c>
      <c r="H6104" s="2">
        <v>25.284199999999998</v>
      </c>
      <c r="I6104" s="2">
        <v>0</v>
      </c>
      <c r="J6104" s="2">
        <v>0</v>
      </c>
    </row>
    <row r="6105" spans="1:10">
      <c r="A6105" s="2" t="s">
        <v>148</v>
      </c>
      <c r="B6105" s="2" t="s">
        <v>63</v>
      </c>
      <c r="C6105" s="2">
        <v>0.25400499999999998</v>
      </c>
      <c r="D6105" s="60">
        <v>17.7804</v>
      </c>
      <c r="E6105" s="2">
        <v>10.4</v>
      </c>
      <c r="F6105" s="2">
        <v>4</v>
      </c>
      <c r="G6105" s="2">
        <v>25.284199999999998</v>
      </c>
      <c r="H6105" s="2">
        <v>31.268799999999999</v>
      </c>
      <c r="I6105" s="2">
        <v>0</v>
      </c>
      <c r="J6105" s="2">
        <v>0</v>
      </c>
    </row>
    <row r="6106" spans="1:10">
      <c r="A6106" s="2" t="s">
        <v>148</v>
      </c>
      <c r="B6106" s="2" t="s">
        <v>59</v>
      </c>
      <c r="C6106" s="2">
        <v>0.358018</v>
      </c>
      <c r="D6106" s="60">
        <v>35.8018</v>
      </c>
      <c r="E6106" s="2">
        <v>6.4</v>
      </c>
      <c r="F6106" s="2">
        <v>4</v>
      </c>
      <c r="G6106" s="2">
        <v>31.268799999999999</v>
      </c>
      <c r="H6106" s="2">
        <v>36.003799999999998</v>
      </c>
      <c r="I6106" s="2">
        <v>0</v>
      </c>
      <c r="J6106" s="2">
        <v>0</v>
      </c>
    </row>
    <row r="6107" spans="1:10">
      <c r="A6107" s="2" t="s">
        <v>148</v>
      </c>
      <c r="B6107" s="2" t="s">
        <v>56</v>
      </c>
      <c r="C6107" s="2">
        <v>0.766231</v>
      </c>
      <c r="D6107" s="60">
        <v>107.27200000000001</v>
      </c>
      <c r="E6107" s="2">
        <v>0.3</v>
      </c>
      <c r="F6107" s="2">
        <v>6.1</v>
      </c>
      <c r="G6107" s="2">
        <v>36.003799999999998</v>
      </c>
      <c r="H6107" s="2">
        <v>47.707000000000001</v>
      </c>
      <c r="I6107" s="2">
        <v>0</v>
      </c>
      <c r="J6107" s="2">
        <v>0</v>
      </c>
    </row>
    <row r="6108" spans="1:10">
      <c r="A6108" s="2" t="s">
        <v>138</v>
      </c>
      <c r="B6108" s="2">
        <v>9</v>
      </c>
      <c r="C6108" s="2">
        <v>19.544</v>
      </c>
      <c r="D6108" s="60" t="s">
        <v>149</v>
      </c>
    </row>
    <row r="6109" spans="1:10">
      <c r="A6109" s="2" t="s">
        <v>140</v>
      </c>
      <c r="B6109" s="2">
        <v>0</v>
      </c>
      <c r="C6109" s="2">
        <v>53.635599999999997</v>
      </c>
      <c r="D6109" s="60">
        <v>28.085799999999999</v>
      </c>
    </row>
    <row r="6110" spans="1:10">
      <c r="A6110" s="2" t="s">
        <v>141</v>
      </c>
      <c r="B6110" s="2">
        <v>0</v>
      </c>
      <c r="C6110" s="2">
        <v>6.6</v>
      </c>
      <c r="D6110" s="60" t="s">
        <v>142</v>
      </c>
    </row>
    <row r="6111" spans="1:10">
      <c r="A6111" s="2" t="s">
        <v>141</v>
      </c>
      <c r="B6111" s="2">
        <v>0</v>
      </c>
      <c r="C6111" s="2">
        <v>7</v>
      </c>
      <c r="D6111" s="60" t="s">
        <v>158</v>
      </c>
    </row>
    <row r="6112" spans="1:10">
      <c r="A6112" s="2" t="s">
        <v>141</v>
      </c>
      <c r="B6112" s="2">
        <v>0</v>
      </c>
      <c r="C6112" s="2">
        <v>21.627400000000002</v>
      </c>
      <c r="D6112" s="60" t="s">
        <v>146</v>
      </c>
    </row>
    <row r="6113" spans="1:10">
      <c r="A6113" s="2" t="s">
        <v>141</v>
      </c>
      <c r="B6113" s="2">
        <v>6.6</v>
      </c>
      <c r="C6113" s="2">
        <v>11.4</v>
      </c>
      <c r="D6113" s="60" t="s">
        <v>144</v>
      </c>
    </row>
    <row r="6114" spans="1:10">
      <c r="A6114" s="2" t="s">
        <v>141</v>
      </c>
      <c r="B6114" s="2">
        <v>7</v>
      </c>
      <c r="C6114" s="2">
        <v>7.3</v>
      </c>
      <c r="D6114" s="60" t="s">
        <v>176</v>
      </c>
    </row>
    <row r="6115" spans="1:10">
      <c r="A6115" s="2" t="s">
        <v>141</v>
      </c>
      <c r="B6115" s="2">
        <v>11.4</v>
      </c>
      <c r="C6115" s="2">
        <v>12</v>
      </c>
      <c r="D6115" s="60" t="s">
        <v>147</v>
      </c>
    </row>
    <row r="6116" spans="1:10">
      <c r="A6116" s="2" t="s">
        <v>141</v>
      </c>
      <c r="B6116" s="2">
        <v>12</v>
      </c>
      <c r="C6116" s="2">
        <v>17.100000000000001</v>
      </c>
      <c r="D6116" s="60" t="s">
        <v>145</v>
      </c>
    </row>
    <row r="6117" spans="1:10">
      <c r="A6117" s="2" t="s">
        <v>141</v>
      </c>
      <c r="B6117" s="2">
        <v>17.100000000000001</v>
      </c>
      <c r="C6117" s="2">
        <v>21.627400000000002</v>
      </c>
      <c r="D6117" s="60" t="s">
        <v>144</v>
      </c>
    </row>
    <row r="6118" spans="1:10">
      <c r="A6118" s="2" t="s">
        <v>148</v>
      </c>
      <c r="B6118" s="2" t="s">
        <v>99</v>
      </c>
      <c r="C6118" s="2">
        <v>6.8444699999999997E-2</v>
      </c>
      <c r="D6118" s="60">
        <v>0</v>
      </c>
      <c r="E6118" s="2">
        <v>0</v>
      </c>
      <c r="F6118" s="2">
        <v>0.3</v>
      </c>
      <c r="G6118" s="2">
        <v>52.6858</v>
      </c>
      <c r="H6118" s="2">
        <v>55.197499999999998</v>
      </c>
      <c r="I6118" s="2">
        <v>0</v>
      </c>
      <c r="J6118" s="2">
        <v>0</v>
      </c>
    </row>
    <row r="6119" spans="1:10">
      <c r="A6119" s="2" t="s">
        <v>148</v>
      </c>
      <c r="B6119" s="2" t="s">
        <v>100</v>
      </c>
      <c r="C6119" s="2">
        <v>1.35856E-2</v>
      </c>
      <c r="D6119" s="60">
        <v>0</v>
      </c>
      <c r="E6119" s="2">
        <v>24.137499999999999</v>
      </c>
      <c r="F6119" s="2">
        <v>3.9483100000000002</v>
      </c>
      <c r="G6119" s="2">
        <v>0</v>
      </c>
      <c r="H6119" s="2">
        <v>10</v>
      </c>
      <c r="I6119" s="2">
        <v>0</v>
      </c>
      <c r="J6119" s="2">
        <v>0</v>
      </c>
    </row>
    <row r="6120" spans="1:10">
      <c r="A6120" s="2" t="s">
        <v>148</v>
      </c>
      <c r="B6120" s="2" t="s">
        <v>98</v>
      </c>
      <c r="C6120" s="2">
        <v>0.37012400000000001</v>
      </c>
      <c r="D6120" s="60">
        <v>0</v>
      </c>
      <c r="E6120" s="2">
        <v>13.5122</v>
      </c>
      <c r="F6120" s="2">
        <v>10.625400000000001</v>
      </c>
      <c r="G6120" s="2">
        <v>10</v>
      </c>
      <c r="H6120" s="2">
        <v>30.107399999999998</v>
      </c>
      <c r="I6120" s="2">
        <v>0</v>
      </c>
      <c r="J6120" s="2">
        <v>0</v>
      </c>
    </row>
    <row r="6121" spans="1:10">
      <c r="A6121" s="2" t="s">
        <v>148</v>
      </c>
      <c r="B6121" s="2" t="s">
        <v>101</v>
      </c>
      <c r="C6121" s="2">
        <v>8.6713100000000004E-4</v>
      </c>
      <c r="D6121" s="60">
        <v>0</v>
      </c>
      <c r="E6121" s="2">
        <v>13.5</v>
      </c>
      <c r="F6121" s="2">
        <v>1.21718E-2</v>
      </c>
      <c r="G6121" s="2">
        <v>30.107399999999998</v>
      </c>
      <c r="H6121" s="2">
        <v>30.127700000000001</v>
      </c>
      <c r="I6121" s="2">
        <v>0</v>
      </c>
      <c r="J6121" s="2">
        <v>0</v>
      </c>
    </row>
    <row r="6122" spans="1:10">
      <c r="A6122" s="2" t="s">
        <v>148</v>
      </c>
      <c r="B6122" s="2" t="s">
        <v>59</v>
      </c>
      <c r="C6122" s="2">
        <v>0.348163</v>
      </c>
      <c r="D6122" s="60">
        <v>34.816299999999998</v>
      </c>
      <c r="E6122" s="2">
        <v>9.5</v>
      </c>
      <c r="F6122" s="2">
        <v>4</v>
      </c>
      <c r="G6122" s="2">
        <v>30.127700000000001</v>
      </c>
      <c r="H6122" s="2">
        <v>36.135100000000001</v>
      </c>
      <c r="I6122" s="2">
        <v>0</v>
      </c>
      <c r="J6122" s="2">
        <v>0</v>
      </c>
    </row>
    <row r="6123" spans="1:10">
      <c r="A6123" s="2" t="s">
        <v>148</v>
      </c>
      <c r="B6123" s="2" t="s">
        <v>59</v>
      </c>
      <c r="C6123" s="2">
        <v>0.46881499999999998</v>
      </c>
      <c r="D6123" s="60">
        <v>46.881500000000003</v>
      </c>
      <c r="E6123" s="2">
        <v>5.5</v>
      </c>
      <c r="F6123" s="2">
        <v>4</v>
      </c>
      <c r="G6123" s="2">
        <v>36.135100000000001</v>
      </c>
      <c r="H6123" s="2">
        <v>40.9161</v>
      </c>
      <c r="I6123" s="2">
        <v>0</v>
      </c>
      <c r="J6123" s="2">
        <v>0</v>
      </c>
    </row>
    <row r="6124" spans="1:10">
      <c r="A6124" s="2" t="s">
        <v>148</v>
      </c>
      <c r="B6124" s="2" t="s">
        <v>55</v>
      </c>
      <c r="C6124" s="2">
        <v>0.82242700000000002</v>
      </c>
      <c r="D6124" s="60">
        <v>119.252</v>
      </c>
      <c r="E6124" s="2">
        <v>0.3</v>
      </c>
      <c r="F6124" s="2">
        <v>5.2</v>
      </c>
      <c r="G6124" s="2">
        <v>40.9161</v>
      </c>
      <c r="H6124" s="2">
        <v>52.6858</v>
      </c>
      <c r="I6124" s="2">
        <v>0</v>
      </c>
      <c r="J6124" s="2">
        <v>0</v>
      </c>
    </row>
    <row r="6125" spans="1:10">
      <c r="A6125" s="2" t="s">
        <v>138</v>
      </c>
      <c r="B6125" s="2">
        <v>10</v>
      </c>
      <c r="C6125" s="2">
        <v>19.861799999999999</v>
      </c>
      <c r="D6125" s="60" t="s">
        <v>139</v>
      </c>
    </row>
    <row r="6126" spans="1:10">
      <c r="A6126" s="2" t="s">
        <v>140</v>
      </c>
      <c r="B6126" s="2">
        <v>0</v>
      </c>
      <c r="C6126" s="2">
        <v>71.8964</v>
      </c>
      <c r="D6126" s="60">
        <v>33.780700000000003</v>
      </c>
    </row>
    <row r="6127" spans="1:10">
      <c r="A6127" s="2" t="s">
        <v>141</v>
      </c>
      <c r="B6127" s="2">
        <v>0</v>
      </c>
      <c r="C6127" s="2">
        <v>0.5</v>
      </c>
      <c r="D6127" s="60" t="s">
        <v>161</v>
      </c>
    </row>
    <row r="6128" spans="1:10">
      <c r="A6128" s="2" t="s">
        <v>141</v>
      </c>
      <c r="B6128" s="2">
        <v>0</v>
      </c>
      <c r="C6128" s="2">
        <v>1.8</v>
      </c>
      <c r="D6128" s="60" t="s">
        <v>157</v>
      </c>
    </row>
    <row r="6129" spans="1:10">
      <c r="A6129" s="2" t="s">
        <v>141</v>
      </c>
      <c r="B6129" s="2">
        <v>0</v>
      </c>
      <c r="C6129" s="2">
        <v>6.7</v>
      </c>
      <c r="D6129" s="60" t="s">
        <v>142</v>
      </c>
    </row>
    <row r="6130" spans="1:10">
      <c r="A6130" s="2" t="s">
        <v>141</v>
      </c>
      <c r="B6130" s="2">
        <v>0.5</v>
      </c>
      <c r="C6130" s="2">
        <v>1.8</v>
      </c>
      <c r="D6130" s="60" t="s">
        <v>155</v>
      </c>
    </row>
    <row r="6131" spans="1:10">
      <c r="A6131" s="2" t="s">
        <v>141</v>
      </c>
      <c r="B6131" s="2">
        <v>1.8</v>
      </c>
      <c r="C6131" s="2">
        <v>11</v>
      </c>
      <c r="D6131" s="60" t="s">
        <v>146</v>
      </c>
    </row>
    <row r="6132" spans="1:10">
      <c r="A6132" s="2" t="s">
        <v>141</v>
      </c>
      <c r="B6132" s="2">
        <v>6.7</v>
      </c>
      <c r="C6132" s="2">
        <v>9.1999999999999993</v>
      </c>
      <c r="D6132" s="60" t="s">
        <v>144</v>
      </c>
    </row>
    <row r="6133" spans="1:10">
      <c r="A6133" s="2" t="s">
        <v>141</v>
      </c>
      <c r="B6133" s="2">
        <v>9.1999999999999993</v>
      </c>
      <c r="C6133" s="2">
        <v>11.4</v>
      </c>
      <c r="D6133" s="60" t="s">
        <v>147</v>
      </c>
    </row>
    <row r="6134" spans="1:10">
      <c r="A6134" s="2" t="s">
        <v>141</v>
      </c>
      <c r="B6134" s="2">
        <v>11</v>
      </c>
      <c r="C6134" s="2">
        <v>11.4</v>
      </c>
      <c r="D6134" s="60" t="s">
        <v>159</v>
      </c>
    </row>
    <row r="6135" spans="1:10">
      <c r="A6135" s="2" t="s">
        <v>141</v>
      </c>
      <c r="B6135" s="2">
        <v>11.4</v>
      </c>
      <c r="C6135" s="2">
        <v>15.7</v>
      </c>
      <c r="D6135" s="60" t="s">
        <v>145</v>
      </c>
    </row>
    <row r="6136" spans="1:10">
      <c r="A6136" s="2" t="s">
        <v>141</v>
      </c>
      <c r="B6136" s="2">
        <v>11.4</v>
      </c>
      <c r="C6136" s="2">
        <v>25.8</v>
      </c>
      <c r="D6136" s="60" t="s">
        <v>146</v>
      </c>
    </row>
    <row r="6137" spans="1:10">
      <c r="A6137" s="2" t="s">
        <v>141</v>
      </c>
      <c r="B6137" s="2">
        <v>15.7</v>
      </c>
      <c r="C6137" s="2">
        <v>25.8</v>
      </c>
      <c r="D6137" s="60" t="s">
        <v>144</v>
      </c>
    </row>
    <row r="6138" spans="1:10">
      <c r="A6138" s="2" t="s">
        <v>148</v>
      </c>
      <c r="B6138" s="2" t="s">
        <v>99</v>
      </c>
      <c r="C6138" s="2">
        <v>0.11705400000000001</v>
      </c>
      <c r="D6138" s="60">
        <v>0</v>
      </c>
      <c r="E6138" s="2">
        <v>0</v>
      </c>
      <c r="F6138" s="2">
        <v>0.3</v>
      </c>
      <c r="G6138" s="2">
        <v>69.137699999999995</v>
      </c>
      <c r="H6138" s="2">
        <v>71.911100000000005</v>
      </c>
      <c r="I6138" s="2">
        <v>0</v>
      </c>
      <c r="J6138" s="2">
        <v>0</v>
      </c>
    </row>
    <row r="6139" spans="1:10">
      <c r="A6139" s="2" t="s">
        <v>148</v>
      </c>
      <c r="B6139" s="2" t="s">
        <v>100</v>
      </c>
      <c r="C6139" s="2">
        <v>1.17378E-2</v>
      </c>
      <c r="D6139" s="60">
        <v>0</v>
      </c>
      <c r="E6139" s="2">
        <v>30.560199999999998</v>
      </c>
      <c r="F6139" s="2">
        <v>3.22052</v>
      </c>
      <c r="G6139" s="2">
        <v>0</v>
      </c>
      <c r="H6139" s="2">
        <v>10.0001</v>
      </c>
      <c r="I6139" s="2">
        <v>0</v>
      </c>
      <c r="J6139" s="2">
        <v>0</v>
      </c>
    </row>
    <row r="6140" spans="1:10">
      <c r="A6140" s="2" t="s">
        <v>148</v>
      </c>
      <c r="B6140" s="2" t="s">
        <v>98</v>
      </c>
      <c r="C6140" s="2">
        <v>1.10819</v>
      </c>
      <c r="D6140" s="60">
        <v>0</v>
      </c>
      <c r="E6140" s="2">
        <v>13.7545</v>
      </c>
      <c r="F6140" s="2">
        <v>16.805700000000002</v>
      </c>
      <c r="G6140" s="2">
        <v>10.0001</v>
      </c>
      <c r="H6140" s="2">
        <v>43.511400000000002</v>
      </c>
      <c r="I6140" s="2">
        <v>0</v>
      </c>
      <c r="J6140" s="2">
        <v>0</v>
      </c>
    </row>
    <row r="6141" spans="1:10">
      <c r="A6141" s="2" t="s">
        <v>148</v>
      </c>
      <c r="B6141" s="2" t="s">
        <v>101</v>
      </c>
      <c r="C6141" s="2">
        <v>0.67293400000000003</v>
      </c>
      <c r="D6141" s="60">
        <v>0</v>
      </c>
      <c r="E6141" s="2">
        <v>9.8000000000000007</v>
      </c>
      <c r="F6141" s="2">
        <v>3.9544899999999998</v>
      </c>
      <c r="G6141" s="2">
        <v>43.511400000000002</v>
      </c>
      <c r="H6141" s="2">
        <v>49.330300000000001</v>
      </c>
      <c r="I6141" s="2">
        <v>0</v>
      </c>
      <c r="J6141" s="2">
        <v>0</v>
      </c>
    </row>
    <row r="6142" spans="1:10">
      <c r="A6142" s="2" t="s">
        <v>148</v>
      </c>
      <c r="B6142" s="2" t="s">
        <v>58</v>
      </c>
      <c r="C6142" s="2">
        <v>0.84529200000000004</v>
      </c>
      <c r="D6142" s="60">
        <v>88.755700000000004</v>
      </c>
      <c r="E6142" s="2">
        <v>5.8</v>
      </c>
      <c r="F6142" s="2">
        <v>4</v>
      </c>
      <c r="G6142" s="2">
        <v>49.330300000000001</v>
      </c>
      <c r="H6142" s="2">
        <v>54.277799999999999</v>
      </c>
      <c r="I6142" s="2">
        <v>0</v>
      </c>
      <c r="J6142" s="2">
        <v>0</v>
      </c>
    </row>
    <row r="6143" spans="1:10">
      <c r="A6143" s="2" t="s">
        <v>148</v>
      </c>
      <c r="B6143" s="2" t="s">
        <v>55</v>
      </c>
      <c r="C6143" s="2">
        <v>1.0257099999999999</v>
      </c>
      <c r="D6143" s="60">
        <v>148.72800000000001</v>
      </c>
      <c r="E6143" s="2">
        <v>1.8</v>
      </c>
      <c r="F6143" s="2">
        <v>4</v>
      </c>
      <c r="G6143" s="2">
        <v>54.277799999999999</v>
      </c>
      <c r="H6143" s="2">
        <v>61.103099999999998</v>
      </c>
      <c r="I6143" s="2">
        <v>0</v>
      </c>
      <c r="J6143" s="2">
        <v>0</v>
      </c>
    </row>
    <row r="6144" spans="1:10">
      <c r="A6144" s="2" t="s">
        <v>148</v>
      </c>
      <c r="B6144" s="2" t="s">
        <v>101</v>
      </c>
      <c r="C6144" s="2">
        <v>0.49061900000000003</v>
      </c>
      <c r="D6144" s="60">
        <v>0</v>
      </c>
      <c r="E6144" s="2">
        <v>0.3</v>
      </c>
      <c r="F6144" s="2">
        <v>1.5</v>
      </c>
      <c r="G6144" s="2">
        <v>61.103099999999998</v>
      </c>
      <c r="H6144" s="2">
        <v>69.137699999999995</v>
      </c>
      <c r="I6144" s="2">
        <v>0</v>
      </c>
      <c r="J6144" s="2">
        <v>0</v>
      </c>
    </row>
    <row r="6145" spans="1:10">
      <c r="A6145" s="2" t="s">
        <v>138</v>
      </c>
      <c r="B6145" s="2">
        <v>11</v>
      </c>
      <c r="C6145" s="2">
        <v>19.8005</v>
      </c>
      <c r="D6145" s="60" t="s">
        <v>149</v>
      </c>
    </row>
    <row r="6146" spans="1:10">
      <c r="A6146" s="2" t="s">
        <v>140</v>
      </c>
      <c r="B6146" s="2">
        <v>0</v>
      </c>
      <c r="C6146" s="2">
        <v>68.308700000000002</v>
      </c>
      <c r="D6146" s="60">
        <v>29.748999999999999</v>
      </c>
    </row>
    <row r="6147" spans="1:10">
      <c r="A6147" s="2" t="s">
        <v>141</v>
      </c>
      <c r="B6147" s="2">
        <v>0</v>
      </c>
      <c r="C6147" s="2">
        <v>1.3</v>
      </c>
      <c r="D6147" s="60" t="s">
        <v>157</v>
      </c>
    </row>
    <row r="6148" spans="1:10">
      <c r="A6148" s="2" t="s">
        <v>141</v>
      </c>
      <c r="B6148" s="2">
        <v>0</v>
      </c>
      <c r="C6148" s="2">
        <v>7.4</v>
      </c>
      <c r="D6148" s="60" t="s">
        <v>142</v>
      </c>
    </row>
    <row r="6149" spans="1:10">
      <c r="A6149" s="2" t="s">
        <v>141</v>
      </c>
      <c r="B6149" s="2">
        <v>0</v>
      </c>
      <c r="C6149" s="2">
        <v>9.4</v>
      </c>
      <c r="D6149" s="60" t="s">
        <v>146</v>
      </c>
    </row>
    <row r="6150" spans="1:10">
      <c r="A6150" s="2" t="s">
        <v>141</v>
      </c>
      <c r="B6150" s="2">
        <v>1.3</v>
      </c>
      <c r="C6150" s="2">
        <v>9.4</v>
      </c>
      <c r="D6150" s="60" t="s">
        <v>158</v>
      </c>
    </row>
    <row r="6151" spans="1:10">
      <c r="A6151" s="2" t="s">
        <v>141</v>
      </c>
      <c r="B6151" s="2">
        <v>7.4</v>
      </c>
      <c r="C6151" s="2">
        <v>9.6999999999999993</v>
      </c>
      <c r="D6151" s="60" t="s">
        <v>151</v>
      </c>
    </row>
    <row r="6152" spans="1:10">
      <c r="A6152" s="2" t="s">
        <v>141</v>
      </c>
      <c r="B6152" s="2">
        <v>9.4</v>
      </c>
      <c r="C6152" s="2">
        <v>9.6999999999999993</v>
      </c>
      <c r="D6152" s="60" t="s">
        <v>159</v>
      </c>
    </row>
    <row r="6153" spans="1:10">
      <c r="A6153" s="2" t="s">
        <v>141</v>
      </c>
      <c r="B6153" s="2">
        <v>9.4</v>
      </c>
      <c r="C6153" s="2">
        <v>9.6999999999999993</v>
      </c>
      <c r="D6153" s="60" t="s">
        <v>178</v>
      </c>
    </row>
    <row r="6154" spans="1:10">
      <c r="A6154" s="2" t="s">
        <v>141</v>
      </c>
      <c r="B6154" s="2">
        <v>9.6999999999999993</v>
      </c>
      <c r="C6154" s="2">
        <v>14</v>
      </c>
      <c r="D6154" s="60" t="s">
        <v>147</v>
      </c>
    </row>
    <row r="6155" spans="1:10">
      <c r="A6155" s="2" t="s">
        <v>141</v>
      </c>
      <c r="B6155" s="2">
        <v>9.6999999999999993</v>
      </c>
      <c r="C6155" s="2">
        <v>22.846</v>
      </c>
      <c r="D6155" s="60" t="s">
        <v>146</v>
      </c>
    </row>
    <row r="6156" spans="1:10">
      <c r="A6156" s="2" t="s">
        <v>141</v>
      </c>
      <c r="B6156" s="2">
        <v>14</v>
      </c>
      <c r="C6156" s="2">
        <v>14.5</v>
      </c>
      <c r="D6156" s="60" t="s">
        <v>151</v>
      </c>
    </row>
    <row r="6157" spans="1:10">
      <c r="A6157" s="2" t="s">
        <v>141</v>
      </c>
      <c r="B6157" s="2">
        <v>14.5</v>
      </c>
      <c r="C6157" s="2">
        <v>15</v>
      </c>
      <c r="D6157" s="60" t="s">
        <v>147</v>
      </c>
    </row>
    <row r="6158" spans="1:10">
      <c r="A6158" s="2" t="s">
        <v>141</v>
      </c>
      <c r="B6158" s="2">
        <v>15</v>
      </c>
      <c r="C6158" s="2">
        <v>20.100000000000001</v>
      </c>
      <c r="D6158" s="60" t="s">
        <v>145</v>
      </c>
    </row>
    <row r="6159" spans="1:10">
      <c r="A6159" s="2" t="s">
        <v>141</v>
      </c>
      <c r="B6159" s="2">
        <v>20.100000000000001</v>
      </c>
      <c r="C6159" s="2">
        <v>22.846</v>
      </c>
      <c r="D6159" s="60" t="s">
        <v>144</v>
      </c>
    </row>
    <row r="6160" spans="1:10">
      <c r="A6160" s="2" t="s">
        <v>148</v>
      </c>
      <c r="B6160" s="2" t="s">
        <v>99</v>
      </c>
      <c r="C6160" s="2">
        <v>0.105922</v>
      </c>
      <c r="D6160" s="60">
        <v>0</v>
      </c>
      <c r="E6160" s="2">
        <v>0</v>
      </c>
      <c r="F6160" s="2">
        <v>0.3</v>
      </c>
      <c r="G6160" s="2">
        <v>65.615399999999994</v>
      </c>
      <c r="H6160" s="2">
        <v>68.580500000000001</v>
      </c>
      <c r="I6160" s="2">
        <v>0</v>
      </c>
      <c r="J6160" s="2">
        <v>0</v>
      </c>
    </row>
    <row r="6161" spans="1:10">
      <c r="A6161" s="2" t="s">
        <v>148</v>
      </c>
      <c r="B6161" s="2" t="s">
        <v>100</v>
      </c>
      <c r="C6161" s="2">
        <v>1.1025099999999999E-2</v>
      </c>
      <c r="D6161" s="60">
        <v>0</v>
      </c>
      <c r="E6161" s="2">
        <v>26.696300000000001</v>
      </c>
      <c r="F6161" s="2">
        <v>3.0527299999999999</v>
      </c>
      <c r="G6161" s="2">
        <v>0</v>
      </c>
      <c r="H6161" s="2">
        <v>10.0002</v>
      </c>
      <c r="I6161" s="2">
        <v>0</v>
      </c>
      <c r="J6161" s="2">
        <v>0</v>
      </c>
    </row>
    <row r="6162" spans="1:10">
      <c r="A6162" s="2" t="s">
        <v>148</v>
      </c>
      <c r="B6162" s="2" t="s">
        <v>98</v>
      </c>
      <c r="C6162" s="2">
        <v>0.28389500000000001</v>
      </c>
      <c r="D6162" s="60">
        <v>0</v>
      </c>
      <c r="E6162" s="2">
        <v>18.056999999999999</v>
      </c>
      <c r="F6162" s="2">
        <v>8.6393400000000007</v>
      </c>
      <c r="G6162" s="2">
        <v>10.0002</v>
      </c>
      <c r="H6162" s="2">
        <v>29.512799999999999</v>
      </c>
      <c r="I6162" s="2">
        <v>0</v>
      </c>
      <c r="J6162" s="2">
        <v>0</v>
      </c>
    </row>
    <row r="6163" spans="1:10">
      <c r="A6163" s="2" t="s">
        <v>148</v>
      </c>
      <c r="B6163" s="2" t="s">
        <v>101</v>
      </c>
      <c r="C6163" s="2">
        <v>2.5082400000000001E-2</v>
      </c>
      <c r="D6163" s="60">
        <v>0</v>
      </c>
      <c r="E6163" s="2">
        <v>17.7</v>
      </c>
      <c r="F6163" s="2">
        <v>0.35695500000000002</v>
      </c>
      <c r="G6163" s="2">
        <v>29.512799999999999</v>
      </c>
      <c r="H6163" s="2">
        <v>30.3065</v>
      </c>
      <c r="I6163" s="2">
        <v>0</v>
      </c>
      <c r="J6163" s="2">
        <v>0</v>
      </c>
    </row>
    <row r="6164" spans="1:10">
      <c r="A6164" s="2" t="s">
        <v>148</v>
      </c>
      <c r="B6164" s="2" t="s">
        <v>62</v>
      </c>
      <c r="C6164" s="2">
        <v>0.376863</v>
      </c>
      <c r="D6164" s="60">
        <v>30.149000000000001</v>
      </c>
      <c r="E6164" s="2">
        <v>13.7</v>
      </c>
      <c r="F6164" s="2">
        <v>4</v>
      </c>
      <c r="G6164" s="2">
        <v>30.3065</v>
      </c>
      <c r="H6164" s="2">
        <v>38.590600000000002</v>
      </c>
      <c r="I6164" s="2">
        <v>0</v>
      </c>
      <c r="J6164" s="2">
        <v>0</v>
      </c>
    </row>
    <row r="6165" spans="1:10">
      <c r="A6165" s="2" t="s">
        <v>148</v>
      </c>
      <c r="B6165" s="2" t="s">
        <v>59</v>
      </c>
      <c r="C6165" s="2">
        <v>0.55936600000000003</v>
      </c>
      <c r="D6165" s="60">
        <v>55.936599999999999</v>
      </c>
      <c r="E6165" s="2">
        <v>9.6999999999999993</v>
      </c>
      <c r="F6165" s="2">
        <v>4</v>
      </c>
      <c r="G6165" s="2">
        <v>38.590600000000002</v>
      </c>
      <c r="H6165" s="2">
        <v>45.457000000000001</v>
      </c>
      <c r="I6165" s="2">
        <v>0</v>
      </c>
      <c r="J6165" s="2">
        <v>0</v>
      </c>
    </row>
    <row r="6166" spans="1:10">
      <c r="A6166" s="2" t="s">
        <v>148</v>
      </c>
      <c r="B6166" s="2" t="s">
        <v>101</v>
      </c>
      <c r="C6166" s="2">
        <v>0.59357099999999996</v>
      </c>
      <c r="D6166" s="60">
        <v>0</v>
      </c>
      <c r="E6166" s="2">
        <v>6.4</v>
      </c>
      <c r="F6166" s="2">
        <v>3.3</v>
      </c>
      <c r="G6166" s="2">
        <v>45.457000000000001</v>
      </c>
      <c r="H6166" s="2">
        <v>50.091299999999997</v>
      </c>
      <c r="I6166" s="2">
        <v>0</v>
      </c>
      <c r="J6166" s="2">
        <v>0</v>
      </c>
    </row>
    <row r="6167" spans="1:10">
      <c r="A6167" s="2" t="s">
        <v>148</v>
      </c>
      <c r="B6167" s="2" t="s">
        <v>55</v>
      </c>
      <c r="C6167" s="2">
        <v>1.4656199999999999</v>
      </c>
      <c r="D6167" s="60">
        <v>212.51499999999999</v>
      </c>
      <c r="E6167" s="2">
        <v>0.3</v>
      </c>
      <c r="F6167" s="2">
        <v>6.1</v>
      </c>
      <c r="G6167" s="2">
        <v>50.091299999999997</v>
      </c>
      <c r="H6167" s="2">
        <v>65.615399999999994</v>
      </c>
      <c r="I6167" s="2">
        <v>0</v>
      </c>
      <c r="J6167" s="2">
        <v>0</v>
      </c>
    </row>
    <row r="6168" spans="1:10">
      <c r="A6168" s="2" t="s">
        <v>138</v>
      </c>
      <c r="B6168" s="2">
        <v>12</v>
      </c>
      <c r="C6168" s="2">
        <v>19.4955</v>
      </c>
      <c r="D6168" s="60" t="s">
        <v>175</v>
      </c>
    </row>
    <row r="6169" spans="1:10">
      <c r="A6169" s="2" t="s">
        <v>140</v>
      </c>
      <c r="B6169" s="2">
        <v>0</v>
      </c>
      <c r="C6169" s="2">
        <v>52.042099999999998</v>
      </c>
      <c r="D6169" s="60">
        <v>27.875900000000001</v>
      </c>
      <c r="E6169" s="2">
        <v>0</v>
      </c>
      <c r="F6169" s="2">
        <v>17.7</v>
      </c>
    </row>
    <row r="6170" spans="1:10">
      <c r="A6170" s="2" t="s">
        <v>141</v>
      </c>
      <c r="B6170" s="2">
        <v>0</v>
      </c>
      <c r="C6170" s="2">
        <v>0.7</v>
      </c>
      <c r="D6170" s="60" t="s">
        <v>157</v>
      </c>
    </row>
    <row r="6171" spans="1:10">
      <c r="A6171" s="2" t="s">
        <v>141</v>
      </c>
      <c r="B6171" s="2">
        <v>0</v>
      </c>
      <c r="C6171" s="2">
        <v>6.8</v>
      </c>
      <c r="D6171" s="60" t="s">
        <v>142</v>
      </c>
    </row>
    <row r="6172" spans="1:10">
      <c r="A6172" s="2" t="s">
        <v>141</v>
      </c>
      <c r="B6172" s="2">
        <v>0</v>
      </c>
      <c r="C6172" s="2">
        <v>9</v>
      </c>
      <c r="D6172" s="60" t="s">
        <v>146</v>
      </c>
    </row>
    <row r="6173" spans="1:10">
      <c r="A6173" s="2" t="s">
        <v>141</v>
      </c>
      <c r="B6173" s="2">
        <v>6.8</v>
      </c>
      <c r="C6173" s="2">
        <v>9.6</v>
      </c>
      <c r="D6173" s="60" t="s">
        <v>147</v>
      </c>
    </row>
    <row r="6174" spans="1:10">
      <c r="A6174" s="2" t="s">
        <v>141</v>
      </c>
      <c r="B6174" s="2">
        <v>9</v>
      </c>
      <c r="C6174" s="2">
        <v>9.6</v>
      </c>
      <c r="D6174" s="60" t="s">
        <v>159</v>
      </c>
    </row>
    <row r="6175" spans="1:10">
      <c r="A6175" s="2" t="s">
        <v>141</v>
      </c>
      <c r="B6175" s="2">
        <v>9.6</v>
      </c>
      <c r="C6175" s="2">
        <v>13.6</v>
      </c>
      <c r="D6175" s="60" t="s">
        <v>146</v>
      </c>
    </row>
    <row r="6176" spans="1:10">
      <c r="A6176" s="2" t="s">
        <v>141</v>
      </c>
      <c r="B6176" s="2">
        <v>9.6</v>
      </c>
      <c r="C6176" s="2">
        <v>21.473600000000001</v>
      </c>
      <c r="D6176" s="60" t="s">
        <v>145</v>
      </c>
    </row>
    <row r="6177" spans="1:10">
      <c r="A6177" s="2" t="s">
        <v>141</v>
      </c>
      <c r="B6177" s="2">
        <v>13.6</v>
      </c>
      <c r="C6177" s="2">
        <v>13.9</v>
      </c>
      <c r="D6177" s="60" t="s">
        <v>159</v>
      </c>
    </row>
    <row r="6178" spans="1:10">
      <c r="A6178" s="2" t="s">
        <v>141</v>
      </c>
      <c r="B6178" s="2">
        <v>13.9</v>
      </c>
      <c r="C6178" s="2">
        <v>21.473600000000001</v>
      </c>
      <c r="D6178" s="60" t="s">
        <v>155</v>
      </c>
    </row>
    <row r="6179" spans="1:10">
      <c r="A6179" s="2" t="s">
        <v>148</v>
      </c>
      <c r="B6179" s="2" t="s">
        <v>99</v>
      </c>
      <c r="C6179" s="2">
        <v>6.4815600000000001E-2</v>
      </c>
      <c r="D6179" s="60">
        <v>0</v>
      </c>
      <c r="E6179" s="2">
        <v>0</v>
      </c>
      <c r="F6179" s="2">
        <v>0.3</v>
      </c>
      <c r="G6179" s="2">
        <v>51.262300000000003</v>
      </c>
      <c r="H6179" s="2">
        <v>53.723199999999999</v>
      </c>
      <c r="I6179" s="2">
        <v>0</v>
      </c>
      <c r="J6179" s="2">
        <v>0</v>
      </c>
    </row>
    <row r="6180" spans="1:10">
      <c r="A6180" s="2" t="s">
        <v>148</v>
      </c>
      <c r="B6180" s="2" t="s">
        <v>64</v>
      </c>
      <c r="C6180" s="2">
        <v>0.189831</v>
      </c>
      <c r="D6180" s="60">
        <v>5.6949399999999999</v>
      </c>
      <c r="E6180" s="2">
        <v>13.9</v>
      </c>
      <c r="F6180" s="2">
        <v>3.8</v>
      </c>
      <c r="G6180" s="2">
        <v>21.649899999999999</v>
      </c>
      <c r="H6180" s="2">
        <v>28.492799999999999</v>
      </c>
      <c r="I6180" s="2">
        <v>0</v>
      </c>
      <c r="J6180" s="2">
        <v>0</v>
      </c>
    </row>
    <row r="6181" spans="1:10">
      <c r="A6181" s="2" t="s">
        <v>148</v>
      </c>
      <c r="B6181" s="2" t="s">
        <v>101</v>
      </c>
      <c r="C6181" s="2">
        <v>1.94667E-2</v>
      </c>
      <c r="D6181" s="60">
        <v>0</v>
      </c>
      <c r="E6181" s="2">
        <v>13.6</v>
      </c>
      <c r="F6181" s="2">
        <v>0.3</v>
      </c>
      <c r="G6181" s="2">
        <v>28.492799999999999</v>
      </c>
      <c r="H6181" s="2">
        <v>28.9924</v>
      </c>
      <c r="I6181" s="2">
        <v>0</v>
      </c>
      <c r="J6181" s="2">
        <v>0</v>
      </c>
    </row>
    <row r="6182" spans="1:10">
      <c r="A6182" s="2" t="s">
        <v>148</v>
      </c>
      <c r="B6182" s="2" t="s">
        <v>60</v>
      </c>
      <c r="C6182" s="2">
        <v>0.32425599999999999</v>
      </c>
      <c r="D6182" s="60">
        <v>29.183</v>
      </c>
      <c r="E6182" s="2">
        <v>9.6</v>
      </c>
      <c r="F6182" s="2">
        <v>4</v>
      </c>
      <c r="G6182" s="2">
        <v>28.9924</v>
      </c>
      <c r="H6182" s="2">
        <v>34.945300000000003</v>
      </c>
      <c r="I6182" s="2">
        <v>0</v>
      </c>
      <c r="J6182" s="2">
        <v>0</v>
      </c>
    </row>
    <row r="6183" spans="1:10">
      <c r="A6183" s="2" t="s">
        <v>148</v>
      </c>
      <c r="B6183" s="2" t="s">
        <v>101</v>
      </c>
      <c r="C6183" s="2">
        <v>0.130744</v>
      </c>
      <c r="D6183" s="60">
        <v>0</v>
      </c>
      <c r="E6183" s="2">
        <v>8.3000000000000007</v>
      </c>
      <c r="F6183" s="2">
        <v>1.3</v>
      </c>
      <c r="G6183" s="2">
        <v>34.945300000000003</v>
      </c>
      <c r="H6183" s="2">
        <v>36.595300000000002</v>
      </c>
      <c r="I6183" s="2">
        <v>0</v>
      </c>
      <c r="J6183" s="2">
        <v>0</v>
      </c>
    </row>
    <row r="6184" spans="1:10">
      <c r="A6184" s="2" t="s">
        <v>148</v>
      </c>
      <c r="B6184" s="2" t="s">
        <v>59</v>
      </c>
      <c r="C6184" s="2">
        <v>0.47548800000000002</v>
      </c>
      <c r="D6184" s="60">
        <v>47.5488</v>
      </c>
      <c r="E6184" s="2">
        <v>4.3</v>
      </c>
      <c r="F6184" s="2">
        <v>4</v>
      </c>
      <c r="G6184" s="2">
        <v>36.595300000000002</v>
      </c>
      <c r="H6184" s="2">
        <v>41.082500000000003</v>
      </c>
      <c r="I6184" s="2">
        <v>0</v>
      </c>
      <c r="J6184" s="2">
        <v>0</v>
      </c>
    </row>
    <row r="6185" spans="1:10">
      <c r="A6185" s="2" t="s">
        <v>148</v>
      </c>
      <c r="B6185" s="2" t="s">
        <v>55</v>
      </c>
      <c r="C6185" s="2">
        <v>0.62385599999999997</v>
      </c>
      <c r="D6185" s="60">
        <v>90.459100000000007</v>
      </c>
      <c r="E6185" s="2">
        <v>0.3</v>
      </c>
      <c r="F6185" s="2">
        <v>4</v>
      </c>
      <c r="G6185" s="2">
        <v>41.082500000000003</v>
      </c>
      <c r="H6185" s="2">
        <v>51.262300000000003</v>
      </c>
      <c r="I6185" s="2">
        <v>0</v>
      </c>
      <c r="J6185" s="2">
        <v>0</v>
      </c>
    </row>
    <row r="6186" spans="1:10">
      <c r="A6186" s="2" t="s">
        <v>130</v>
      </c>
      <c r="B6186" s="2" t="s">
        <v>131</v>
      </c>
      <c r="C6186" s="2" t="s">
        <v>162</v>
      </c>
      <c r="D6186" s="60" t="s">
        <v>133</v>
      </c>
      <c r="E6186" s="2">
        <v>11</v>
      </c>
      <c r="F6186" s="2">
        <v>2016</v>
      </c>
    </row>
    <row r="6187" spans="1:10">
      <c r="A6187" s="2" t="s">
        <v>275</v>
      </c>
      <c r="B6187" s="2" t="s">
        <v>277</v>
      </c>
    </row>
    <row r="6188" spans="1:10">
      <c r="A6188" s="2" t="s">
        <v>288</v>
      </c>
      <c r="B6188" s="2" t="s">
        <v>279</v>
      </c>
      <c r="C6188" s="2" t="s">
        <v>281</v>
      </c>
      <c r="D6188" s="60" t="s">
        <v>282</v>
      </c>
      <c r="E6188" s="2" t="s">
        <v>283</v>
      </c>
      <c r="F6188" s="2" t="s">
        <v>285</v>
      </c>
      <c r="G6188" s="2" t="s">
        <v>197</v>
      </c>
      <c r="H6188" s="2" t="s">
        <v>286</v>
      </c>
    </row>
    <row r="6189" spans="1:10">
      <c r="A6189" s="2" t="s">
        <v>134</v>
      </c>
      <c r="B6189" s="2" t="s">
        <v>83</v>
      </c>
      <c r="C6189" s="2">
        <v>28</v>
      </c>
      <c r="D6189" s="60" t="s">
        <v>229</v>
      </c>
      <c r="E6189" s="2" t="s">
        <v>136</v>
      </c>
      <c r="F6189" s="2" t="s">
        <v>137</v>
      </c>
      <c r="G6189" s="2" t="s">
        <v>172</v>
      </c>
    </row>
    <row r="6190" spans="1:10">
      <c r="A6190" s="2" t="s">
        <v>138</v>
      </c>
      <c r="B6190" s="2">
        <v>1</v>
      </c>
      <c r="C6190" s="2">
        <v>19.4878</v>
      </c>
      <c r="D6190" s="60" t="s">
        <v>139</v>
      </c>
    </row>
    <row r="6191" spans="1:10">
      <c r="A6191" s="2" t="s">
        <v>140</v>
      </c>
      <c r="B6191" s="2">
        <v>0</v>
      </c>
      <c r="C6191" s="2">
        <v>57.344700000000003</v>
      </c>
      <c r="D6191" s="60">
        <v>24.561800000000002</v>
      </c>
    </row>
    <row r="6192" spans="1:10">
      <c r="A6192" s="2" t="s">
        <v>141</v>
      </c>
      <c r="B6192" s="2">
        <v>0</v>
      </c>
      <c r="C6192" s="2">
        <v>2.8</v>
      </c>
      <c r="D6192" s="60" t="s">
        <v>158</v>
      </c>
    </row>
    <row r="6193" spans="1:10">
      <c r="A6193" s="2" t="s">
        <v>141</v>
      </c>
      <c r="B6193" s="2">
        <v>0</v>
      </c>
      <c r="C6193" s="2">
        <v>9.6999999999999993</v>
      </c>
      <c r="D6193" s="60" t="s">
        <v>145</v>
      </c>
    </row>
    <row r="6194" spans="1:10">
      <c r="A6194" s="2" t="s">
        <v>141</v>
      </c>
      <c r="B6194" s="2">
        <v>0</v>
      </c>
      <c r="C6194" s="2">
        <v>10.199999999999999</v>
      </c>
      <c r="D6194" s="60" t="s">
        <v>146</v>
      </c>
    </row>
    <row r="6195" spans="1:10">
      <c r="A6195" s="2" t="s">
        <v>141</v>
      </c>
      <c r="B6195" s="2">
        <v>2.8</v>
      </c>
      <c r="C6195" s="2">
        <v>3</v>
      </c>
      <c r="D6195" s="60" t="s">
        <v>176</v>
      </c>
    </row>
    <row r="6196" spans="1:10">
      <c r="A6196" s="2" t="s">
        <v>141</v>
      </c>
      <c r="B6196" s="2">
        <v>9.6999999999999993</v>
      </c>
      <c r="C6196" s="2">
        <v>10.199999999999999</v>
      </c>
      <c r="D6196" s="60" t="s">
        <v>147</v>
      </c>
    </row>
    <row r="6197" spans="1:10">
      <c r="A6197" s="2" t="s">
        <v>141</v>
      </c>
      <c r="B6197" s="2">
        <v>10.199999999999999</v>
      </c>
      <c r="C6197" s="2">
        <v>18.899999999999999</v>
      </c>
      <c r="D6197" s="60" t="s">
        <v>144</v>
      </c>
    </row>
    <row r="6198" spans="1:10">
      <c r="A6198" s="2" t="s">
        <v>141</v>
      </c>
      <c r="B6198" s="2">
        <v>10.199999999999999</v>
      </c>
      <c r="C6198" s="2">
        <v>18.899999999999999</v>
      </c>
      <c r="D6198" s="60" t="s">
        <v>155</v>
      </c>
    </row>
    <row r="6199" spans="1:10">
      <c r="A6199" s="2" t="s">
        <v>148</v>
      </c>
      <c r="B6199" s="2" t="s">
        <v>99</v>
      </c>
      <c r="C6199" s="2">
        <v>7.6519900000000002E-2</v>
      </c>
      <c r="D6199" s="60">
        <v>0</v>
      </c>
      <c r="E6199" s="2">
        <v>0</v>
      </c>
      <c r="F6199" s="2">
        <v>0.3</v>
      </c>
      <c r="G6199" s="2">
        <v>55.550199999999997</v>
      </c>
      <c r="H6199" s="2">
        <v>58.547400000000003</v>
      </c>
      <c r="I6199" s="2">
        <v>0</v>
      </c>
      <c r="J6199" s="2">
        <v>0</v>
      </c>
    </row>
    <row r="6200" spans="1:10">
      <c r="A6200" s="2" t="s">
        <v>148</v>
      </c>
      <c r="B6200" s="2" t="s">
        <v>100</v>
      </c>
      <c r="C6200" s="2">
        <v>1.1099899999999999E-2</v>
      </c>
      <c r="D6200" s="60">
        <v>0</v>
      </c>
      <c r="E6200" s="2">
        <v>21.380700000000001</v>
      </c>
      <c r="F6200" s="2">
        <v>3.1810800000000001</v>
      </c>
      <c r="G6200" s="2">
        <v>0</v>
      </c>
      <c r="H6200" s="2">
        <v>10</v>
      </c>
      <c r="I6200" s="2">
        <v>0</v>
      </c>
      <c r="J6200" s="2">
        <v>0</v>
      </c>
    </row>
    <row r="6201" spans="1:10">
      <c r="A6201" s="2" t="s">
        <v>148</v>
      </c>
      <c r="B6201" s="2" t="s">
        <v>98</v>
      </c>
      <c r="C6201" s="2">
        <v>0.42081800000000003</v>
      </c>
      <c r="D6201" s="60">
        <v>0</v>
      </c>
      <c r="E6201" s="2">
        <v>11.1647</v>
      </c>
      <c r="F6201" s="2">
        <v>10.215999999999999</v>
      </c>
      <c r="G6201" s="2">
        <v>10</v>
      </c>
      <c r="H6201" s="2">
        <v>33.232100000000003</v>
      </c>
      <c r="I6201" s="2">
        <v>0</v>
      </c>
      <c r="J6201" s="2">
        <v>0</v>
      </c>
    </row>
    <row r="6202" spans="1:10">
      <c r="A6202" s="2" t="s">
        <v>148</v>
      </c>
      <c r="B6202" s="2" t="s">
        <v>101</v>
      </c>
      <c r="C6202" s="2">
        <v>7.8811099999999995E-2</v>
      </c>
      <c r="D6202" s="60">
        <v>0</v>
      </c>
      <c r="E6202" s="2">
        <v>10.3</v>
      </c>
      <c r="F6202" s="2">
        <v>0.86472000000000004</v>
      </c>
      <c r="G6202" s="2">
        <v>33.232100000000003</v>
      </c>
      <c r="H6202" s="2">
        <v>34.876899999999999</v>
      </c>
      <c r="I6202" s="2">
        <v>0</v>
      </c>
      <c r="J6202" s="2">
        <v>0</v>
      </c>
    </row>
    <row r="6203" spans="1:10">
      <c r="A6203" s="2" t="s">
        <v>148</v>
      </c>
      <c r="B6203" s="2" t="s">
        <v>62</v>
      </c>
      <c r="C6203" s="2">
        <v>0.46112999999999998</v>
      </c>
      <c r="D6203" s="60">
        <v>36.8904</v>
      </c>
      <c r="E6203" s="2">
        <v>6.3</v>
      </c>
      <c r="F6203" s="2">
        <v>4</v>
      </c>
      <c r="G6203" s="2">
        <v>34.876899999999999</v>
      </c>
      <c r="H6203" s="2">
        <v>41.3613</v>
      </c>
      <c r="I6203" s="2">
        <v>0</v>
      </c>
      <c r="J6203" s="2">
        <v>0</v>
      </c>
    </row>
    <row r="6204" spans="1:10">
      <c r="A6204" s="2" t="s">
        <v>148</v>
      </c>
      <c r="B6204" s="2" t="s">
        <v>58</v>
      </c>
      <c r="C6204" s="2">
        <v>1.0103500000000001</v>
      </c>
      <c r="D6204" s="60">
        <v>106.086</v>
      </c>
      <c r="E6204" s="2">
        <v>0.3</v>
      </c>
      <c r="F6204" s="2">
        <v>6</v>
      </c>
      <c r="G6204" s="2">
        <v>41.3613</v>
      </c>
      <c r="H6204" s="2">
        <v>55.550199999999997</v>
      </c>
      <c r="I6204" s="2">
        <v>0</v>
      </c>
      <c r="J6204" s="2">
        <v>0</v>
      </c>
    </row>
    <row r="6205" spans="1:10">
      <c r="A6205" s="2" t="s">
        <v>138</v>
      </c>
      <c r="B6205" s="2">
        <v>2</v>
      </c>
      <c r="C6205" s="2">
        <v>19.633800000000001</v>
      </c>
      <c r="D6205" s="60" t="s">
        <v>139</v>
      </c>
    </row>
    <row r="6206" spans="1:10">
      <c r="A6206" s="2" t="s">
        <v>140</v>
      </c>
      <c r="B6206" s="2">
        <v>0</v>
      </c>
      <c r="C6206" s="2">
        <v>61.194699999999997</v>
      </c>
      <c r="D6206" s="60">
        <v>26.803599999999999</v>
      </c>
    </row>
    <row r="6207" spans="1:10">
      <c r="A6207" s="2" t="s">
        <v>141</v>
      </c>
      <c r="B6207" s="2">
        <v>0</v>
      </c>
      <c r="C6207" s="2">
        <v>6.7</v>
      </c>
      <c r="D6207" s="60" t="s">
        <v>142</v>
      </c>
    </row>
    <row r="6208" spans="1:10">
      <c r="A6208" s="2" t="s">
        <v>141</v>
      </c>
      <c r="B6208" s="2">
        <v>0</v>
      </c>
      <c r="C6208" s="2">
        <v>9.3000000000000007</v>
      </c>
      <c r="D6208" s="60" t="s">
        <v>146</v>
      </c>
    </row>
    <row r="6209" spans="1:10">
      <c r="A6209" s="2" t="s">
        <v>141</v>
      </c>
      <c r="B6209" s="2">
        <v>6.7</v>
      </c>
      <c r="C6209" s="2">
        <v>12.9</v>
      </c>
      <c r="D6209" s="60" t="s">
        <v>145</v>
      </c>
    </row>
    <row r="6210" spans="1:10">
      <c r="A6210" s="2" t="s">
        <v>141</v>
      </c>
      <c r="B6210" s="2">
        <v>9.3000000000000007</v>
      </c>
      <c r="C6210" s="2">
        <v>10.199999999999999</v>
      </c>
      <c r="D6210" s="60" t="s">
        <v>159</v>
      </c>
    </row>
    <row r="6211" spans="1:10">
      <c r="A6211" s="2" t="s">
        <v>141</v>
      </c>
      <c r="B6211" s="2">
        <v>10.199999999999999</v>
      </c>
      <c r="C6211" s="2">
        <v>20.5</v>
      </c>
      <c r="D6211" s="60" t="s">
        <v>146</v>
      </c>
    </row>
    <row r="6212" spans="1:10">
      <c r="A6212" s="2" t="s">
        <v>141</v>
      </c>
      <c r="B6212" s="2">
        <v>12.9</v>
      </c>
      <c r="C6212" s="2">
        <v>13.5</v>
      </c>
      <c r="D6212" s="60" t="s">
        <v>151</v>
      </c>
    </row>
    <row r="6213" spans="1:10">
      <c r="A6213" s="2" t="s">
        <v>141</v>
      </c>
      <c r="B6213" s="2">
        <v>13.5</v>
      </c>
      <c r="C6213" s="2">
        <v>20.5</v>
      </c>
      <c r="D6213" s="60" t="s">
        <v>144</v>
      </c>
    </row>
    <row r="6214" spans="1:10">
      <c r="A6214" s="2" t="s">
        <v>148</v>
      </c>
      <c r="B6214" s="2" t="s">
        <v>99</v>
      </c>
      <c r="C6214" s="2">
        <v>8.6419499999999996E-2</v>
      </c>
      <c r="D6214" s="60">
        <v>0</v>
      </c>
      <c r="E6214" s="2">
        <v>0</v>
      </c>
      <c r="F6214" s="2">
        <v>0.3</v>
      </c>
      <c r="G6214" s="2">
        <v>59.1447</v>
      </c>
      <c r="H6214" s="2">
        <v>62.089100000000002</v>
      </c>
      <c r="I6214" s="2">
        <v>0</v>
      </c>
      <c r="J6214" s="2">
        <v>0</v>
      </c>
    </row>
    <row r="6215" spans="1:10">
      <c r="A6215" s="2" t="s">
        <v>148</v>
      </c>
      <c r="B6215" s="2" t="s">
        <v>100</v>
      </c>
      <c r="C6215" s="2">
        <v>1.1284600000000001E-2</v>
      </c>
      <c r="D6215" s="60">
        <v>0</v>
      </c>
      <c r="E6215" s="2">
        <v>23.6126</v>
      </c>
      <c r="F6215" s="2">
        <v>3.1909999999999998</v>
      </c>
      <c r="G6215" s="2">
        <v>0</v>
      </c>
      <c r="H6215" s="2">
        <v>10</v>
      </c>
      <c r="I6215" s="2">
        <v>0</v>
      </c>
      <c r="J6215" s="2">
        <v>0</v>
      </c>
    </row>
    <row r="6216" spans="1:10">
      <c r="A6216" s="2" t="s">
        <v>148</v>
      </c>
      <c r="B6216" s="2" t="s">
        <v>98</v>
      </c>
      <c r="C6216" s="2">
        <v>0.19095999999999999</v>
      </c>
      <c r="D6216" s="60">
        <v>0</v>
      </c>
      <c r="E6216" s="2">
        <v>16.5533</v>
      </c>
      <c r="F6216" s="2">
        <v>7.0593300000000001</v>
      </c>
      <c r="G6216" s="2">
        <v>10</v>
      </c>
      <c r="H6216" s="2">
        <v>26.0794</v>
      </c>
      <c r="I6216" s="2">
        <v>0</v>
      </c>
      <c r="J6216" s="2">
        <v>0</v>
      </c>
    </row>
    <row r="6217" spans="1:10">
      <c r="A6217" s="2" t="s">
        <v>148</v>
      </c>
      <c r="B6217" s="2" t="s">
        <v>101</v>
      </c>
      <c r="C6217" s="2">
        <v>1.9455299999999998E-2</v>
      </c>
      <c r="D6217" s="60">
        <v>0</v>
      </c>
      <c r="E6217" s="2">
        <v>16.2</v>
      </c>
      <c r="F6217" s="2">
        <v>0.35331499999999999</v>
      </c>
      <c r="G6217" s="2">
        <v>26.0794</v>
      </c>
      <c r="H6217" s="2">
        <v>26.874400000000001</v>
      </c>
      <c r="I6217" s="2">
        <v>0</v>
      </c>
      <c r="J6217" s="2">
        <v>0</v>
      </c>
    </row>
    <row r="6218" spans="1:10">
      <c r="A6218" s="2" t="s">
        <v>148</v>
      </c>
      <c r="B6218" s="2" t="s">
        <v>62</v>
      </c>
      <c r="C6218" s="2">
        <v>0.52249999999999996</v>
      </c>
      <c r="D6218" s="60">
        <v>41.8</v>
      </c>
      <c r="E6218" s="2">
        <v>10.199999999999999</v>
      </c>
      <c r="F6218" s="2">
        <v>6</v>
      </c>
      <c r="G6218" s="2">
        <v>26.874400000000001</v>
      </c>
      <c r="H6218" s="2">
        <v>38.8001</v>
      </c>
      <c r="I6218" s="2">
        <v>0</v>
      </c>
      <c r="J6218" s="2">
        <v>0</v>
      </c>
    </row>
    <row r="6219" spans="1:10">
      <c r="A6219" s="2" t="s">
        <v>148</v>
      </c>
      <c r="B6219" s="2" t="s">
        <v>101</v>
      </c>
      <c r="C6219" s="2">
        <v>0.24296499999999999</v>
      </c>
      <c r="D6219" s="60">
        <v>0</v>
      </c>
      <c r="E6219" s="2">
        <v>8.3000000000000007</v>
      </c>
      <c r="F6219" s="2">
        <v>1.9</v>
      </c>
      <c r="G6219" s="2">
        <v>38.8001</v>
      </c>
      <c r="H6219" s="2">
        <v>41.821199999999997</v>
      </c>
      <c r="I6219" s="2">
        <v>0</v>
      </c>
      <c r="J6219" s="2">
        <v>0</v>
      </c>
    </row>
    <row r="6220" spans="1:10">
      <c r="A6220" s="2" t="s">
        <v>148</v>
      </c>
      <c r="B6220" s="2" t="s">
        <v>58</v>
      </c>
      <c r="C6220" s="2">
        <v>0.62588200000000005</v>
      </c>
      <c r="D6220" s="60">
        <v>65.717600000000004</v>
      </c>
      <c r="E6220" s="2">
        <v>4.3</v>
      </c>
      <c r="F6220" s="2">
        <v>4</v>
      </c>
      <c r="G6220" s="2">
        <v>41.821199999999997</v>
      </c>
      <c r="H6220" s="2">
        <v>47.260399999999997</v>
      </c>
      <c r="I6220" s="2">
        <v>0</v>
      </c>
      <c r="J6220" s="2">
        <v>0</v>
      </c>
    </row>
    <row r="6221" spans="1:10">
      <c r="A6221" s="2" t="s">
        <v>148</v>
      </c>
      <c r="B6221" s="2" t="s">
        <v>55</v>
      </c>
      <c r="C6221" s="2">
        <v>0.82720199999999999</v>
      </c>
      <c r="D6221" s="60">
        <v>119.944</v>
      </c>
      <c r="E6221" s="2">
        <v>0.3</v>
      </c>
      <c r="F6221" s="2">
        <v>4</v>
      </c>
      <c r="G6221" s="2">
        <v>47.260399999999997</v>
      </c>
      <c r="H6221" s="2">
        <v>59.1447</v>
      </c>
      <c r="I6221" s="2">
        <v>0</v>
      </c>
      <c r="J6221" s="2">
        <v>0</v>
      </c>
    </row>
    <row r="6222" spans="1:10">
      <c r="A6222" s="2" t="s">
        <v>138</v>
      </c>
      <c r="B6222" s="2">
        <v>3</v>
      </c>
      <c r="C6222" s="2">
        <v>19.395600000000002</v>
      </c>
      <c r="D6222" s="60" t="s">
        <v>139</v>
      </c>
    </row>
    <row r="6223" spans="1:10">
      <c r="A6223" s="2" t="s">
        <v>140</v>
      </c>
      <c r="B6223" s="2">
        <v>0</v>
      </c>
      <c r="C6223" s="2">
        <v>50.8613</v>
      </c>
      <c r="D6223" s="60">
        <v>27.644300000000001</v>
      </c>
    </row>
    <row r="6224" spans="1:10">
      <c r="A6224" s="2" t="s">
        <v>141</v>
      </c>
      <c r="B6224" s="2">
        <v>0</v>
      </c>
      <c r="C6224" s="2">
        <v>3.9</v>
      </c>
      <c r="D6224" s="60" t="s">
        <v>158</v>
      </c>
    </row>
    <row r="6225" spans="1:10">
      <c r="A6225" s="2" t="s">
        <v>141</v>
      </c>
      <c r="B6225" s="2">
        <v>0</v>
      </c>
      <c r="C6225" s="2">
        <v>4.2</v>
      </c>
      <c r="D6225" s="60" t="s">
        <v>144</v>
      </c>
    </row>
    <row r="6226" spans="1:10">
      <c r="A6226" s="2" t="s">
        <v>141</v>
      </c>
      <c r="B6226" s="2">
        <v>0</v>
      </c>
      <c r="C6226" s="2">
        <v>4.2</v>
      </c>
      <c r="D6226" s="60" t="s">
        <v>155</v>
      </c>
    </row>
    <row r="6227" spans="1:10">
      <c r="A6227" s="2" t="s">
        <v>141</v>
      </c>
      <c r="B6227" s="2">
        <v>3.9</v>
      </c>
      <c r="C6227" s="2">
        <v>4.2</v>
      </c>
      <c r="D6227" s="60" t="s">
        <v>160</v>
      </c>
    </row>
    <row r="6228" spans="1:10">
      <c r="A6228" s="2" t="s">
        <v>141</v>
      </c>
      <c r="B6228" s="2">
        <v>4.2</v>
      </c>
      <c r="C6228" s="2">
        <v>5.7</v>
      </c>
      <c r="D6228" s="60" t="s">
        <v>145</v>
      </c>
    </row>
    <row r="6229" spans="1:10">
      <c r="A6229" s="2" t="s">
        <v>141</v>
      </c>
      <c r="B6229" s="2">
        <v>4.2</v>
      </c>
      <c r="C6229" s="2">
        <v>11.5</v>
      </c>
      <c r="D6229" s="60" t="s">
        <v>146</v>
      </c>
    </row>
    <row r="6230" spans="1:10">
      <c r="A6230" s="2" t="s">
        <v>141</v>
      </c>
      <c r="B6230" s="2">
        <v>5.7</v>
      </c>
      <c r="C6230" s="2">
        <v>11.5</v>
      </c>
      <c r="D6230" s="60" t="s">
        <v>151</v>
      </c>
    </row>
    <row r="6231" spans="1:10">
      <c r="A6231" s="2" t="s">
        <v>141</v>
      </c>
      <c r="B6231" s="2">
        <v>11.5</v>
      </c>
      <c r="C6231" s="2">
        <v>11.8</v>
      </c>
      <c r="D6231" s="60" t="s">
        <v>145</v>
      </c>
    </row>
    <row r="6232" spans="1:10">
      <c r="A6232" s="2" t="s">
        <v>141</v>
      </c>
      <c r="B6232" s="2">
        <v>11.5</v>
      </c>
      <c r="C6232" s="2">
        <v>11.8</v>
      </c>
      <c r="D6232" s="60" t="s">
        <v>159</v>
      </c>
    </row>
    <row r="6233" spans="1:10">
      <c r="A6233" s="2" t="s">
        <v>141</v>
      </c>
      <c r="B6233" s="2">
        <v>11.8</v>
      </c>
      <c r="C6233" s="2">
        <v>21.1</v>
      </c>
      <c r="D6233" s="60" t="s">
        <v>144</v>
      </c>
    </row>
    <row r="6234" spans="1:10">
      <c r="A6234" s="2" t="s">
        <v>141</v>
      </c>
      <c r="B6234" s="2">
        <v>11.8</v>
      </c>
      <c r="C6234" s="2">
        <v>21.1</v>
      </c>
      <c r="D6234" s="60" t="s">
        <v>155</v>
      </c>
    </row>
    <row r="6235" spans="1:10">
      <c r="A6235" s="2" t="s">
        <v>148</v>
      </c>
      <c r="B6235" s="2" t="s">
        <v>99</v>
      </c>
      <c r="C6235" s="2">
        <v>6.21735E-2</v>
      </c>
      <c r="D6235" s="60">
        <v>0</v>
      </c>
      <c r="E6235" s="2">
        <v>0</v>
      </c>
      <c r="F6235" s="2">
        <v>0.3</v>
      </c>
      <c r="G6235" s="2">
        <v>50.1982</v>
      </c>
      <c r="H6235" s="2">
        <v>52.6267</v>
      </c>
      <c r="I6235" s="2">
        <v>0</v>
      </c>
      <c r="J6235" s="2">
        <v>0</v>
      </c>
    </row>
    <row r="6236" spans="1:10">
      <c r="A6236" s="2" t="s">
        <v>148</v>
      </c>
      <c r="B6236" s="2" t="s">
        <v>100</v>
      </c>
      <c r="C6236" s="2">
        <v>1.40996E-2</v>
      </c>
      <c r="D6236" s="60">
        <v>0</v>
      </c>
      <c r="E6236" s="2">
        <v>23.4986</v>
      </c>
      <c r="F6236" s="2">
        <v>4.1456999999999997</v>
      </c>
      <c r="G6236" s="2">
        <v>0</v>
      </c>
      <c r="H6236" s="2">
        <v>10</v>
      </c>
      <c r="I6236" s="2">
        <v>0</v>
      </c>
      <c r="J6236" s="2">
        <v>0</v>
      </c>
    </row>
    <row r="6237" spans="1:10">
      <c r="A6237" s="2" t="s">
        <v>148</v>
      </c>
      <c r="B6237" s="2" t="s">
        <v>98</v>
      </c>
      <c r="C6237" s="2">
        <v>8.9382699999999995E-2</v>
      </c>
      <c r="D6237" s="60">
        <v>0</v>
      </c>
      <c r="E6237" s="2">
        <v>18.4314</v>
      </c>
      <c r="F6237" s="2">
        <v>5.0672300000000003</v>
      </c>
      <c r="G6237" s="2">
        <v>10</v>
      </c>
      <c r="H6237" s="2">
        <v>19.547899999999998</v>
      </c>
      <c r="I6237" s="2">
        <v>0</v>
      </c>
      <c r="J6237" s="2">
        <v>0</v>
      </c>
    </row>
    <row r="6238" spans="1:10">
      <c r="A6238" s="2" t="s">
        <v>148</v>
      </c>
      <c r="B6238" s="2" t="s">
        <v>101</v>
      </c>
      <c r="C6238" s="2">
        <v>2.0134099999999999E-2</v>
      </c>
      <c r="D6238" s="60">
        <v>0</v>
      </c>
      <c r="E6238" s="2">
        <v>17.8</v>
      </c>
      <c r="F6238" s="2">
        <v>0.63141199999999997</v>
      </c>
      <c r="G6238" s="2">
        <v>19.547899999999998</v>
      </c>
      <c r="H6238" s="2">
        <v>20.743400000000001</v>
      </c>
      <c r="I6238" s="2">
        <v>0</v>
      </c>
      <c r="J6238" s="2">
        <v>0</v>
      </c>
    </row>
    <row r="6239" spans="1:10">
      <c r="A6239" s="2" t="s">
        <v>148</v>
      </c>
      <c r="B6239" s="2" t="s">
        <v>63</v>
      </c>
      <c r="C6239" s="2">
        <v>0.32498100000000002</v>
      </c>
      <c r="D6239" s="60">
        <v>22.748699999999999</v>
      </c>
      <c r="E6239" s="2">
        <v>11.8</v>
      </c>
      <c r="F6239" s="2">
        <v>6</v>
      </c>
      <c r="G6239" s="2">
        <v>20.743400000000001</v>
      </c>
      <c r="H6239" s="2">
        <v>31.041699999999999</v>
      </c>
      <c r="I6239" s="2">
        <v>0</v>
      </c>
      <c r="J6239" s="2">
        <v>0</v>
      </c>
    </row>
    <row r="6240" spans="1:10">
      <c r="A6240" s="2" t="s">
        <v>148</v>
      </c>
      <c r="B6240" s="2" t="s">
        <v>101</v>
      </c>
      <c r="C6240" s="2">
        <v>0.12167799999999999</v>
      </c>
      <c r="D6240" s="60">
        <v>0</v>
      </c>
      <c r="E6240" s="2">
        <v>10.3</v>
      </c>
      <c r="F6240" s="2">
        <v>1.5</v>
      </c>
      <c r="G6240" s="2">
        <v>31.041699999999999</v>
      </c>
      <c r="H6240" s="2">
        <v>33.19</v>
      </c>
      <c r="I6240" s="2">
        <v>0</v>
      </c>
      <c r="J6240" s="2">
        <v>0</v>
      </c>
    </row>
    <row r="6241" spans="1:10">
      <c r="A6241" s="2" t="s">
        <v>148</v>
      </c>
      <c r="B6241" s="2" t="s">
        <v>62</v>
      </c>
      <c r="C6241" s="2">
        <v>0.40139999999999998</v>
      </c>
      <c r="D6241" s="60">
        <v>32.112000000000002</v>
      </c>
      <c r="E6241" s="2">
        <v>6.3</v>
      </c>
      <c r="F6241" s="2">
        <v>4</v>
      </c>
      <c r="G6241" s="2">
        <v>33.19</v>
      </c>
      <c r="H6241" s="2">
        <v>38.056100000000001</v>
      </c>
      <c r="I6241" s="2">
        <v>0</v>
      </c>
      <c r="J6241" s="2">
        <v>0</v>
      </c>
    </row>
    <row r="6242" spans="1:10">
      <c r="A6242" s="2" t="s">
        <v>148</v>
      </c>
      <c r="B6242" s="2" t="s">
        <v>62</v>
      </c>
      <c r="C6242" s="2">
        <v>0.83830700000000002</v>
      </c>
      <c r="D6242" s="60">
        <v>67.064599999999999</v>
      </c>
      <c r="E6242" s="2">
        <v>0.3</v>
      </c>
      <c r="F6242" s="2">
        <v>6</v>
      </c>
      <c r="G6242" s="2">
        <v>38.056100000000001</v>
      </c>
      <c r="H6242" s="2">
        <v>50.1982</v>
      </c>
      <c r="I6242" s="2">
        <v>0</v>
      </c>
      <c r="J6242" s="2">
        <v>0</v>
      </c>
    </row>
    <row r="6243" spans="1:10">
      <c r="A6243" s="2" t="s">
        <v>138</v>
      </c>
      <c r="B6243" s="2">
        <v>4</v>
      </c>
      <c r="C6243" s="2">
        <v>19.2715</v>
      </c>
      <c r="D6243" s="60" t="s">
        <v>149</v>
      </c>
    </row>
    <row r="6244" spans="1:10">
      <c r="A6244" s="2" t="s">
        <v>140</v>
      </c>
      <c r="B6244" s="2">
        <v>0</v>
      </c>
      <c r="C6244" s="2">
        <v>48.092700000000001</v>
      </c>
      <c r="D6244" s="60">
        <v>27.219200000000001</v>
      </c>
    </row>
    <row r="6245" spans="1:10">
      <c r="A6245" s="2" t="s">
        <v>141</v>
      </c>
      <c r="B6245" s="2">
        <v>0</v>
      </c>
      <c r="C6245" s="2">
        <v>6.1</v>
      </c>
      <c r="D6245" s="60" t="s">
        <v>142</v>
      </c>
    </row>
    <row r="6246" spans="1:10">
      <c r="A6246" s="2" t="s">
        <v>141</v>
      </c>
      <c r="B6246" s="2">
        <v>0</v>
      </c>
      <c r="C6246" s="2">
        <v>11.7</v>
      </c>
      <c r="D6246" s="60" t="s">
        <v>155</v>
      </c>
    </row>
    <row r="6247" spans="1:10">
      <c r="A6247" s="2" t="s">
        <v>141</v>
      </c>
      <c r="B6247" s="2">
        <v>6.1</v>
      </c>
      <c r="C6247" s="2">
        <v>9.4</v>
      </c>
      <c r="D6247" s="60" t="s">
        <v>144</v>
      </c>
    </row>
    <row r="6248" spans="1:10">
      <c r="A6248" s="2" t="s">
        <v>141</v>
      </c>
      <c r="B6248" s="2">
        <v>9.4</v>
      </c>
      <c r="C6248" s="2">
        <v>9.6999999999999993</v>
      </c>
      <c r="D6248" s="60" t="s">
        <v>153</v>
      </c>
    </row>
    <row r="6249" spans="1:10">
      <c r="A6249" s="2" t="s">
        <v>141</v>
      </c>
      <c r="B6249" s="2">
        <v>9.4</v>
      </c>
      <c r="C6249" s="2">
        <v>9.6999999999999993</v>
      </c>
      <c r="D6249" s="60" t="s">
        <v>154</v>
      </c>
    </row>
    <row r="6250" spans="1:10">
      <c r="A6250" s="2" t="s">
        <v>141</v>
      </c>
      <c r="B6250" s="2">
        <v>9.4</v>
      </c>
      <c r="C6250" s="2">
        <v>11.7</v>
      </c>
      <c r="D6250" s="60" t="s">
        <v>147</v>
      </c>
    </row>
    <row r="6251" spans="1:10">
      <c r="A6251" s="2" t="s">
        <v>141</v>
      </c>
      <c r="B6251" s="2">
        <v>11.7</v>
      </c>
      <c r="C6251" s="2">
        <v>12</v>
      </c>
      <c r="D6251" s="60" t="s">
        <v>145</v>
      </c>
    </row>
    <row r="6252" spans="1:10">
      <c r="A6252" s="2" t="s">
        <v>141</v>
      </c>
      <c r="B6252" s="2">
        <v>11.7</v>
      </c>
      <c r="C6252" s="2">
        <v>12</v>
      </c>
      <c r="D6252" s="60" t="s">
        <v>159</v>
      </c>
    </row>
    <row r="6253" spans="1:10">
      <c r="A6253" s="2" t="s">
        <v>141</v>
      </c>
      <c r="B6253" s="2">
        <v>12</v>
      </c>
      <c r="C6253" s="2">
        <v>20.796600000000002</v>
      </c>
      <c r="D6253" s="60" t="s">
        <v>144</v>
      </c>
    </row>
    <row r="6254" spans="1:10">
      <c r="A6254" s="2" t="s">
        <v>141</v>
      </c>
      <c r="B6254" s="2">
        <v>12</v>
      </c>
      <c r="C6254" s="2">
        <v>20.796600000000002</v>
      </c>
      <c r="D6254" s="60" t="s">
        <v>152</v>
      </c>
    </row>
    <row r="6255" spans="1:10">
      <c r="A6255" s="2" t="s">
        <v>156</v>
      </c>
      <c r="B6255" s="2">
        <v>9.4</v>
      </c>
      <c r="C6255" s="2">
        <v>29.549600000000002</v>
      </c>
    </row>
    <row r="6256" spans="1:10">
      <c r="A6256" s="2" t="s">
        <v>148</v>
      </c>
      <c r="B6256" s="2" t="s">
        <v>99</v>
      </c>
      <c r="C6256" s="2">
        <v>5.6189900000000001E-2</v>
      </c>
      <c r="D6256" s="60">
        <v>0</v>
      </c>
      <c r="E6256" s="2">
        <v>0</v>
      </c>
      <c r="F6256" s="2">
        <v>0.3</v>
      </c>
      <c r="G6256" s="2">
        <v>47.706499999999998</v>
      </c>
      <c r="H6256" s="2">
        <v>50.047800000000002</v>
      </c>
      <c r="I6256" s="2">
        <v>0</v>
      </c>
      <c r="J6256" s="2">
        <v>0</v>
      </c>
    </row>
    <row r="6257" spans="1:10">
      <c r="A6257" s="2" t="s">
        <v>148</v>
      </c>
      <c r="B6257" s="2" t="s">
        <v>100</v>
      </c>
      <c r="C6257" s="2">
        <v>2.2373400000000002E-2</v>
      </c>
      <c r="D6257" s="60">
        <v>0</v>
      </c>
      <c r="E6257" s="2">
        <v>19.839200000000002</v>
      </c>
      <c r="F6257" s="2">
        <v>7.3800600000000003</v>
      </c>
      <c r="G6257" s="2">
        <v>0</v>
      </c>
      <c r="H6257" s="2">
        <v>10</v>
      </c>
      <c r="I6257" s="2">
        <v>0</v>
      </c>
      <c r="J6257" s="2">
        <v>0</v>
      </c>
    </row>
    <row r="6258" spans="1:10">
      <c r="A6258" s="2" t="s">
        <v>148</v>
      </c>
      <c r="B6258" s="2" t="s">
        <v>101</v>
      </c>
      <c r="C6258" s="2">
        <v>3.0906999999999999E-4</v>
      </c>
      <c r="D6258" s="60">
        <v>0</v>
      </c>
      <c r="E6258" s="2">
        <v>19.8</v>
      </c>
      <c r="F6258" s="2">
        <v>3.9168300000000003E-2</v>
      </c>
      <c r="G6258" s="2">
        <v>10</v>
      </c>
      <c r="H6258" s="2">
        <v>10.046799999999999</v>
      </c>
      <c r="I6258" s="2">
        <v>0</v>
      </c>
      <c r="J6258" s="2">
        <v>0</v>
      </c>
    </row>
    <row r="6259" spans="1:10">
      <c r="A6259" s="2" t="s">
        <v>148</v>
      </c>
      <c r="B6259" s="2" t="s">
        <v>64</v>
      </c>
      <c r="C6259" s="2">
        <v>4.2419199999999997E-2</v>
      </c>
      <c r="D6259" s="60">
        <v>1.27258</v>
      </c>
      <c r="E6259" s="2">
        <v>16.2</v>
      </c>
      <c r="F6259" s="2">
        <v>3.6</v>
      </c>
      <c r="G6259" s="2">
        <v>10.046799999999999</v>
      </c>
      <c r="H6259" s="2">
        <v>14.293900000000001</v>
      </c>
      <c r="I6259" s="2">
        <v>0</v>
      </c>
      <c r="J6259" s="2">
        <v>0</v>
      </c>
    </row>
    <row r="6260" spans="1:10">
      <c r="A6260" s="2" t="s">
        <v>148</v>
      </c>
      <c r="B6260" s="2" t="s">
        <v>64</v>
      </c>
      <c r="C6260" s="2">
        <v>9.1183399999999998E-2</v>
      </c>
      <c r="D6260" s="60">
        <v>2.7355</v>
      </c>
      <c r="E6260" s="2">
        <v>12</v>
      </c>
      <c r="F6260" s="2">
        <v>4.2</v>
      </c>
      <c r="G6260" s="2">
        <v>14.293900000000001</v>
      </c>
      <c r="H6260" s="2">
        <v>18.726700000000001</v>
      </c>
      <c r="I6260" s="2">
        <v>0</v>
      </c>
      <c r="J6260" s="2">
        <v>0</v>
      </c>
    </row>
    <row r="6261" spans="1:10">
      <c r="A6261" s="2" t="s">
        <v>148</v>
      </c>
      <c r="B6261" s="2" t="s">
        <v>101</v>
      </c>
      <c r="C6261" s="2">
        <v>0.17625299999999999</v>
      </c>
      <c r="D6261" s="60">
        <v>0</v>
      </c>
      <c r="E6261" s="2">
        <v>8.3000000000000007</v>
      </c>
      <c r="F6261" s="2">
        <v>3.7</v>
      </c>
      <c r="G6261" s="2">
        <v>18.726700000000001</v>
      </c>
      <c r="H6261" s="2">
        <v>33.8628</v>
      </c>
      <c r="I6261" s="2">
        <v>0</v>
      </c>
      <c r="J6261" s="2">
        <v>0</v>
      </c>
    </row>
    <row r="6262" spans="1:10">
      <c r="A6262" s="2" t="s">
        <v>148</v>
      </c>
      <c r="B6262" s="2" t="s">
        <v>62</v>
      </c>
      <c r="C6262" s="2">
        <v>0.40904099999999999</v>
      </c>
      <c r="D6262" s="60">
        <v>32.723300000000002</v>
      </c>
      <c r="E6262" s="2">
        <v>4.3</v>
      </c>
      <c r="F6262" s="2">
        <v>4</v>
      </c>
      <c r="G6262" s="2">
        <v>33.8628</v>
      </c>
      <c r="H6262" s="2">
        <v>38.164999999999999</v>
      </c>
      <c r="I6262" s="2">
        <v>0</v>
      </c>
      <c r="J6262" s="2">
        <v>0</v>
      </c>
    </row>
    <row r="6263" spans="1:10">
      <c r="A6263" s="2" t="s">
        <v>148</v>
      </c>
      <c r="B6263" s="2" t="s">
        <v>62</v>
      </c>
      <c r="C6263" s="2">
        <v>0.53901699999999997</v>
      </c>
      <c r="D6263" s="60">
        <v>43.121400000000001</v>
      </c>
      <c r="E6263" s="2">
        <v>0.3</v>
      </c>
      <c r="F6263" s="2">
        <v>4</v>
      </c>
      <c r="G6263" s="2">
        <v>38.164999999999999</v>
      </c>
      <c r="H6263" s="2">
        <v>47.706499999999998</v>
      </c>
      <c r="I6263" s="2">
        <v>0</v>
      </c>
      <c r="J6263" s="2">
        <v>0</v>
      </c>
    </row>
    <row r="6264" spans="1:10">
      <c r="A6264" s="2" t="s">
        <v>140</v>
      </c>
      <c r="B6264" s="2">
        <v>1</v>
      </c>
      <c r="C6264" s="2">
        <v>29.549600000000002</v>
      </c>
      <c r="D6264" s="60">
        <v>27.219200000000001</v>
      </c>
      <c r="E6264" s="2">
        <v>9.4</v>
      </c>
    </row>
    <row r="6265" spans="1:10">
      <c r="A6265" s="2" t="s">
        <v>141</v>
      </c>
      <c r="B6265" s="2">
        <v>9.4</v>
      </c>
      <c r="C6265" s="2">
        <v>9.6999999999999993</v>
      </c>
      <c r="D6265" s="60" t="s">
        <v>153</v>
      </c>
    </row>
    <row r="6266" spans="1:10">
      <c r="A6266" s="2" t="s">
        <v>141</v>
      </c>
      <c r="B6266" s="2">
        <v>9.4</v>
      </c>
      <c r="C6266" s="2">
        <v>20.796600000000002</v>
      </c>
      <c r="D6266" s="60" t="s">
        <v>144</v>
      </c>
    </row>
    <row r="6267" spans="1:10">
      <c r="A6267" s="2" t="s">
        <v>141</v>
      </c>
      <c r="B6267" s="2">
        <v>9.4</v>
      </c>
      <c r="C6267" s="2">
        <v>20.796600000000002</v>
      </c>
      <c r="D6267" s="60" t="s">
        <v>152</v>
      </c>
    </row>
    <row r="6268" spans="1:10">
      <c r="A6268" s="2" t="s">
        <v>148</v>
      </c>
      <c r="B6268" s="2" t="s">
        <v>100</v>
      </c>
      <c r="C6268" s="2">
        <v>2.2373400000000002E-2</v>
      </c>
      <c r="D6268" s="60">
        <v>0</v>
      </c>
      <c r="E6268" s="2">
        <v>19.839200000000002</v>
      </c>
      <c r="F6268" s="2">
        <v>7.3800600000000003</v>
      </c>
      <c r="G6268" s="2">
        <v>0</v>
      </c>
      <c r="H6268" s="2">
        <v>10</v>
      </c>
      <c r="I6268" s="2">
        <v>0</v>
      </c>
      <c r="J6268" s="2">
        <v>0</v>
      </c>
    </row>
    <row r="6269" spans="1:10">
      <c r="A6269" s="2" t="s">
        <v>148</v>
      </c>
      <c r="B6269" s="2" t="s">
        <v>98</v>
      </c>
      <c r="C6269" s="2">
        <v>5.4358899999999996E-3</v>
      </c>
      <c r="D6269" s="60">
        <v>0</v>
      </c>
      <c r="E6269" s="2">
        <v>19.197600000000001</v>
      </c>
      <c r="F6269" s="2">
        <v>0.64161599999999996</v>
      </c>
      <c r="G6269" s="2">
        <v>10</v>
      </c>
      <c r="H6269" s="2">
        <v>10.7676</v>
      </c>
      <c r="I6269" s="2">
        <v>0</v>
      </c>
      <c r="J6269" s="2">
        <v>0</v>
      </c>
    </row>
    <row r="6270" spans="1:10">
      <c r="A6270" s="2" t="s">
        <v>148</v>
      </c>
      <c r="B6270" s="2" t="s">
        <v>101</v>
      </c>
      <c r="C6270" s="2">
        <v>8.9796799999999997E-4</v>
      </c>
      <c r="D6270" s="60">
        <v>0</v>
      </c>
      <c r="E6270" s="2">
        <v>19.100000000000001</v>
      </c>
      <c r="F6270" s="2">
        <v>9.7552399999999997E-2</v>
      </c>
      <c r="G6270" s="2">
        <v>10.7676</v>
      </c>
      <c r="H6270" s="2">
        <v>10.8842</v>
      </c>
      <c r="I6270" s="2">
        <v>0</v>
      </c>
      <c r="J6270" s="2">
        <v>0</v>
      </c>
    </row>
    <row r="6271" spans="1:10">
      <c r="A6271" s="2" t="s">
        <v>148</v>
      </c>
      <c r="B6271" s="2" t="s">
        <v>64</v>
      </c>
      <c r="C6271" s="2">
        <v>4.8262699999999999E-2</v>
      </c>
      <c r="D6271" s="60">
        <v>1.4478800000000001</v>
      </c>
      <c r="E6271" s="2">
        <v>15.5</v>
      </c>
      <c r="F6271" s="2">
        <v>3.6</v>
      </c>
      <c r="G6271" s="2">
        <v>10.8842</v>
      </c>
      <c r="H6271" s="2">
        <v>15.084899999999999</v>
      </c>
      <c r="I6271" s="2">
        <v>0</v>
      </c>
      <c r="J6271" s="2">
        <v>0</v>
      </c>
    </row>
    <row r="6272" spans="1:10">
      <c r="A6272" s="2" t="s">
        <v>148</v>
      </c>
      <c r="B6272" s="2" t="s">
        <v>64</v>
      </c>
      <c r="C6272" s="2">
        <v>0.150033</v>
      </c>
      <c r="D6272" s="60">
        <v>4.5010000000000003</v>
      </c>
      <c r="E6272" s="2">
        <v>9.6999999999999993</v>
      </c>
      <c r="F6272" s="2">
        <v>5.8</v>
      </c>
      <c r="G6272" s="2">
        <v>15.084899999999999</v>
      </c>
      <c r="H6272" s="2">
        <v>20.780200000000001</v>
      </c>
      <c r="I6272" s="2">
        <v>0</v>
      </c>
      <c r="J6272" s="2">
        <v>0</v>
      </c>
    </row>
    <row r="6273" spans="1:10">
      <c r="A6273" s="2" t="s">
        <v>148</v>
      </c>
      <c r="B6273" s="2" t="s">
        <v>101</v>
      </c>
      <c r="C6273" s="2">
        <v>1.02963E-2</v>
      </c>
      <c r="D6273" s="60">
        <v>0</v>
      </c>
      <c r="E6273" s="2">
        <v>9.4</v>
      </c>
      <c r="F6273" s="2">
        <v>0.3</v>
      </c>
      <c r="G6273" s="2">
        <v>20.780200000000001</v>
      </c>
      <c r="H6273" s="2">
        <v>21.0273</v>
      </c>
      <c r="I6273" s="2">
        <v>0</v>
      </c>
      <c r="J6273" s="2">
        <v>0</v>
      </c>
    </row>
    <row r="6274" spans="1:10">
      <c r="A6274" s="2" t="s">
        <v>138</v>
      </c>
      <c r="B6274" s="2">
        <v>5</v>
      </c>
      <c r="C6274" s="2">
        <v>18.459599999999998</v>
      </c>
      <c r="D6274" s="60" t="s">
        <v>149</v>
      </c>
    </row>
    <row r="6275" spans="1:10">
      <c r="A6275" s="2" t="s">
        <v>140</v>
      </c>
      <c r="B6275" s="2">
        <v>0</v>
      </c>
      <c r="C6275" s="2">
        <v>38.021599999999999</v>
      </c>
      <c r="D6275" s="60">
        <v>25.564599999999999</v>
      </c>
    </row>
    <row r="6276" spans="1:10">
      <c r="A6276" s="2" t="s">
        <v>141</v>
      </c>
      <c r="B6276" s="2">
        <v>0</v>
      </c>
      <c r="C6276" s="2">
        <v>4.2</v>
      </c>
      <c r="D6276" s="60" t="s">
        <v>146</v>
      </c>
    </row>
    <row r="6277" spans="1:10">
      <c r="A6277" s="2" t="s">
        <v>141</v>
      </c>
      <c r="B6277" s="2">
        <v>0</v>
      </c>
      <c r="C6277" s="2">
        <v>6.7</v>
      </c>
      <c r="D6277" s="60" t="s">
        <v>142</v>
      </c>
    </row>
    <row r="6278" spans="1:10">
      <c r="A6278" s="2" t="s">
        <v>141</v>
      </c>
      <c r="B6278" s="2">
        <v>4.2</v>
      </c>
      <c r="C6278" s="2">
        <v>8</v>
      </c>
      <c r="D6278" s="60" t="s">
        <v>155</v>
      </c>
    </row>
    <row r="6279" spans="1:10">
      <c r="A6279" s="2" t="s">
        <v>141</v>
      </c>
      <c r="B6279" s="2">
        <v>6.7</v>
      </c>
      <c r="C6279" s="2">
        <v>19.6157</v>
      </c>
      <c r="D6279" s="60" t="s">
        <v>147</v>
      </c>
    </row>
    <row r="6280" spans="1:10">
      <c r="A6280" s="2" t="s">
        <v>141</v>
      </c>
      <c r="B6280" s="2">
        <v>8</v>
      </c>
      <c r="C6280" s="2">
        <v>19.6157</v>
      </c>
      <c r="D6280" s="60" t="s">
        <v>161</v>
      </c>
    </row>
    <row r="6281" spans="1:10">
      <c r="A6281" s="2" t="s">
        <v>148</v>
      </c>
      <c r="B6281" s="2" t="s">
        <v>99</v>
      </c>
      <c r="C6281" s="2">
        <v>3.6749299999999999E-2</v>
      </c>
      <c r="D6281" s="60">
        <v>0</v>
      </c>
      <c r="E6281" s="2">
        <v>0</v>
      </c>
      <c r="F6281" s="2">
        <v>0.3</v>
      </c>
      <c r="G6281" s="2">
        <v>38.530200000000001</v>
      </c>
      <c r="H6281" s="2">
        <v>40.533999999999999</v>
      </c>
      <c r="I6281" s="2">
        <v>0</v>
      </c>
      <c r="J6281" s="2">
        <v>0</v>
      </c>
    </row>
    <row r="6282" spans="1:10">
      <c r="A6282" s="2" t="s">
        <v>148</v>
      </c>
      <c r="B6282" s="2" t="s">
        <v>100</v>
      </c>
      <c r="C6282" s="2">
        <v>1.7001200000000001E-2</v>
      </c>
      <c r="D6282" s="60">
        <v>0</v>
      </c>
      <c r="E6282" s="2">
        <v>20.230599999999999</v>
      </c>
      <c r="F6282" s="2">
        <v>5.3339600000000003</v>
      </c>
      <c r="G6282" s="2">
        <v>0</v>
      </c>
      <c r="H6282" s="2">
        <v>10</v>
      </c>
      <c r="I6282" s="2">
        <v>0</v>
      </c>
      <c r="J6282" s="2">
        <v>0</v>
      </c>
    </row>
    <row r="6283" spans="1:10">
      <c r="A6283" s="2" t="s">
        <v>148</v>
      </c>
      <c r="B6283" s="2" t="s">
        <v>98</v>
      </c>
      <c r="C6283" s="2">
        <v>4.6205200000000002E-2</v>
      </c>
      <c r="D6283" s="60">
        <v>0</v>
      </c>
      <c r="E6283" s="2">
        <v>16.696200000000001</v>
      </c>
      <c r="F6283" s="2">
        <v>3.5344199999999999</v>
      </c>
      <c r="G6283" s="2">
        <v>10</v>
      </c>
      <c r="H6283" s="2">
        <v>15.6068</v>
      </c>
      <c r="I6283" s="2">
        <v>0</v>
      </c>
      <c r="J6283" s="2">
        <v>0</v>
      </c>
    </row>
    <row r="6284" spans="1:10">
      <c r="A6284" s="2" t="s">
        <v>148</v>
      </c>
      <c r="B6284" s="2" t="s">
        <v>101</v>
      </c>
      <c r="C6284" s="2">
        <v>0.43834699999999999</v>
      </c>
      <c r="D6284" s="60">
        <v>0</v>
      </c>
      <c r="E6284" s="2">
        <v>6.3</v>
      </c>
      <c r="F6284" s="2">
        <v>10.3962</v>
      </c>
      <c r="G6284" s="2">
        <v>15.6068</v>
      </c>
      <c r="H6284" s="2">
        <v>28.876100000000001</v>
      </c>
      <c r="I6284" s="2">
        <v>0</v>
      </c>
      <c r="J6284" s="2">
        <v>0</v>
      </c>
    </row>
    <row r="6285" spans="1:10">
      <c r="A6285" s="2" t="s">
        <v>148</v>
      </c>
      <c r="B6285" s="2" t="s">
        <v>62</v>
      </c>
      <c r="C6285" s="2">
        <v>0.48876900000000001</v>
      </c>
      <c r="D6285" s="60">
        <v>39.101500000000001</v>
      </c>
      <c r="E6285" s="2">
        <v>0.3</v>
      </c>
      <c r="F6285" s="2">
        <v>6</v>
      </c>
      <c r="G6285" s="2">
        <v>28.876100000000001</v>
      </c>
      <c r="H6285" s="2">
        <v>38.530200000000001</v>
      </c>
      <c r="I6285" s="2">
        <v>0</v>
      </c>
      <c r="J6285" s="2">
        <v>0</v>
      </c>
    </row>
    <row r="6286" spans="1:10">
      <c r="A6286" s="2" t="s">
        <v>138</v>
      </c>
      <c r="B6286" s="2">
        <v>6</v>
      </c>
      <c r="C6286" s="2">
        <v>19.5779</v>
      </c>
      <c r="D6286" s="60" t="s">
        <v>149</v>
      </c>
    </row>
    <row r="6287" spans="1:10">
      <c r="A6287" s="2" t="s">
        <v>140</v>
      </c>
      <c r="B6287" s="2">
        <v>0</v>
      </c>
      <c r="C6287" s="2">
        <v>56.598799999999997</v>
      </c>
      <c r="D6287" s="60">
        <v>28.402699999999999</v>
      </c>
    </row>
    <row r="6288" spans="1:10">
      <c r="A6288" s="2" t="s">
        <v>141</v>
      </c>
      <c r="B6288" s="2">
        <v>0</v>
      </c>
      <c r="C6288" s="2">
        <v>6.6</v>
      </c>
      <c r="D6288" s="60" t="s">
        <v>142</v>
      </c>
    </row>
    <row r="6289" spans="1:10">
      <c r="A6289" s="2" t="s">
        <v>141</v>
      </c>
      <c r="B6289" s="2">
        <v>0</v>
      </c>
      <c r="C6289" s="2">
        <v>10.5</v>
      </c>
      <c r="D6289" s="60" t="s">
        <v>146</v>
      </c>
    </row>
    <row r="6290" spans="1:10">
      <c r="A6290" s="2" t="s">
        <v>141</v>
      </c>
      <c r="B6290" s="2">
        <v>6.6</v>
      </c>
      <c r="C6290" s="2">
        <v>7.6</v>
      </c>
      <c r="D6290" s="60" t="s">
        <v>151</v>
      </c>
    </row>
    <row r="6291" spans="1:10">
      <c r="A6291" s="2" t="s">
        <v>141</v>
      </c>
      <c r="B6291" s="2">
        <v>7.6</v>
      </c>
      <c r="C6291" s="2">
        <v>10.5</v>
      </c>
      <c r="D6291" s="60" t="s">
        <v>145</v>
      </c>
    </row>
    <row r="6292" spans="1:10">
      <c r="A6292" s="2" t="s">
        <v>141</v>
      </c>
      <c r="B6292" s="2">
        <v>10.5</v>
      </c>
      <c r="C6292" s="2">
        <v>21.641200000000001</v>
      </c>
      <c r="D6292" s="60" t="s">
        <v>151</v>
      </c>
    </row>
    <row r="6293" spans="1:10">
      <c r="A6293" s="2" t="s">
        <v>141</v>
      </c>
      <c r="B6293" s="2">
        <v>10.5</v>
      </c>
      <c r="C6293" s="2">
        <v>21.641200000000001</v>
      </c>
      <c r="D6293" s="60" t="s">
        <v>161</v>
      </c>
    </row>
    <row r="6294" spans="1:10">
      <c r="A6294" s="2" t="s">
        <v>141</v>
      </c>
      <c r="B6294" s="2">
        <v>11.9</v>
      </c>
      <c r="C6294" s="2">
        <v>12.2</v>
      </c>
      <c r="D6294" s="60" t="s">
        <v>154</v>
      </c>
    </row>
    <row r="6295" spans="1:10">
      <c r="A6295" s="2" t="s">
        <v>156</v>
      </c>
      <c r="B6295" s="2">
        <v>11.9</v>
      </c>
      <c r="C6295" s="2">
        <v>36.746299999999998</v>
      </c>
    </row>
    <row r="6296" spans="1:10">
      <c r="A6296" s="2" t="s">
        <v>148</v>
      </c>
      <c r="B6296" s="2" t="s">
        <v>99</v>
      </c>
      <c r="C6296" s="2">
        <v>7.5416399999999995E-2</v>
      </c>
      <c r="D6296" s="60">
        <v>0</v>
      </c>
      <c r="E6296" s="2">
        <v>0</v>
      </c>
      <c r="F6296" s="2">
        <v>0.3</v>
      </c>
      <c r="G6296" s="2">
        <v>55.316400000000002</v>
      </c>
      <c r="H6296" s="2">
        <v>57.926200000000001</v>
      </c>
      <c r="I6296" s="2">
        <v>0</v>
      </c>
      <c r="J6296" s="2">
        <v>0</v>
      </c>
    </row>
    <row r="6297" spans="1:10">
      <c r="A6297" s="2" t="s">
        <v>148</v>
      </c>
      <c r="B6297" s="2" t="s">
        <v>100</v>
      </c>
      <c r="C6297" s="2">
        <v>1.94323E-2</v>
      </c>
      <c r="D6297" s="60">
        <v>0</v>
      </c>
      <c r="E6297" s="2">
        <v>22.2623</v>
      </c>
      <c r="F6297" s="2">
        <v>6.1403100000000004</v>
      </c>
      <c r="G6297" s="2">
        <v>0</v>
      </c>
      <c r="H6297" s="2">
        <v>10</v>
      </c>
      <c r="I6297" s="2">
        <v>0</v>
      </c>
      <c r="J6297" s="2">
        <v>0</v>
      </c>
    </row>
    <row r="6298" spans="1:10">
      <c r="A6298" s="2" t="s">
        <v>148</v>
      </c>
      <c r="B6298" s="2" t="s">
        <v>98</v>
      </c>
      <c r="C6298" s="2">
        <v>8.88182E-2</v>
      </c>
      <c r="D6298" s="60">
        <v>0</v>
      </c>
      <c r="E6298" s="2">
        <v>16.583100000000002</v>
      </c>
      <c r="F6298" s="2">
        <v>5.6791999999999998</v>
      </c>
      <c r="G6298" s="2">
        <v>10</v>
      </c>
      <c r="H6298" s="2">
        <v>17.8063</v>
      </c>
      <c r="I6298" s="2">
        <v>0</v>
      </c>
      <c r="J6298" s="2">
        <v>0</v>
      </c>
    </row>
    <row r="6299" spans="1:10">
      <c r="A6299" s="2" t="s">
        <v>148</v>
      </c>
      <c r="B6299" s="2" t="s">
        <v>101</v>
      </c>
      <c r="C6299" s="2">
        <v>0.30896899999999999</v>
      </c>
      <c r="D6299" s="60">
        <v>0</v>
      </c>
      <c r="E6299" s="2">
        <v>10.4</v>
      </c>
      <c r="F6299" s="2">
        <v>6.1831399999999999</v>
      </c>
      <c r="G6299" s="2">
        <v>17.8063</v>
      </c>
      <c r="H6299" s="2">
        <v>36.798400000000001</v>
      </c>
      <c r="I6299" s="2">
        <v>0</v>
      </c>
      <c r="J6299" s="2">
        <v>0</v>
      </c>
    </row>
    <row r="6300" spans="1:10">
      <c r="A6300" s="2" t="s">
        <v>148</v>
      </c>
      <c r="B6300" s="2" t="s">
        <v>62</v>
      </c>
      <c r="C6300" s="2">
        <v>0.49043300000000001</v>
      </c>
      <c r="D6300" s="60">
        <v>39.2346</v>
      </c>
      <c r="E6300" s="2">
        <v>6.4</v>
      </c>
      <c r="F6300" s="2">
        <v>4</v>
      </c>
      <c r="G6300" s="2">
        <v>36.798400000000001</v>
      </c>
      <c r="H6300" s="2">
        <v>41.973300000000002</v>
      </c>
      <c r="I6300" s="2">
        <v>0</v>
      </c>
      <c r="J6300" s="2">
        <v>0</v>
      </c>
    </row>
    <row r="6301" spans="1:10">
      <c r="A6301" s="2" t="s">
        <v>148</v>
      </c>
      <c r="B6301" s="2" t="s">
        <v>55</v>
      </c>
      <c r="C6301" s="2">
        <v>1.03542</v>
      </c>
      <c r="D6301" s="60">
        <v>150.136</v>
      </c>
      <c r="E6301" s="2">
        <v>0.3</v>
      </c>
      <c r="F6301" s="2">
        <v>6.1</v>
      </c>
      <c r="G6301" s="2">
        <v>41.973300000000002</v>
      </c>
      <c r="H6301" s="2">
        <v>55.316400000000002</v>
      </c>
      <c r="I6301" s="2">
        <v>0</v>
      </c>
      <c r="J6301" s="2">
        <v>0</v>
      </c>
    </row>
    <row r="6302" spans="1:10">
      <c r="A6302" s="2" t="s">
        <v>138</v>
      </c>
      <c r="B6302" s="2">
        <v>7</v>
      </c>
      <c r="C6302" s="2">
        <v>19.2637</v>
      </c>
      <c r="D6302" s="60" t="s">
        <v>149</v>
      </c>
    </row>
    <row r="6303" spans="1:10">
      <c r="A6303" s="2" t="s">
        <v>140</v>
      </c>
      <c r="B6303" s="2">
        <v>0</v>
      </c>
      <c r="C6303" s="2">
        <v>47.937800000000003</v>
      </c>
      <c r="D6303" s="60">
        <v>27.196000000000002</v>
      </c>
    </row>
    <row r="6304" spans="1:10">
      <c r="A6304" s="2" t="s">
        <v>141</v>
      </c>
      <c r="B6304" s="2">
        <v>0</v>
      </c>
      <c r="C6304" s="2">
        <v>3</v>
      </c>
      <c r="D6304" s="60" t="s">
        <v>155</v>
      </c>
    </row>
    <row r="6305" spans="1:10">
      <c r="A6305" s="2" t="s">
        <v>141</v>
      </c>
      <c r="B6305" s="2">
        <v>0</v>
      </c>
      <c r="C6305" s="2">
        <v>5.3</v>
      </c>
      <c r="D6305" s="60" t="s">
        <v>142</v>
      </c>
    </row>
    <row r="6306" spans="1:10">
      <c r="A6306" s="2" t="s">
        <v>141</v>
      </c>
      <c r="B6306" s="2">
        <v>3</v>
      </c>
      <c r="C6306" s="2">
        <v>8.5</v>
      </c>
      <c r="D6306" s="60" t="s">
        <v>146</v>
      </c>
    </row>
    <row r="6307" spans="1:10">
      <c r="A6307" s="2" t="s">
        <v>141</v>
      </c>
      <c r="B6307" s="2">
        <v>5.3</v>
      </c>
      <c r="C6307" s="2">
        <v>6.1</v>
      </c>
      <c r="D6307" s="60" t="s">
        <v>144</v>
      </c>
    </row>
    <row r="6308" spans="1:10">
      <c r="A6308" s="2" t="s">
        <v>141</v>
      </c>
      <c r="B6308" s="2">
        <v>6.1</v>
      </c>
      <c r="C6308" s="2">
        <v>11.3</v>
      </c>
      <c r="D6308" s="60" t="s">
        <v>145</v>
      </c>
    </row>
    <row r="6309" spans="1:10">
      <c r="A6309" s="2" t="s">
        <v>141</v>
      </c>
      <c r="B6309" s="2">
        <v>8.5</v>
      </c>
      <c r="C6309" s="2">
        <v>9</v>
      </c>
      <c r="D6309" s="60" t="s">
        <v>159</v>
      </c>
    </row>
    <row r="6310" spans="1:10">
      <c r="A6310" s="2" t="s">
        <v>141</v>
      </c>
      <c r="B6310" s="2">
        <v>9</v>
      </c>
      <c r="C6310" s="2">
        <v>20.78</v>
      </c>
      <c r="D6310" s="60" t="s">
        <v>146</v>
      </c>
    </row>
    <row r="6311" spans="1:10">
      <c r="A6311" s="2" t="s">
        <v>141</v>
      </c>
      <c r="B6311" s="2">
        <v>11.3</v>
      </c>
      <c r="C6311" s="2">
        <v>20.78</v>
      </c>
      <c r="D6311" s="60" t="s">
        <v>144</v>
      </c>
    </row>
    <row r="6312" spans="1:10">
      <c r="A6312" s="2" t="s">
        <v>148</v>
      </c>
      <c r="B6312" s="2" t="s">
        <v>99</v>
      </c>
      <c r="C6312" s="2">
        <v>5.5863200000000002E-2</v>
      </c>
      <c r="D6312" s="60">
        <v>0</v>
      </c>
      <c r="E6312" s="2">
        <v>0</v>
      </c>
      <c r="F6312" s="2">
        <v>0.3</v>
      </c>
      <c r="G6312" s="2">
        <v>47.566699999999997</v>
      </c>
      <c r="H6312" s="2">
        <v>49.903100000000002</v>
      </c>
      <c r="I6312" s="2">
        <v>0</v>
      </c>
      <c r="J6312" s="2">
        <v>0</v>
      </c>
    </row>
    <row r="6313" spans="1:10">
      <c r="A6313" s="2" t="s">
        <v>148</v>
      </c>
      <c r="B6313" s="2" t="s">
        <v>100</v>
      </c>
      <c r="C6313" s="2">
        <v>1.4685800000000001E-2</v>
      </c>
      <c r="D6313" s="60">
        <v>0</v>
      </c>
      <c r="E6313" s="2">
        <v>22.820599999999999</v>
      </c>
      <c r="F6313" s="2">
        <v>4.3754</v>
      </c>
      <c r="G6313" s="2">
        <v>0</v>
      </c>
      <c r="H6313" s="2">
        <v>10</v>
      </c>
      <c r="I6313" s="2">
        <v>0</v>
      </c>
      <c r="J6313" s="2">
        <v>0</v>
      </c>
    </row>
    <row r="6314" spans="1:10">
      <c r="A6314" s="2" t="s">
        <v>148</v>
      </c>
      <c r="B6314" s="2" t="s">
        <v>98</v>
      </c>
      <c r="C6314" s="2">
        <v>3.89206E-2</v>
      </c>
      <c r="D6314" s="60">
        <v>0</v>
      </c>
      <c r="E6314" s="2">
        <v>19.7986</v>
      </c>
      <c r="F6314" s="2">
        <v>3.0219200000000002</v>
      </c>
      <c r="G6314" s="2">
        <v>10</v>
      </c>
      <c r="H6314" s="2">
        <v>15.465199999999999</v>
      </c>
      <c r="I6314" s="2">
        <v>0</v>
      </c>
      <c r="J6314" s="2">
        <v>0</v>
      </c>
    </row>
    <row r="6315" spans="1:10">
      <c r="A6315" s="2" t="s">
        <v>148</v>
      </c>
      <c r="B6315" s="2" t="s">
        <v>101</v>
      </c>
      <c r="C6315" s="2">
        <v>1.6478099999999999E-2</v>
      </c>
      <c r="D6315" s="60">
        <v>0</v>
      </c>
      <c r="E6315" s="2">
        <v>19</v>
      </c>
      <c r="F6315" s="2">
        <v>0.79864500000000005</v>
      </c>
      <c r="G6315" s="2">
        <v>15.465199999999999</v>
      </c>
      <c r="H6315" s="2">
        <v>16.939800000000002</v>
      </c>
      <c r="I6315" s="2">
        <v>0</v>
      </c>
      <c r="J6315" s="2">
        <v>0</v>
      </c>
    </row>
    <row r="6316" spans="1:10">
      <c r="A6316" s="2" t="s">
        <v>148</v>
      </c>
      <c r="B6316" s="2" t="s">
        <v>61</v>
      </c>
      <c r="C6316" s="2">
        <v>0.13425599999999999</v>
      </c>
      <c r="D6316" s="60">
        <v>11.411799999999999</v>
      </c>
      <c r="E6316" s="2">
        <v>15</v>
      </c>
      <c r="F6316" s="2">
        <v>4</v>
      </c>
      <c r="G6316" s="2">
        <v>16.939800000000002</v>
      </c>
      <c r="H6316" s="2">
        <v>24.096</v>
      </c>
      <c r="I6316" s="2">
        <v>0</v>
      </c>
      <c r="J6316" s="2">
        <v>0</v>
      </c>
    </row>
    <row r="6317" spans="1:10">
      <c r="A6317" s="2" t="s">
        <v>148</v>
      </c>
      <c r="B6317" s="2" t="s">
        <v>60</v>
      </c>
      <c r="C6317" s="2">
        <v>0.39240599999999998</v>
      </c>
      <c r="D6317" s="60">
        <v>35.316499999999998</v>
      </c>
      <c r="E6317" s="2">
        <v>9</v>
      </c>
      <c r="F6317" s="2">
        <v>6</v>
      </c>
      <c r="G6317" s="2">
        <v>24.096</v>
      </c>
      <c r="H6317" s="2">
        <v>32.915100000000002</v>
      </c>
      <c r="I6317" s="2">
        <v>0</v>
      </c>
      <c r="J6317" s="2">
        <v>0</v>
      </c>
    </row>
    <row r="6318" spans="1:10">
      <c r="A6318" s="2" t="s">
        <v>148</v>
      </c>
      <c r="B6318" s="2" t="s">
        <v>101</v>
      </c>
      <c r="C6318" s="2">
        <v>6.1110100000000001E-2</v>
      </c>
      <c r="D6318" s="60">
        <v>0</v>
      </c>
      <c r="E6318" s="2">
        <v>8.3000000000000007</v>
      </c>
      <c r="F6318" s="2">
        <v>0.7</v>
      </c>
      <c r="G6318" s="2">
        <v>32.915100000000002</v>
      </c>
      <c r="H6318" s="2">
        <v>33.756500000000003</v>
      </c>
      <c r="I6318" s="2">
        <v>0</v>
      </c>
      <c r="J6318" s="2">
        <v>0</v>
      </c>
    </row>
    <row r="6319" spans="1:10">
      <c r="A6319" s="2" t="s">
        <v>148</v>
      </c>
      <c r="B6319" s="2" t="s">
        <v>59</v>
      </c>
      <c r="C6319" s="2">
        <v>0.40654800000000002</v>
      </c>
      <c r="D6319" s="60">
        <v>40.654800000000002</v>
      </c>
      <c r="E6319" s="2">
        <v>4.3</v>
      </c>
      <c r="F6319" s="2">
        <v>4</v>
      </c>
      <c r="G6319" s="2">
        <v>33.756500000000003</v>
      </c>
      <c r="H6319" s="2">
        <v>38.050699999999999</v>
      </c>
      <c r="I6319" s="2">
        <v>0</v>
      </c>
      <c r="J6319" s="2">
        <v>0</v>
      </c>
    </row>
    <row r="6320" spans="1:10">
      <c r="A6320" s="2" t="s">
        <v>148</v>
      </c>
      <c r="B6320" s="2" t="s">
        <v>62</v>
      </c>
      <c r="C6320" s="2">
        <v>0.53581900000000005</v>
      </c>
      <c r="D6320" s="60">
        <v>42.865499999999997</v>
      </c>
      <c r="E6320" s="2">
        <v>0.3</v>
      </c>
      <c r="F6320" s="2">
        <v>4</v>
      </c>
      <c r="G6320" s="2">
        <v>38.050699999999999</v>
      </c>
      <c r="H6320" s="2">
        <v>47.566699999999997</v>
      </c>
      <c r="I6320" s="2">
        <v>0</v>
      </c>
      <c r="J6320" s="2">
        <v>0</v>
      </c>
    </row>
    <row r="6321" spans="1:10">
      <c r="A6321" s="2" t="s">
        <v>138</v>
      </c>
      <c r="B6321" s="2">
        <v>8</v>
      </c>
      <c r="C6321" s="2">
        <v>18.9665</v>
      </c>
      <c r="D6321" s="60" t="s">
        <v>139</v>
      </c>
    </row>
    <row r="6322" spans="1:10">
      <c r="A6322" s="2" t="s">
        <v>140</v>
      </c>
      <c r="B6322" s="2">
        <v>0</v>
      </c>
      <c r="C6322" s="2">
        <v>46.693600000000004</v>
      </c>
      <c r="D6322" s="60">
        <v>23.020499999999998</v>
      </c>
    </row>
    <row r="6323" spans="1:10">
      <c r="A6323" s="2" t="s">
        <v>141</v>
      </c>
      <c r="B6323" s="2">
        <v>0</v>
      </c>
      <c r="C6323" s="2">
        <v>1.4</v>
      </c>
      <c r="D6323" s="60" t="s">
        <v>152</v>
      </c>
    </row>
    <row r="6324" spans="1:10">
      <c r="A6324" s="2" t="s">
        <v>141</v>
      </c>
      <c r="B6324" s="2">
        <v>0</v>
      </c>
      <c r="C6324" s="2">
        <v>6.3</v>
      </c>
      <c r="D6324" s="60" t="s">
        <v>142</v>
      </c>
    </row>
    <row r="6325" spans="1:10">
      <c r="A6325" s="2" t="s">
        <v>141</v>
      </c>
      <c r="B6325" s="2">
        <v>1.4</v>
      </c>
      <c r="C6325" s="2">
        <v>8.3000000000000007</v>
      </c>
      <c r="D6325" s="60" t="s">
        <v>155</v>
      </c>
    </row>
    <row r="6326" spans="1:10">
      <c r="A6326" s="2" t="s">
        <v>141</v>
      </c>
      <c r="B6326" s="2">
        <v>6.3</v>
      </c>
      <c r="C6326" s="2">
        <v>8.3000000000000007</v>
      </c>
      <c r="D6326" s="60" t="s">
        <v>145</v>
      </c>
    </row>
    <row r="6327" spans="1:10">
      <c r="A6327" s="2" t="s">
        <v>141</v>
      </c>
      <c r="B6327" s="2">
        <v>8.3000000000000007</v>
      </c>
      <c r="C6327" s="2">
        <v>8.6999999999999993</v>
      </c>
      <c r="D6327" s="60" t="s">
        <v>159</v>
      </c>
    </row>
    <row r="6328" spans="1:10">
      <c r="A6328" s="2" t="s">
        <v>141</v>
      </c>
      <c r="B6328" s="2">
        <v>8.3000000000000007</v>
      </c>
      <c r="C6328" s="2">
        <v>11.3</v>
      </c>
      <c r="D6328" s="60" t="s">
        <v>147</v>
      </c>
    </row>
    <row r="6329" spans="1:10">
      <c r="A6329" s="2" t="s">
        <v>141</v>
      </c>
      <c r="B6329" s="2">
        <v>8.6999999999999993</v>
      </c>
      <c r="C6329" s="2">
        <v>17.8</v>
      </c>
      <c r="D6329" s="60" t="s">
        <v>155</v>
      </c>
    </row>
    <row r="6330" spans="1:10">
      <c r="A6330" s="2" t="s">
        <v>141</v>
      </c>
      <c r="B6330" s="2">
        <v>11.3</v>
      </c>
      <c r="C6330" s="2">
        <v>17.8</v>
      </c>
      <c r="D6330" s="60" t="s">
        <v>144</v>
      </c>
    </row>
    <row r="6331" spans="1:10">
      <c r="A6331" s="2" t="s">
        <v>148</v>
      </c>
      <c r="B6331" s="2" t="s">
        <v>99</v>
      </c>
      <c r="C6331" s="2">
        <v>5.27631E-2</v>
      </c>
      <c r="D6331" s="60">
        <v>0</v>
      </c>
      <c r="E6331" s="2">
        <v>0</v>
      </c>
      <c r="F6331" s="2">
        <v>0.3</v>
      </c>
      <c r="G6331" s="2">
        <v>46.060499999999998</v>
      </c>
      <c r="H6331" s="2">
        <v>48.697400000000002</v>
      </c>
      <c r="I6331" s="2">
        <v>0</v>
      </c>
      <c r="J6331" s="2">
        <v>0</v>
      </c>
    </row>
    <row r="6332" spans="1:10">
      <c r="A6332" s="2" t="s">
        <v>148</v>
      </c>
      <c r="B6332" s="2" t="s">
        <v>100</v>
      </c>
      <c r="C6332" s="2">
        <v>1.2754E-2</v>
      </c>
      <c r="D6332" s="60">
        <v>0</v>
      </c>
      <c r="E6332" s="2">
        <v>19.197299999999998</v>
      </c>
      <c r="F6332" s="2">
        <v>3.8231700000000002</v>
      </c>
      <c r="G6332" s="2">
        <v>0</v>
      </c>
      <c r="H6332" s="2">
        <v>10</v>
      </c>
      <c r="I6332" s="2">
        <v>0</v>
      </c>
      <c r="J6332" s="2">
        <v>0</v>
      </c>
    </row>
    <row r="6333" spans="1:10">
      <c r="A6333" s="2" t="s">
        <v>148</v>
      </c>
      <c r="B6333" s="2" t="s">
        <v>98</v>
      </c>
      <c r="C6333" s="2">
        <v>2.15114E-2</v>
      </c>
      <c r="D6333" s="60">
        <v>0</v>
      </c>
      <c r="E6333" s="2">
        <v>17.298999999999999</v>
      </c>
      <c r="F6333" s="2">
        <v>1.89836</v>
      </c>
      <c r="G6333" s="2">
        <v>10</v>
      </c>
      <c r="H6333" s="2">
        <v>13.944699999999999</v>
      </c>
      <c r="I6333" s="2">
        <v>0</v>
      </c>
      <c r="J6333" s="2">
        <v>0</v>
      </c>
    </row>
    <row r="6334" spans="1:10">
      <c r="A6334" s="2" t="s">
        <v>148</v>
      </c>
      <c r="B6334" s="2" t="s">
        <v>101</v>
      </c>
      <c r="C6334" s="2">
        <v>1.0007E-2</v>
      </c>
      <c r="D6334" s="60">
        <v>0</v>
      </c>
      <c r="E6334" s="2">
        <v>16.7</v>
      </c>
      <c r="F6334" s="2">
        <v>0.59897199999999995</v>
      </c>
      <c r="G6334" s="2">
        <v>13.944699999999999</v>
      </c>
      <c r="H6334" s="2">
        <v>15.216900000000001</v>
      </c>
      <c r="I6334" s="2">
        <v>0</v>
      </c>
      <c r="J6334" s="2">
        <v>0</v>
      </c>
    </row>
    <row r="6335" spans="1:10">
      <c r="A6335" s="2" t="s">
        <v>148</v>
      </c>
      <c r="B6335" s="2" t="s">
        <v>63</v>
      </c>
      <c r="C6335" s="2">
        <v>0.120309</v>
      </c>
      <c r="D6335" s="60">
        <v>8.4216099999999994</v>
      </c>
      <c r="E6335" s="2">
        <v>12.7</v>
      </c>
      <c r="F6335" s="2">
        <v>4</v>
      </c>
      <c r="G6335" s="2">
        <v>15.216900000000001</v>
      </c>
      <c r="H6335" s="2">
        <v>23.507999999999999</v>
      </c>
      <c r="I6335" s="2">
        <v>0</v>
      </c>
      <c r="J6335" s="2">
        <v>0</v>
      </c>
    </row>
    <row r="6336" spans="1:10">
      <c r="A6336" s="2" t="s">
        <v>148</v>
      </c>
      <c r="B6336" s="2" t="s">
        <v>63</v>
      </c>
      <c r="C6336" s="2">
        <v>0.23300100000000001</v>
      </c>
      <c r="D6336" s="60">
        <v>16.310099999999998</v>
      </c>
      <c r="E6336" s="2">
        <v>8.6999999999999993</v>
      </c>
      <c r="F6336" s="2">
        <v>4</v>
      </c>
      <c r="G6336" s="2">
        <v>23.507999999999999</v>
      </c>
      <c r="H6336" s="2">
        <v>30.5243</v>
      </c>
      <c r="I6336" s="2">
        <v>0</v>
      </c>
      <c r="J6336" s="2">
        <v>0</v>
      </c>
    </row>
    <row r="6337" spans="1:10">
      <c r="A6337" s="2" t="s">
        <v>148</v>
      </c>
      <c r="B6337" s="2" t="s">
        <v>101</v>
      </c>
      <c r="C6337" s="2">
        <v>0.101282</v>
      </c>
      <c r="D6337" s="60">
        <v>0</v>
      </c>
      <c r="E6337" s="2">
        <v>7.4</v>
      </c>
      <c r="F6337" s="2">
        <v>1.3</v>
      </c>
      <c r="G6337" s="2">
        <v>30.5243</v>
      </c>
      <c r="H6337" s="2">
        <v>32.426400000000001</v>
      </c>
      <c r="I6337" s="2">
        <v>0</v>
      </c>
      <c r="J6337" s="2">
        <v>0</v>
      </c>
    </row>
    <row r="6338" spans="1:10">
      <c r="A6338" s="2" t="s">
        <v>148</v>
      </c>
      <c r="B6338" s="2" t="s">
        <v>62</v>
      </c>
      <c r="C6338" s="2">
        <v>0.62312500000000004</v>
      </c>
      <c r="D6338" s="60">
        <v>49.85</v>
      </c>
      <c r="E6338" s="2">
        <v>1.4</v>
      </c>
      <c r="F6338" s="2">
        <v>6</v>
      </c>
      <c r="G6338" s="2">
        <v>32.426400000000001</v>
      </c>
      <c r="H6338" s="2">
        <v>40.854700000000001</v>
      </c>
      <c r="I6338" s="2">
        <v>0</v>
      </c>
      <c r="J6338" s="2">
        <v>0</v>
      </c>
    </row>
    <row r="6339" spans="1:10">
      <c r="A6339" s="2" t="s">
        <v>148</v>
      </c>
      <c r="B6339" s="2" t="s">
        <v>101</v>
      </c>
      <c r="C6339" s="2">
        <v>0.16015299999999999</v>
      </c>
      <c r="D6339" s="60">
        <v>0</v>
      </c>
      <c r="E6339" s="2">
        <v>0.3</v>
      </c>
      <c r="F6339" s="2">
        <v>1.1000000000000001</v>
      </c>
      <c r="G6339" s="2">
        <v>40.854700000000001</v>
      </c>
      <c r="H6339" s="2">
        <v>46.060499999999998</v>
      </c>
      <c r="I6339" s="2">
        <v>0</v>
      </c>
      <c r="J6339" s="2">
        <v>0</v>
      </c>
    </row>
    <row r="6340" spans="1:10">
      <c r="A6340" s="2" t="s">
        <v>138</v>
      </c>
      <c r="B6340" s="2">
        <v>9</v>
      </c>
      <c r="C6340" s="2">
        <v>19.574100000000001</v>
      </c>
      <c r="D6340" s="60" t="s">
        <v>149</v>
      </c>
    </row>
    <row r="6341" spans="1:10">
      <c r="A6341" s="2" t="s">
        <v>140</v>
      </c>
      <c r="B6341" s="2">
        <v>0</v>
      </c>
      <c r="C6341" s="2">
        <v>56.449399999999997</v>
      </c>
      <c r="D6341" s="60">
        <v>28.383299999999998</v>
      </c>
    </row>
    <row r="6342" spans="1:10">
      <c r="A6342" s="2" t="s">
        <v>141</v>
      </c>
      <c r="B6342" s="2">
        <v>0</v>
      </c>
      <c r="C6342" s="2">
        <v>3.4</v>
      </c>
      <c r="D6342" s="60" t="s">
        <v>145</v>
      </c>
    </row>
    <row r="6343" spans="1:10">
      <c r="A6343" s="2" t="s">
        <v>141</v>
      </c>
      <c r="B6343" s="2">
        <v>0</v>
      </c>
      <c r="C6343" s="2">
        <v>4.2</v>
      </c>
      <c r="D6343" s="60" t="s">
        <v>158</v>
      </c>
    </row>
    <row r="6344" spans="1:10">
      <c r="A6344" s="2" t="s">
        <v>141</v>
      </c>
      <c r="B6344" s="2">
        <v>0</v>
      </c>
      <c r="C6344" s="2">
        <v>7.9</v>
      </c>
      <c r="D6344" s="60" t="s">
        <v>155</v>
      </c>
    </row>
    <row r="6345" spans="1:10">
      <c r="A6345" s="2" t="s">
        <v>141</v>
      </c>
      <c r="B6345" s="2">
        <v>3.4</v>
      </c>
      <c r="C6345" s="2">
        <v>3.8</v>
      </c>
      <c r="D6345" s="60" t="s">
        <v>151</v>
      </c>
    </row>
    <row r="6346" spans="1:10">
      <c r="A6346" s="2" t="s">
        <v>141</v>
      </c>
      <c r="B6346" s="2">
        <v>3.8</v>
      </c>
      <c r="C6346" s="2">
        <v>6.2</v>
      </c>
      <c r="D6346" s="60" t="s">
        <v>144</v>
      </c>
    </row>
    <row r="6347" spans="1:10">
      <c r="A6347" s="2" t="s">
        <v>141</v>
      </c>
      <c r="B6347" s="2">
        <v>4.2</v>
      </c>
      <c r="C6347" s="2">
        <v>4.4000000000000004</v>
      </c>
      <c r="D6347" s="60" t="s">
        <v>176</v>
      </c>
    </row>
    <row r="6348" spans="1:10">
      <c r="A6348" s="2" t="s">
        <v>141</v>
      </c>
      <c r="B6348" s="2">
        <v>6.2</v>
      </c>
      <c r="C6348" s="2">
        <v>7.9</v>
      </c>
      <c r="D6348" s="60" t="s">
        <v>151</v>
      </c>
    </row>
    <row r="6349" spans="1:10">
      <c r="A6349" s="2" t="s">
        <v>141</v>
      </c>
      <c r="B6349" s="2">
        <v>7.9</v>
      </c>
      <c r="C6349" s="2">
        <v>8.4</v>
      </c>
      <c r="D6349" s="60" t="s">
        <v>147</v>
      </c>
    </row>
    <row r="6350" spans="1:10">
      <c r="A6350" s="2" t="s">
        <v>141</v>
      </c>
      <c r="B6350" s="2">
        <v>7.9</v>
      </c>
      <c r="C6350" s="2">
        <v>10.4</v>
      </c>
      <c r="D6350" s="60" t="s">
        <v>152</v>
      </c>
    </row>
    <row r="6351" spans="1:10">
      <c r="A6351" s="2" t="s">
        <v>141</v>
      </c>
      <c r="B6351" s="2">
        <v>8.4</v>
      </c>
      <c r="C6351" s="2">
        <v>21.627400000000002</v>
      </c>
      <c r="D6351" s="60" t="s">
        <v>144</v>
      </c>
    </row>
    <row r="6352" spans="1:10">
      <c r="A6352" s="2" t="s">
        <v>141</v>
      </c>
      <c r="B6352" s="2">
        <v>10.4</v>
      </c>
      <c r="C6352" s="2">
        <v>21.627400000000002</v>
      </c>
      <c r="D6352" s="60" t="s">
        <v>161</v>
      </c>
    </row>
    <row r="6353" spans="1:10">
      <c r="A6353" s="2" t="s">
        <v>148</v>
      </c>
      <c r="B6353" s="2" t="s">
        <v>99</v>
      </c>
      <c r="C6353" s="2">
        <v>7.5057100000000002E-2</v>
      </c>
      <c r="D6353" s="60">
        <v>0</v>
      </c>
      <c r="E6353" s="2">
        <v>0</v>
      </c>
      <c r="F6353" s="2">
        <v>0.3</v>
      </c>
      <c r="G6353" s="2">
        <v>55.183700000000002</v>
      </c>
      <c r="H6353" s="2">
        <v>57.788899999999998</v>
      </c>
      <c r="I6353" s="2">
        <v>0</v>
      </c>
      <c r="J6353" s="2">
        <v>0</v>
      </c>
    </row>
    <row r="6354" spans="1:10">
      <c r="A6354" s="2" t="s">
        <v>148</v>
      </c>
      <c r="B6354" s="2" t="s">
        <v>100</v>
      </c>
      <c r="C6354" s="2">
        <v>1.30248E-2</v>
      </c>
      <c r="D6354" s="60">
        <v>0</v>
      </c>
      <c r="E6354" s="2">
        <v>24.639199999999999</v>
      </c>
      <c r="F6354" s="2">
        <v>3.7441300000000002</v>
      </c>
      <c r="G6354" s="2">
        <v>0</v>
      </c>
      <c r="H6354" s="2">
        <v>10</v>
      </c>
      <c r="I6354" s="2">
        <v>0</v>
      </c>
      <c r="J6354" s="2">
        <v>0</v>
      </c>
    </row>
    <row r="6355" spans="1:10">
      <c r="A6355" s="2" t="s">
        <v>148</v>
      </c>
      <c r="B6355" s="2" t="s">
        <v>98</v>
      </c>
      <c r="C6355" s="2">
        <v>3.7390699999999999E-2</v>
      </c>
      <c r="D6355" s="60">
        <v>0</v>
      </c>
      <c r="E6355" s="2">
        <v>21.775099999999998</v>
      </c>
      <c r="F6355" s="2">
        <v>2.8640699999999999</v>
      </c>
      <c r="G6355" s="2">
        <v>10</v>
      </c>
      <c r="H6355" s="2">
        <v>15.6408</v>
      </c>
      <c r="I6355" s="2">
        <v>0</v>
      </c>
      <c r="J6355" s="2">
        <v>0</v>
      </c>
    </row>
    <row r="6356" spans="1:10">
      <c r="A6356" s="2" t="s">
        <v>148</v>
      </c>
      <c r="B6356" s="2" t="s">
        <v>101</v>
      </c>
      <c r="C6356" s="2">
        <v>0.67402600000000001</v>
      </c>
      <c r="D6356" s="60">
        <v>0</v>
      </c>
      <c r="E6356" s="2">
        <v>10.4</v>
      </c>
      <c r="F6356" s="2">
        <v>11.3751</v>
      </c>
      <c r="G6356" s="2">
        <v>15.6408</v>
      </c>
      <c r="H6356" s="2">
        <v>36.701000000000001</v>
      </c>
      <c r="I6356" s="2">
        <v>0</v>
      </c>
      <c r="J6356" s="2">
        <v>0</v>
      </c>
    </row>
    <row r="6357" spans="1:10">
      <c r="A6357" s="2" t="s">
        <v>148</v>
      </c>
      <c r="B6357" s="2" t="s">
        <v>64</v>
      </c>
      <c r="C6357" s="2">
        <v>0.50173400000000001</v>
      </c>
      <c r="D6357" s="60">
        <v>15.052</v>
      </c>
      <c r="E6357" s="2">
        <v>6.3</v>
      </c>
      <c r="F6357" s="2">
        <v>4.0999999999999996</v>
      </c>
      <c r="G6357" s="2">
        <v>36.701000000000001</v>
      </c>
      <c r="H6357" s="2">
        <v>41.984999999999999</v>
      </c>
      <c r="I6357" s="2">
        <v>0</v>
      </c>
      <c r="J6357" s="2">
        <v>0</v>
      </c>
    </row>
    <row r="6358" spans="1:10">
      <c r="A6358" s="2" t="s">
        <v>148</v>
      </c>
      <c r="B6358" s="2" t="s">
        <v>62</v>
      </c>
      <c r="C6358" s="2">
        <v>1.0165599999999999</v>
      </c>
      <c r="D6358" s="60">
        <v>81.325000000000003</v>
      </c>
      <c r="E6358" s="2">
        <v>0.3</v>
      </c>
      <c r="F6358" s="2">
        <v>6</v>
      </c>
      <c r="G6358" s="2">
        <v>41.984999999999999</v>
      </c>
      <c r="H6358" s="2">
        <v>55.183700000000002</v>
      </c>
      <c r="I6358" s="2">
        <v>0</v>
      </c>
      <c r="J6358" s="2">
        <v>0</v>
      </c>
    </row>
    <row r="6359" spans="1:10">
      <c r="A6359" s="2" t="s">
        <v>138</v>
      </c>
      <c r="B6359" s="2">
        <v>10</v>
      </c>
      <c r="C6359" s="2">
        <v>19.3949</v>
      </c>
      <c r="D6359" s="60" t="s">
        <v>149</v>
      </c>
    </row>
    <row r="6360" spans="1:10">
      <c r="A6360" s="2" t="s">
        <v>140</v>
      </c>
      <c r="B6360" s="2">
        <v>0</v>
      </c>
      <c r="C6360" s="2">
        <v>50.8613</v>
      </c>
      <c r="D6360" s="60">
        <v>27.625</v>
      </c>
    </row>
    <row r="6361" spans="1:10">
      <c r="A6361" s="2" t="s">
        <v>141</v>
      </c>
      <c r="B6361" s="2">
        <v>0</v>
      </c>
      <c r="C6361" s="2">
        <v>6.4</v>
      </c>
      <c r="D6361" s="60" t="s">
        <v>142</v>
      </c>
    </row>
    <row r="6362" spans="1:10">
      <c r="A6362" s="2" t="s">
        <v>141</v>
      </c>
      <c r="B6362" s="2">
        <v>0</v>
      </c>
      <c r="C6362" s="2">
        <v>10.7</v>
      </c>
      <c r="D6362" s="60" t="s">
        <v>146</v>
      </c>
    </row>
    <row r="6363" spans="1:10">
      <c r="A6363" s="2" t="s">
        <v>141</v>
      </c>
      <c r="B6363" s="2">
        <v>6.4</v>
      </c>
      <c r="C6363" s="2">
        <v>10.7</v>
      </c>
      <c r="D6363" s="60" t="s">
        <v>145</v>
      </c>
    </row>
    <row r="6364" spans="1:10">
      <c r="A6364" s="2" t="s">
        <v>141</v>
      </c>
      <c r="B6364" s="2">
        <v>10.7</v>
      </c>
      <c r="C6364" s="2">
        <v>11.7</v>
      </c>
      <c r="D6364" s="60" t="s">
        <v>151</v>
      </c>
    </row>
    <row r="6365" spans="1:10">
      <c r="A6365" s="2" t="s">
        <v>141</v>
      </c>
      <c r="B6365" s="2">
        <v>10.7</v>
      </c>
      <c r="C6365" s="2">
        <v>11.7</v>
      </c>
      <c r="D6365" s="60" t="s">
        <v>161</v>
      </c>
    </row>
    <row r="6366" spans="1:10">
      <c r="A6366" s="2" t="s">
        <v>141</v>
      </c>
      <c r="B6366" s="2">
        <v>11.7</v>
      </c>
      <c r="C6366" s="2">
        <v>13.7</v>
      </c>
      <c r="D6366" s="60" t="s">
        <v>145</v>
      </c>
    </row>
    <row r="6367" spans="1:10">
      <c r="A6367" s="2" t="s">
        <v>141</v>
      </c>
      <c r="B6367" s="2">
        <v>11.7</v>
      </c>
      <c r="C6367" s="2">
        <v>21.086200000000002</v>
      </c>
      <c r="D6367" s="60" t="s">
        <v>155</v>
      </c>
    </row>
    <row r="6368" spans="1:10">
      <c r="A6368" s="2" t="s">
        <v>141</v>
      </c>
      <c r="B6368" s="2">
        <v>13.7</v>
      </c>
      <c r="C6368" s="2">
        <v>21.086200000000002</v>
      </c>
      <c r="D6368" s="60" t="s">
        <v>144</v>
      </c>
    </row>
    <row r="6369" spans="1:10">
      <c r="A6369" s="2" t="s">
        <v>148</v>
      </c>
      <c r="B6369" s="2" t="s">
        <v>99</v>
      </c>
      <c r="C6369" s="2">
        <v>6.2170799999999998E-2</v>
      </c>
      <c r="D6369" s="60">
        <v>0</v>
      </c>
      <c r="E6369" s="2">
        <v>0</v>
      </c>
      <c r="F6369" s="2">
        <v>0.3</v>
      </c>
      <c r="G6369" s="2">
        <v>50.196399999999997</v>
      </c>
      <c r="H6369" s="2">
        <v>52.626399999999997</v>
      </c>
      <c r="I6369" s="2">
        <v>0</v>
      </c>
      <c r="J6369" s="2">
        <v>0</v>
      </c>
    </row>
    <row r="6370" spans="1:10">
      <c r="A6370" s="2" t="s">
        <v>148</v>
      </c>
      <c r="B6370" s="2" t="s">
        <v>100</v>
      </c>
      <c r="C6370" s="2">
        <v>1.4089900000000001E-2</v>
      </c>
      <c r="D6370" s="60">
        <v>0</v>
      </c>
      <c r="E6370" s="2">
        <v>23.482199999999999</v>
      </c>
      <c r="F6370" s="2">
        <v>4.14283</v>
      </c>
      <c r="G6370" s="2">
        <v>0</v>
      </c>
      <c r="H6370" s="2">
        <v>10</v>
      </c>
      <c r="I6370" s="2">
        <v>0</v>
      </c>
      <c r="J6370" s="2">
        <v>0</v>
      </c>
    </row>
    <row r="6371" spans="1:10">
      <c r="A6371" s="2" t="s">
        <v>148</v>
      </c>
      <c r="B6371" s="2" t="s">
        <v>98</v>
      </c>
      <c r="C6371" s="2">
        <v>0.32427600000000001</v>
      </c>
      <c r="D6371" s="60">
        <v>0</v>
      </c>
      <c r="E6371" s="2">
        <v>13.3635</v>
      </c>
      <c r="F6371" s="2">
        <v>10.1187</v>
      </c>
      <c r="G6371" s="2">
        <v>10</v>
      </c>
      <c r="H6371" s="2">
        <v>28.586400000000001</v>
      </c>
      <c r="I6371" s="2">
        <v>0</v>
      </c>
      <c r="J6371" s="2">
        <v>0</v>
      </c>
    </row>
    <row r="6372" spans="1:10">
      <c r="A6372" s="2" t="s">
        <v>148</v>
      </c>
      <c r="B6372" s="2" t="s">
        <v>101</v>
      </c>
      <c r="C6372" s="2">
        <v>0.22227</v>
      </c>
      <c r="D6372" s="60">
        <v>0</v>
      </c>
      <c r="E6372" s="2">
        <v>10.4</v>
      </c>
      <c r="F6372" s="2">
        <v>2.9634900000000002</v>
      </c>
      <c r="G6372" s="2">
        <v>28.586400000000001</v>
      </c>
      <c r="H6372" s="2">
        <v>33.042499999999997</v>
      </c>
      <c r="I6372" s="2">
        <v>0</v>
      </c>
      <c r="J6372" s="2">
        <v>0</v>
      </c>
    </row>
    <row r="6373" spans="1:10">
      <c r="A6373" s="2" t="s">
        <v>148</v>
      </c>
      <c r="B6373" s="2" t="s">
        <v>59</v>
      </c>
      <c r="C6373" s="2">
        <v>0.39850799999999997</v>
      </c>
      <c r="D6373" s="60">
        <v>39.8508</v>
      </c>
      <c r="E6373" s="2">
        <v>6.4</v>
      </c>
      <c r="F6373" s="2">
        <v>4</v>
      </c>
      <c r="G6373" s="2">
        <v>33.042499999999997</v>
      </c>
      <c r="H6373" s="2">
        <v>37.941600000000001</v>
      </c>
      <c r="I6373" s="2">
        <v>0</v>
      </c>
      <c r="J6373" s="2">
        <v>0</v>
      </c>
    </row>
    <row r="6374" spans="1:10">
      <c r="A6374" s="2" t="s">
        <v>148</v>
      </c>
      <c r="B6374" s="2" t="s">
        <v>56</v>
      </c>
      <c r="C6374" s="2">
        <v>0.84950899999999996</v>
      </c>
      <c r="D6374" s="60">
        <v>118.931</v>
      </c>
      <c r="E6374" s="2">
        <v>0.3</v>
      </c>
      <c r="F6374" s="2">
        <v>6.1</v>
      </c>
      <c r="G6374" s="2">
        <v>37.941600000000001</v>
      </c>
      <c r="H6374" s="2">
        <v>50.196399999999997</v>
      </c>
      <c r="I6374" s="2">
        <v>0</v>
      </c>
      <c r="J6374" s="2">
        <v>0</v>
      </c>
    </row>
    <row r="6375" spans="1:10">
      <c r="A6375" s="2" t="s">
        <v>138</v>
      </c>
      <c r="B6375" s="2">
        <v>11</v>
      </c>
      <c r="C6375" s="2">
        <v>19.462299999999999</v>
      </c>
      <c r="D6375" s="60" t="s">
        <v>149</v>
      </c>
    </row>
    <row r="6376" spans="1:10">
      <c r="A6376" s="2" t="s">
        <v>140</v>
      </c>
      <c r="B6376" s="2">
        <v>0</v>
      </c>
      <c r="C6376" s="2">
        <v>52.6875</v>
      </c>
      <c r="D6376" s="60">
        <v>27.881599999999999</v>
      </c>
    </row>
    <row r="6377" spans="1:10">
      <c r="A6377" s="2" t="s">
        <v>141</v>
      </c>
      <c r="B6377" s="2">
        <v>0</v>
      </c>
      <c r="C6377" s="2">
        <v>5.9</v>
      </c>
      <c r="D6377" s="60" t="s">
        <v>142</v>
      </c>
    </row>
    <row r="6378" spans="1:10">
      <c r="A6378" s="2" t="s">
        <v>141</v>
      </c>
      <c r="B6378" s="2">
        <v>0</v>
      </c>
      <c r="C6378" s="2">
        <v>5.9</v>
      </c>
      <c r="D6378" s="60" t="s">
        <v>158</v>
      </c>
    </row>
    <row r="6379" spans="1:10">
      <c r="A6379" s="2" t="s">
        <v>141</v>
      </c>
      <c r="B6379" s="2">
        <v>0</v>
      </c>
      <c r="C6379" s="2">
        <v>21.269300000000001</v>
      </c>
      <c r="D6379" s="60" t="s">
        <v>155</v>
      </c>
    </row>
    <row r="6380" spans="1:10">
      <c r="A6380" s="2" t="s">
        <v>141</v>
      </c>
      <c r="B6380" s="2">
        <v>5.9</v>
      </c>
      <c r="C6380" s="2">
        <v>6.2</v>
      </c>
      <c r="D6380" s="60" t="s">
        <v>231</v>
      </c>
    </row>
    <row r="6381" spans="1:10">
      <c r="A6381" s="2" t="s">
        <v>141</v>
      </c>
      <c r="B6381" s="2">
        <v>5.9</v>
      </c>
      <c r="C6381" s="2">
        <v>10.5</v>
      </c>
      <c r="D6381" s="60" t="s">
        <v>145</v>
      </c>
    </row>
    <row r="6382" spans="1:10">
      <c r="A6382" s="2" t="s">
        <v>141</v>
      </c>
      <c r="B6382" s="2">
        <v>10.5</v>
      </c>
      <c r="C6382" s="2">
        <v>21.269300000000001</v>
      </c>
      <c r="D6382" s="60" t="s">
        <v>144</v>
      </c>
    </row>
    <row r="6383" spans="1:10">
      <c r="A6383" s="2" t="s">
        <v>148</v>
      </c>
      <c r="B6383" s="2" t="s">
        <v>99</v>
      </c>
      <c r="C6383" s="2">
        <v>6.6263000000000002E-2</v>
      </c>
      <c r="D6383" s="60">
        <v>0</v>
      </c>
      <c r="E6383" s="2">
        <v>0</v>
      </c>
      <c r="F6383" s="2">
        <v>0.3</v>
      </c>
      <c r="G6383" s="2">
        <v>51.831699999999998</v>
      </c>
      <c r="H6383" s="2">
        <v>54.319499999999998</v>
      </c>
      <c r="I6383" s="2">
        <v>0</v>
      </c>
      <c r="J6383" s="2">
        <v>0</v>
      </c>
    </row>
    <row r="6384" spans="1:10">
      <c r="A6384" s="2" t="s">
        <v>148</v>
      </c>
      <c r="B6384" s="2" t="s">
        <v>100</v>
      </c>
      <c r="C6384" s="2">
        <v>1.37319E-2</v>
      </c>
      <c r="D6384" s="60">
        <v>0</v>
      </c>
      <c r="E6384" s="2">
        <v>23.8752</v>
      </c>
      <c r="F6384" s="2">
        <v>4.0063700000000004</v>
      </c>
      <c r="G6384" s="2">
        <v>0</v>
      </c>
      <c r="H6384" s="2">
        <v>10</v>
      </c>
      <c r="I6384" s="2">
        <v>0</v>
      </c>
      <c r="J6384" s="2">
        <v>0</v>
      </c>
    </row>
    <row r="6385" spans="1:10">
      <c r="A6385" s="2" t="s">
        <v>148</v>
      </c>
      <c r="B6385" s="2" t="s">
        <v>98</v>
      </c>
      <c r="C6385" s="2">
        <v>0.24785499999999999</v>
      </c>
      <c r="D6385" s="60">
        <v>0</v>
      </c>
      <c r="E6385" s="2">
        <v>15.1347</v>
      </c>
      <c r="F6385" s="2">
        <v>8.7405100000000004</v>
      </c>
      <c r="G6385" s="2">
        <v>10</v>
      </c>
      <c r="H6385" s="2">
        <v>26.6648</v>
      </c>
      <c r="I6385" s="2">
        <v>0</v>
      </c>
      <c r="J6385" s="2">
        <v>0</v>
      </c>
    </row>
    <row r="6386" spans="1:10">
      <c r="A6386" s="2" t="s">
        <v>148</v>
      </c>
      <c r="B6386" s="2" t="s">
        <v>101</v>
      </c>
      <c r="C6386" s="2">
        <v>4.9233800000000001E-2</v>
      </c>
      <c r="D6386" s="60">
        <v>0</v>
      </c>
      <c r="E6386" s="2">
        <v>14.3</v>
      </c>
      <c r="F6386" s="2">
        <v>0.83468699999999996</v>
      </c>
      <c r="G6386" s="2">
        <v>26.6648</v>
      </c>
      <c r="H6386" s="2">
        <v>28.129799999999999</v>
      </c>
      <c r="I6386" s="2">
        <v>0</v>
      </c>
      <c r="J6386" s="2">
        <v>0</v>
      </c>
    </row>
    <row r="6387" spans="1:10">
      <c r="A6387" s="2" t="s">
        <v>148</v>
      </c>
      <c r="B6387" s="2" t="s">
        <v>62</v>
      </c>
      <c r="C6387" s="2">
        <v>0.31012099999999998</v>
      </c>
      <c r="D6387" s="60">
        <v>24.809699999999999</v>
      </c>
      <c r="E6387" s="2">
        <v>10.3</v>
      </c>
      <c r="F6387" s="2">
        <v>4</v>
      </c>
      <c r="G6387" s="2">
        <v>28.129799999999999</v>
      </c>
      <c r="H6387" s="2">
        <v>34.381100000000004</v>
      </c>
      <c r="I6387" s="2">
        <v>0</v>
      </c>
      <c r="J6387" s="2">
        <v>0</v>
      </c>
    </row>
    <row r="6388" spans="1:10">
      <c r="A6388" s="2" t="s">
        <v>148</v>
      </c>
      <c r="B6388" s="2" t="s">
        <v>62</v>
      </c>
      <c r="C6388" s="2">
        <v>0.42969299999999999</v>
      </c>
      <c r="D6388" s="60">
        <v>34.375399999999999</v>
      </c>
      <c r="E6388" s="2">
        <v>6.3</v>
      </c>
      <c r="F6388" s="2">
        <v>4</v>
      </c>
      <c r="G6388" s="2">
        <v>34.381100000000004</v>
      </c>
      <c r="H6388" s="2">
        <v>39.340499999999999</v>
      </c>
      <c r="I6388" s="2">
        <v>0</v>
      </c>
      <c r="J6388" s="2">
        <v>0</v>
      </c>
    </row>
    <row r="6389" spans="1:10">
      <c r="A6389" s="2" t="s">
        <v>148</v>
      </c>
      <c r="B6389" s="2" t="s">
        <v>62</v>
      </c>
      <c r="C6389" s="2">
        <v>0.89475000000000005</v>
      </c>
      <c r="D6389" s="60">
        <v>71.58</v>
      </c>
      <c r="E6389" s="2">
        <v>0.3</v>
      </c>
      <c r="F6389" s="2">
        <v>6</v>
      </c>
      <c r="G6389" s="2">
        <v>39.340499999999999</v>
      </c>
      <c r="H6389" s="2">
        <v>51.831699999999998</v>
      </c>
      <c r="I6389" s="2">
        <v>0</v>
      </c>
      <c r="J6389" s="2">
        <v>0</v>
      </c>
    </row>
    <row r="6390" spans="1:10">
      <c r="A6390" s="2" t="s">
        <v>138</v>
      </c>
      <c r="B6390" s="2">
        <v>12</v>
      </c>
      <c r="C6390" s="2">
        <v>19.7745</v>
      </c>
      <c r="D6390" s="60" t="s">
        <v>149</v>
      </c>
    </row>
    <row r="6391" spans="1:10">
      <c r="A6391" s="2" t="s">
        <v>140</v>
      </c>
      <c r="B6391" s="2">
        <v>0</v>
      </c>
      <c r="C6391" s="2">
        <v>67.909400000000005</v>
      </c>
      <c r="D6391" s="60">
        <v>29.712900000000001</v>
      </c>
    </row>
    <row r="6392" spans="1:10">
      <c r="A6392" s="2" t="s">
        <v>141</v>
      </c>
      <c r="B6392" s="2">
        <v>0</v>
      </c>
      <c r="C6392" s="2">
        <v>1.4</v>
      </c>
      <c r="D6392" s="60" t="s">
        <v>145</v>
      </c>
    </row>
    <row r="6393" spans="1:10">
      <c r="A6393" s="2" t="s">
        <v>141</v>
      </c>
      <c r="B6393" s="2">
        <v>0</v>
      </c>
      <c r="C6393" s="2">
        <v>1.8</v>
      </c>
      <c r="D6393" s="60" t="s">
        <v>158</v>
      </c>
    </row>
    <row r="6394" spans="1:10">
      <c r="A6394" s="2" t="s">
        <v>141</v>
      </c>
      <c r="B6394" s="2">
        <v>0</v>
      </c>
      <c r="C6394" s="2">
        <v>11</v>
      </c>
      <c r="D6394" s="60" t="s">
        <v>155</v>
      </c>
    </row>
    <row r="6395" spans="1:10">
      <c r="A6395" s="2" t="s">
        <v>141</v>
      </c>
      <c r="B6395" s="2">
        <v>1.4</v>
      </c>
      <c r="C6395" s="2">
        <v>1.8</v>
      </c>
      <c r="D6395" s="60" t="s">
        <v>151</v>
      </c>
    </row>
    <row r="6396" spans="1:10">
      <c r="A6396" s="2" t="s">
        <v>141</v>
      </c>
      <c r="B6396" s="2">
        <v>1.8</v>
      </c>
      <c r="C6396" s="2">
        <v>2.1</v>
      </c>
      <c r="D6396" s="60" t="s">
        <v>160</v>
      </c>
    </row>
    <row r="6397" spans="1:10">
      <c r="A6397" s="2" t="s">
        <v>141</v>
      </c>
      <c r="B6397" s="2">
        <v>1.8</v>
      </c>
      <c r="C6397" s="2">
        <v>4.2</v>
      </c>
      <c r="D6397" s="60" t="s">
        <v>145</v>
      </c>
    </row>
    <row r="6398" spans="1:10">
      <c r="A6398" s="2" t="s">
        <v>141</v>
      </c>
      <c r="B6398" s="2">
        <v>2.1</v>
      </c>
      <c r="C6398" s="2">
        <v>4.2</v>
      </c>
      <c r="D6398" s="60" t="s">
        <v>158</v>
      </c>
    </row>
    <row r="6399" spans="1:10">
      <c r="A6399" s="2" t="s">
        <v>141</v>
      </c>
      <c r="B6399" s="2">
        <v>4.2</v>
      </c>
      <c r="C6399" s="2">
        <v>4.5999999999999996</v>
      </c>
      <c r="D6399" s="60" t="s">
        <v>151</v>
      </c>
    </row>
    <row r="6400" spans="1:10">
      <c r="A6400" s="2" t="s">
        <v>141</v>
      </c>
      <c r="B6400" s="2">
        <v>4.2</v>
      </c>
      <c r="C6400" s="2">
        <v>4.5999999999999996</v>
      </c>
      <c r="D6400" s="60" t="s">
        <v>178</v>
      </c>
    </row>
    <row r="6401" spans="1:10">
      <c r="A6401" s="2" t="s">
        <v>141</v>
      </c>
      <c r="B6401" s="2">
        <v>4.5999999999999996</v>
      </c>
      <c r="C6401" s="2">
        <v>6.3</v>
      </c>
      <c r="D6401" s="60" t="s">
        <v>145</v>
      </c>
    </row>
    <row r="6402" spans="1:10">
      <c r="A6402" s="2" t="s">
        <v>141</v>
      </c>
      <c r="B6402" s="2">
        <v>4.5999999999999996</v>
      </c>
      <c r="C6402" s="2">
        <v>6.3</v>
      </c>
      <c r="D6402" s="60" t="s">
        <v>158</v>
      </c>
    </row>
    <row r="6403" spans="1:10">
      <c r="A6403" s="2" t="s">
        <v>141</v>
      </c>
      <c r="B6403" s="2">
        <v>6.3</v>
      </c>
      <c r="C6403" s="2">
        <v>6.8</v>
      </c>
      <c r="D6403" s="60" t="s">
        <v>151</v>
      </c>
    </row>
    <row r="6404" spans="1:10">
      <c r="A6404" s="2" t="s">
        <v>141</v>
      </c>
      <c r="B6404" s="2">
        <v>6.3</v>
      </c>
      <c r="C6404" s="2">
        <v>6.8</v>
      </c>
      <c r="D6404" s="60" t="s">
        <v>178</v>
      </c>
    </row>
    <row r="6405" spans="1:10">
      <c r="A6405" s="2" t="s">
        <v>141</v>
      </c>
      <c r="B6405" s="2">
        <v>6.8</v>
      </c>
      <c r="C6405" s="2">
        <v>11.3</v>
      </c>
      <c r="D6405" s="60" t="s">
        <v>147</v>
      </c>
    </row>
    <row r="6406" spans="1:10">
      <c r="A6406" s="2" t="s">
        <v>141</v>
      </c>
      <c r="B6406" s="2">
        <v>11</v>
      </c>
      <c r="C6406" s="2">
        <v>11.3</v>
      </c>
      <c r="D6406" s="60" t="s">
        <v>159</v>
      </c>
    </row>
    <row r="6407" spans="1:10">
      <c r="A6407" s="2" t="s">
        <v>141</v>
      </c>
      <c r="B6407" s="2">
        <v>11.3</v>
      </c>
      <c r="C6407" s="2">
        <v>22.5763</v>
      </c>
      <c r="D6407" s="60" t="s">
        <v>144</v>
      </c>
    </row>
    <row r="6408" spans="1:10">
      <c r="A6408" s="2" t="s">
        <v>141</v>
      </c>
      <c r="B6408" s="2">
        <v>11.3</v>
      </c>
      <c r="C6408" s="2">
        <v>22.5763</v>
      </c>
      <c r="D6408" s="60" t="s">
        <v>155</v>
      </c>
    </row>
    <row r="6409" spans="1:10">
      <c r="A6409" s="2" t="s">
        <v>148</v>
      </c>
      <c r="B6409" s="2" t="s">
        <v>99</v>
      </c>
      <c r="C6409" s="2">
        <v>0.104808</v>
      </c>
      <c r="D6409" s="60">
        <v>0</v>
      </c>
      <c r="E6409" s="2">
        <v>0</v>
      </c>
      <c r="F6409" s="2">
        <v>0.3</v>
      </c>
      <c r="G6409" s="2">
        <v>65.267899999999997</v>
      </c>
      <c r="H6409" s="2">
        <v>68.220600000000005</v>
      </c>
      <c r="I6409" s="2">
        <v>0</v>
      </c>
      <c r="J6409" s="2">
        <v>0</v>
      </c>
    </row>
    <row r="6410" spans="1:10">
      <c r="A6410" s="2" t="s">
        <v>148</v>
      </c>
      <c r="B6410" s="2" t="s">
        <v>100</v>
      </c>
      <c r="C6410" s="2">
        <v>1.1089099999999999E-2</v>
      </c>
      <c r="D6410" s="60">
        <v>0</v>
      </c>
      <c r="E6410" s="2">
        <v>26.639199999999999</v>
      </c>
      <c r="F6410" s="2">
        <v>3.07368</v>
      </c>
      <c r="G6410" s="2">
        <v>0</v>
      </c>
      <c r="H6410" s="2">
        <v>10.0002</v>
      </c>
      <c r="I6410" s="2">
        <v>0</v>
      </c>
      <c r="J6410" s="2">
        <v>0</v>
      </c>
    </row>
    <row r="6411" spans="1:10">
      <c r="A6411" s="2" t="s">
        <v>148</v>
      </c>
      <c r="B6411" s="2" t="s">
        <v>98</v>
      </c>
      <c r="C6411" s="2">
        <v>0.13462199999999999</v>
      </c>
      <c r="D6411" s="60">
        <v>0</v>
      </c>
      <c r="E6411" s="2">
        <v>20.6968</v>
      </c>
      <c r="F6411" s="2">
        <v>5.9424099999999997</v>
      </c>
      <c r="G6411" s="2">
        <v>10.0002</v>
      </c>
      <c r="H6411" s="2">
        <v>23.3</v>
      </c>
      <c r="I6411" s="2">
        <v>0</v>
      </c>
      <c r="J6411" s="2">
        <v>0</v>
      </c>
    </row>
    <row r="6412" spans="1:10">
      <c r="A6412" s="2" t="s">
        <v>148</v>
      </c>
      <c r="B6412" s="2" t="s">
        <v>101</v>
      </c>
      <c r="C6412" s="2">
        <v>6.81504E-2</v>
      </c>
      <c r="D6412" s="60">
        <v>0</v>
      </c>
      <c r="E6412" s="2">
        <v>19.3</v>
      </c>
      <c r="F6412" s="2">
        <v>1.3967799999999999</v>
      </c>
      <c r="G6412" s="2">
        <v>23.3</v>
      </c>
      <c r="H6412" s="2">
        <v>26.5075</v>
      </c>
      <c r="I6412" s="2">
        <v>0</v>
      </c>
      <c r="J6412" s="2">
        <v>0</v>
      </c>
    </row>
    <row r="6413" spans="1:10">
      <c r="A6413" s="2" t="s">
        <v>148</v>
      </c>
      <c r="B6413" s="2" t="s">
        <v>62</v>
      </c>
      <c r="C6413" s="2">
        <v>0.30266999999999999</v>
      </c>
      <c r="D6413" s="60">
        <v>24.2136</v>
      </c>
      <c r="E6413" s="2">
        <v>15.3</v>
      </c>
      <c r="F6413" s="2">
        <v>4</v>
      </c>
      <c r="G6413" s="2">
        <v>26.5075</v>
      </c>
      <c r="H6413" s="2">
        <v>35.204999999999998</v>
      </c>
      <c r="I6413" s="2">
        <v>0</v>
      </c>
      <c r="J6413" s="2">
        <v>0</v>
      </c>
    </row>
    <row r="6414" spans="1:10">
      <c r="A6414" s="2" t="s">
        <v>148</v>
      </c>
      <c r="B6414" s="2" t="s">
        <v>62</v>
      </c>
      <c r="C6414" s="2">
        <v>0.48043799999999998</v>
      </c>
      <c r="D6414" s="60">
        <v>38.435099999999998</v>
      </c>
      <c r="E6414" s="2">
        <v>11.3</v>
      </c>
      <c r="F6414" s="2">
        <v>4</v>
      </c>
      <c r="G6414" s="2">
        <v>35.204999999999998</v>
      </c>
      <c r="H6414" s="2">
        <v>42.643599999999999</v>
      </c>
      <c r="I6414" s="2">
        <v>0</v>
      </c>
      <c r="J6414" s="2">
        <v>0</v>
      </c>
    </row>
    <row r="6415" spans="1:10">
      <c r="A6415" s="2" t="s">
        <v>148</v>
      </c>
      <c r="B6415" s="2" t="s">
        <v>101</v>
      </c>
      <c r="C6415" s="2">
        <v>0.14838999999999999</v>
      </c>
      <c r="D6415" s="60">
        <v>0</v>
      </c>
      <c r="E6415" s="2">
        <v>10.3</v>
      </c>
      <c r="F6415" s="2">
        <v>1</v>
      </c>
      <c r="G6415" s="2">
        <v>42.643599999999999</v>
      </c>
      <c r="H6415" s="2">
        <v>44.269199999999998</v>
      </c>
      <c r="I6415" s="2">
        <v>0</v>
      </c>
      <c r="J6415" s="2">
        <v>0</v>
      </c>
    </row>
    <row r="6416" spans="1:10">
      <c r="A6416" s="2" t="s">
        <v>148</v>
      </c>
      <c r="B6416" s="2" t="s">
        <v>62</v>
      </c>
      <c r="C6416" s="2">
        <v>0.70088300000000003</v>
      </c>
      <c r="D6416" s="60">
        <v>56.070700000000002</v>
      </c>
      <c r="E6416" s="2">
        <v>6.3</v>
      </c>
      <c r="F6416" s="2">
        <v>4</v>
      </c>
      <c r="G6416" s="2">
        <v>44.269199999999998</v>
      </c>
      <c r="H6416" s="2">
        <v>49.9482</v>
      </c>
      <c r="I6416" s="2">
        <v>0</v>
      </c>
      <c r="J6416" s="2">
        <v>0</v>
      </c>
    </row>
    <row r="6417" spans="1:10">
      <c r="A6417" s="2" t="s">
        <v>148</v>
      </c>
      <c r="B6417" s="2" t="s">
        <v>62</v>
      </c>
      <c r="C6417" s="2">
        <v>1.4303699999999999</v>
      </c>
      <c r="D6417" s="60">
        <v>114.43</v>
      </c>
      <c r="E6417" s="2">
        <v>0.3</v>
      </c>
      <c r="F6417" s="2">
        <v>6</v>
      </c>
      <c r="G6417" s="2">
        <v>49.9482</v>
      </c>
      <c r="H6417" s="2">
        <v>65.267899999999997</v>
      </c>
      <c r="I6417" s="2">
        <v>0</v>
      </c>
      <c r="J6417" s="2">
        <v>0</v>
      </c>
    </row>
    <row r="6418" spans="1:10">
      <c r="A6418" s="2" t="s">
        <v>138</v>
      </c>
      <c r="B6418" s="2">
        <v>13</v>
      </c>
      <c r="C6418" s="2">
        <v>19.0503</v>
      </c>
      <c r="D6418" s="60" t="s">
        <v>149</v>
      </c>
    </row>
    <row r="6419" spans="1:10">
      <c r="A6419" s="2" t="s">
        <v>140</v>
      </c>
      <c r="B6419" s="2">
        <v>0</v>
      </c>
      <c r="C6419" s="2">
        <v>44.336500000000001</v>
      </c>
      <c r="D6419" s="60">
        <v>26.635400000000001</v>
      </c>
    </row>
    <row r="6420" spans="1:10">
      <c r="A6420" s="2" t="s">
        <v>141</v>
      </c>
      <c r="B6420" s="2">
        <v>0</v>
      </c>
      <c r="C6420" s="2">
        <v>5.2</v>
      </c>
      <c r="D6420" s="60" t="s">
        <v>142</v>
      </c>
    </row>
    <row r="6421" spans="1:10">
      <c r="A6421" s="2" t="s">
        <v>141</v>
      </c>
      <c r="B6421" s="2">
        <v>0</v>
      </c>
      <c r="C6421" s="2">
        <v>9.5</v>
      </c>
      <c r="D6421" s="60" t="s">
        <v>146</v>
      </c>
    </row>
    <row r="6422" spans="1:10">
      <c r="A6422" s="2" t="s">
        <v>141</v>
      </c>
      <c r="B6422" s="2">
        <v>5.2</v>
      </c>
      <c r="C6422" s="2">
        <v>9.5</v>
      </c>
      <c r="D6422" s="60" t="s">
        <v>144</v>
      </c>
    </row>
    <row r="6423" spans="1:10">
      <c r="A6423" s="2" t="s">
        <v>141</v>
      </c>
      <c r="B6423" s="2">
        <v>9.5</v>
      </c>
      <c r="C6423" s="2">
        <v>10</v>
      </c>
      <c r="D6423" s="60" t="s">
        <v>147</v>
      </c>
    </row>
    <row r="6424" spans="1:10">
      <c r="A6424" s="2" t="s">
        <v>141</v>
      </c>
      <c r="B6424" s="2">
        <v>9.5</v>
      </c>
      <c r="C6424" s="2">
        <v>10</v>
      </c>
      <c r="D6424" s="60" t="s">
        <v>159</v>
      </c>
    </row>
    <row r="6425" spans="1:10">
      <c r="A6425" s="2" t="s">
        <v>141</v>
      </c>
      <c r="B6425" s="2">
        <v>10</v>
      </c>
      <c r="C6425" s="2">
        <v>20.379899999999999</v>
      </c>
      <c r="D6425" s="60" t="s">
        <v>144</v>
      </c>
    </row>
    <row r="6426" spans="1:10">
      <c r="A6426" s="2" t="s">
        <v>141</v>
      </c>
      <c r="B6426" s="2">
        <v>10</v>
      </c>
      <c r="C6426" s="2">
        <v>20.379899999999999</v>
      </c>
      <c r="D6426" s="60" t="s">
        <v>146</v>
      </c>
    </row>
    <row r="6427" spans="1:10">
      <c r="A6427" s="2" t="s">
        <v>148</v>
      </c>
      <c r="B6427" s="2" t="s">
        <v>99</v>
      </c>
      <c r="C6427" s="2">
        <v>4.85101E-2</v>
      </c>
      <c r="D6427" s="60">
        <v>0</v>
      </c>
      <c r="E6427" s="2">
        <v>0</v>
      </c>
      <c r="F6427" s="2">
        <v>0.3</v>
      </c>
      <c r="G6427" s="2">
        <v>44.306699999999999</v>
      </c>
      <c r="H6427" s="2">
        <v>46.525300000000001</v>
      </c>
      <c r="I6427" s="2">
        <v>0</v>
      </c>
      <c r="J6427" s="2">
        <v>0</v>
      </c>
    </row>
    <row r="6428" spans="1:10">
      <c r="A6428" s="2" t="s">
        <v>148</v>
      </c>
      <c r="B6428" s="2" t="s">
        <v>100</v>
      </c>
      <c r="C6428" s="2">
        <v>1.54653E-2</v>
      </c>
      <c r="D6428" s="60">
        <v>0</v>
      </c>
      <c r="E6428" s="2">
        <v>21.946100000000001</v>
      </c>
      <c r="F6428" s="2">
        <v>4.6893099999999999</v>
      </c>
      <c r="G6428" s="2">
        <v>0</v>
      </c>
      <c r="H6428" s="2">
        <v>10</v>
      </c>
      <c r="I6428" s="2">
        <v>0</v>
      </c>
      <c r="J6428" s="2">
        <v>0</v>
      </c>
    </row>
    <row r="6429" spans="1:10">
      <c r="A6429" s="2" t="s">
        <v>148</v>
      </c>
      <c r="B6429" s="2" t="s">
        <v>98</v>
      </c>
      <c r="C6429" s="2">
        <v>2.0622600000000001E-2</v>
      </c>
      <c r="D6429" s="60">
        <v>0</v>
      </c>
      <c r="E6429" s="2">
        <v>20.022600000000001</v>
      </c>
      <c r="F6429" s="2">
        <v>1.9234599999999999</v>
      </c>
      <c r="G6429" s="2">
        <v>10</v>
      </c>
      <c r="H6429" s="2">
        <v>13.3102</v>
      </c>
      <c r="I6429" s="2">
        <v>0</v>
      </c>
      <c r="J6429" s="2">
        <v>0</v>
      </c>
    </row>
    <row r="6430" spans="1:10">
      <c r="A6430" s="2" t="s">
        <v>148</v>
      </c>
      <c r="B6430" s="2" t="s">
        <v>101</v>
      </c>
      <c r="C6430" s="2">
        <v>3.6315300000000002E-2</v>
      </c>
      <c r="D6430" s="60">
        <v>0</v>
      </c>
      <c r="E6430" s="2">
        <v>18</v>
      </c>
      <c r="F6430" s="2">
        <v>2.0225900000000001</v>
      </c>
      <c r="G6430" s="2">
        <v>13.3102</v>
      </c>
      <c r="H6430" s="2">
        <v>16.8599</v>
      </c>
      <c r="I6430" s="2">
        <v>0</v>
      </c>
      <c r="J6430" s="2">
        <v>0</v>
      </c>
    </row>
    <row r="6431" spans="1:10">
      <c r="A6431" s="2" t="s">
        <v>148</v>
      </c>
      <c r="B6431" s="2" t="s">
        <v>61</v>
      </c>
      <c r="C6431" s="2">
        <v>0.1303</v>
      </c>
      <c r="D6431" s="60">
        <v>11.0755</v>
      </c>
      <c r="E6431" s="2">
        <v>14</v>
      </c>
      <c r="F6431" s="2">
        <v>4</v>
      </c>
      <c r="G6431" s="2">
        <v>16.8599</v>
      </c>
      <c r="H6431" s="2">
        <v>23.565000000000001</v>
      </c>
      <c r="I6431" s="2">
        <v>0</v>
      </c>
      <c r="J6431" s="2">
        <v>0</v>
      </c>
    </row>
    <row r="6432" spans="1:10">
      <c r="A6432" s="2" t="s">
        <v>148</v>
      </c>
      <c r="B6432" s="2" t="s">
        <v>60</v>
      </c>
      <c r="C6432" s="2">
        <v>0.22161900000000001</v>
      </c>
      <c r="D6432" s="60">
        <v>19.945699999999999</v>
      </c>
      <c r="E6432" s="2">
        <v>10</v>
      </c>
      <c r="F6432" s="2">
        <v>4</v>
      </c>
      <c r="G6432" s="2">
        <v>23.565000000000001</v>
      </c>
      <c r="H6432" s="2">
        <v>29.246400000000001</v>
      </c>
      <c r="I6432" s="2">
        <v>0</v>
      </c>
      <c r="J6432" s="2">
        <v>0</v>
      </c>
    </row>
    <row r="6433" spans="1:10">
      <c r="A6433" s="2" t="s">
        <v>148</v>
      </c>
      <c r="B6433" s="2" t="s">
        <v>101</v>
      </c>
      <c r="C6433" s="2">
        <v>0.122476</v>
      </c>
      <c r="D6433" s="60">
        <v>0</v>
      </c>
      <c r="E6433" s="2">
        <v>8.3000000000000007</v>
      </c>
      <c r="F6433" s="2">
        <v>1.7</v>
      </c>
      <c r="G6433" s="2">
        <v>29.246400000000001</v>
      </c>
      <c r="H6433" s="2">
        <v>31.279</v>
      </c>
      <c r="I6433" s="2">
        <v>0</v>
      </c>
      <c r="J6433" s="2">
        <v>0</v>
      </c>
    </row>
    <row r="6434" spans="1:10">
      <c r="A6434" s="2" t="s">
        <v>148</v>
      </c>
      <c r="B6434" s="2" t="s">
        <v>59</v>
      </c>
      <c r="C6434" s="2">
        <v>0.35057899999999997</v>
      </c>
      <c r="D6434" s="60">
        <v>35.057899999999997</v>
      </c>
      <c r="E6434" s="2">
        <v>4.3</v>
      </c>
      <c r="F6434" s="2">
        <v>4</v>
      </c>
      <c r="G6434" s="2">
        <v>31.279</v>
      </c>
      <c r="H6434" s="2">
        <v>35.386800000000001</v>
      </c>
      <c r="I6434" s="2">
        <v>0</v>
      </c>
      <c r="J6434" s="2">
        <v>0</v>
      </c>
    </row>
    <row r="6435" spans="1:10">
      <c r="A6435" s="2" t="s">
        <v>148</v>
      </c>
      <c r="B6435" s="2" t="s">
        <v>56</v>
      </c>
      <c r="C6435" s="2">
        <v>0.463922</v>
      </c>
      <c r="D6435" s="60">
        <v>64.948999999999998</v>
      </c>
      <c r="E6435" s="2">
        <v>0.3</v>
      </c>
      <c r="F6435" s="2">
        <v>4</v>
      </c>
      <c r="G6435" s="2">
        <v>35.386800000000001</v>
      </c>
      <c r="H6435" s="2">
        <v>44.306699999999999</v>
      </c>
      <c r="I6435" s="2">
        <v>0</v>
      </c>
      <c r="J6435" s="2">
        <v>0</v>
      </c>
    </row>
    <row r="6436" spans="1:10">
      <c r="A6436" s="2" t="s">
        <v>138</v>
      </c>
      <c r="B6436" s="2">
        <v>14</v>
      </c>
      <c r="C6436" s="2">
        <v>19.467400000000001</v>
      </c>
      <c r="D6436" s="60" t="s">
        <v>175</v>
      </c>
    </row>
    <row r="6437" spans="1:10">
      <c r="A6437" s="2" t="s">
        <v>140</v>
      </c>
      <c r="B6437" s="2">
        <v>0</v>
      </c>
      <c r="C6437" s="2">
        <v>52.838999999999999</v>
      </c>
      <c r="D6437" s="60">
        <v>27.9024</v>
      </c>
      <c r="E6437" s="2">
        <v>0</v>
      </c>
      <c r="F6437" s="2">
        <v>9.1999999999999993</v>
      </c>
    </row>
    <row r="6438" spans="1:10">
      <c r="A6438" s="2" t="s">
        <v>141</v>
      </c>
      <c r="B6438" s="2">
        <v>0</v>
      </c>
      <c r="C6438" s="2">
        <v>0.5</v>
      </c>
      <c r="D6438" s="60" t="s">
        <v>157</v>
      </c>
    </row>
    <row r="6439" spans="1:10">
      <c r="A6439" s="2" t="s">
        <v>141</v>
      </c>
      <c r="B6439" s="2">
        <v>0</v>
      </c>
      <c r="C6439" s="2">
        <v>5.6</v>
      </c>
      <c r="D6439" s="60" t="s">
        <v>142</v>
      </c>
    </row>
    <row r="6440" spans="1:10">
      <c r="A6440" s="2" t="s">
        <v>141</v>
      </c>
      <c r="B6440" s="2">
        <v>0</v>
      </c>
      <c r="C6440" s="2">
        <v>6.2</v>
      </c>
      <c r="D6440" s="60" t="s">
        <v>155</v>
      </c>
    </row>
    <row r="6441" spans="1:10">
      <c r="A6441" s="2" t="s">
        <v>141</v>
      </c>
      <c r="B6441" s="2">
        <v>5.6</v>
      </c>
      <c r="C6441" s="2">
        <v>6.4</v>
      </c>
      <c r="D6441" s="60" t="s">
        <v>151</v>
      </c>
    </row>
    <row r="6442" spans="1:10">
      <c r="A6442" s="2" t="s">
        <v>141</v>
      </c>
      <c r="B6442" s="2">
        <v>6.2</v>
      </c>
      <c r="C6442" s="2">
        <v>21.284199999999998</v>
      </c>
      <c r="D6442" s="60" t="s">
        <v>152</v>
      </c>
    </row>
    <row r="6443" spans="1:10">
      <c r="A6443" s="2" t="s">
        <v>141</v>
      </c>
      <c r="B6443" s="2">
        <v>6.4</v>
      </c>
      <c r="C6443" s="2">
        <v>21.284199999999998</v>
      </c>
      <c r="D6443" s="60" t="s">
        <v>147</v>
      </c>
    </row>
    <row r="6444" spans="1:10">
      <c r="A6444" s="2" t="s">
        <v>148</v>
      </c>
      <c r="B6444" s="2" t="s">
        <v>99</v>
      </c>
      <c r="C6444" s="2">
        <v>6.6607799999999995E-2</v>
      </c>
      <c r="D6444" s="60">
        <v>0</v>
      </c>
      <c r="E6444" s="2">
        <v>0</v>
      </c>
      <c r="F6444" s="2">
        <v>0.3</v>
      </c>
      <c r="G6444" s="2">
        <v>51.967199999999998</v>
      </c>
      <c r="H6444" s="2">
        <v>54.459699999999998</v>
      </c>
      <c r="I6444" s="2">
        <v>0</v>
      </c>
      <c r="J6444" s="2">
        <v>0</v>
      </c>
    </row>
    <row r="6445" spans="1:10">
      <c r="A6445" s="2" t="s">
        <v>148</v>
      </c>
      <c r="B6445" s="2" t="s">
        <v>64</v>
      </c>
      <c r="C6445" s="2">
        <v>0.58317300000000005</v>
      </c>
      <c r="D6445" s="60">
        <v>17.495200000000001</v>
      </c>
      <c r="E6445" s="2">
        <v>4.3</v>
      </c>
      <c r="F6445" s="2">
        <v>4.9000000000000004</v>
      </c>
      <c r="G6445" s="2">
        <v>35.964700000000001</v>
      </c>
      <c r="H6445" s="2">
        <v>41.650300000000001</v>
      </c>
      <c r="I6445" s="2">
        <v>0</v>
      </c>
      <c r="J6445" s="2">
        <v>0</v>
      </c>
    </row>
    <row r="6446" spans="1:10">
      <c r="A6446" s="2" t="s">
        <v>148</v>
      </c>
      <c r="B6446" s="2" t="s">
        <v>62</v>
      </c>
      <c r="C6446" s="2">
        <v>0.64119099999999996</v>
      </c>
      <c r="D6446" s="60">
        <v>51.295299999999997</v>
      </c>
      <c r="E6446" s="2">
        <v>0.3</v>
      </c>
      <c r="F6446" s="2">
        <v>4</v>
      </c>
      <c r="G6446" s="2">
        <v>41.650300000000001</v>
      </c>
      <c r="H6446" s="2">
        <v>51.967199999999998</v>
      </c>
      <c r="I6446" s="2">
        <v>0</v>
      </c>
      <c r="J6446" s="2">
        <v>0</v>
      </c>
    </row>
    <row r="6447" spans="1:10">
      <c r="A6447" s="2" t="s">
        <v>138</v>
      </c>
      <c r="B6447" s="2">
        <v>15</v>
      </c>
      <c r="C6447" s="2">
        <v>19.3231</v>
      </c>
      <c r="D6447" s="60" t="s">
        <v>149</v>
      </c>
    </row>
    <row r="6448" spans="1:10">
      <c r="A6448" s="2" t="s">
        <v>140</v>
      </c>
      <c r="B6448" s="2">
        <v>0</v>
      </c>
      <c r="C6448" s="2">
        <v>49.173900000000003</v>
      </c>
      <c r="D6448" s="60">
        <v>27.380199999999999</v>
      </c>
    </row>
    <row r="6449" spans="1:10">
      <c r="A6449" s="2" t="s">
        <v>141</v>
      </c>
      <c r="B6449" s="2">
        <v>0</v>
      </c>
      <c r="C6449" s="2">
        <v>2.6</v>
      </c>
      <c r="D6449" s="60" t="s">
        <v>152</v>
      </c>
    </row>
    <row r="6450" spans="1:10">
      <c r="A6450" s="2" t="s">
        <v>141</v>
      </c>
      <c r="B6450" s="2">
        <v>0</v>
      </c>
      <c r="C6450" s="2">
        <v>4.2</v>
      </c>
      <c r="D6450" s="60" t="s">
        <v>142</v>
      </c>
    </row>
    <row r="6451" spans="1:10">
      <c r="A6451" s="2" t="s">
        <v>141</v>
      </c>
      <c r="B6451" s="2">
        <v>2.6</v>
      </c>
      <c r="C6451" s="2">
        <v>20.9115</v>
      </c>
      <c r="D6451" s="60" t="s">
        <v>155</v>
      </c>
    </row>
    <row r="6452" spans="1:10">
      <c r="A6452" s="2" t="s">
        <v>141</v>
      </c>
      <c r="B6452" s="2">
        <v>4.2</v>
      </c>
      <c r="C6452" s="2">
        <v>8.6999999999999993</v>
      </c>
      <c r="D6452" s="60" t="s">
        <v>147</v>
      </c>
    </row>
    <row r="6453" spans="1:10">
      <c r="A6453" s="2" t="s">
        <v>141</v>
      </c>
      <c r="B6453" s="2">
        <v>7.3</v>
      </c>
      <c r="C6453" s="2">
        <v>7.6</v>
      </c>
      <c r="D6453" s="60" t="s">
        <v>153</v>
      </c>
    </row>
    <row r="6454" spans="1:10">
      <c r="A6454" s="2" t="s">
        <v>141</v>
      </c>
      <c r="B6454" s="2">
        <v>7.3</v>
      </c>
      <c r="C6454" s="2">
        <v>7.6</v>
      </c>
      <c r="D6454" s="60" t="s">
        <v>154</v>
      </c>
    </row>
    <row r="6455" spans="1:10">
      <c r="A6455" s="2" t="s">
        <v>141</v>
      </c>
      <c r="B6455" s="2">
        <v>8.6999999999999993</v>
      </c>
      <c r="C6455" s="2">
        <v>20.9115</v>
      </c>
      <c r="D6455" s="60" t="s">
        <v>144</v>
      </c>
    </row>
    <row r="6456" spans="1:10">
      <c r="A6456" s="2" t="s">
        <v>156</v>
      </c>
      <c r="B6456" s="2">
        <v>7.3</v>
      </c>
      <c r="C6456" s="2">
        <v>30.144600000000001</v>
      </c>
    </row>
    <row r="6457" spans="1:10">
      <c r="A6457" s="2" t="s">
        <v>148</v>
      </c>
      <c r="B6457" s="2" t="s">
        <v>99</v>
      </c>
      <c r="C6457" s="2">
        <v>5.8493299999999998E-2</v>
      </c>
      <c r="D6457" s="60">
        <v>0</v>
      </c>
      <c r="E6457" s="2">
        <v>0</v>
      </c>
      <c r="F6457" s="2">
        <v>0.3</v>
      </c>
      <c r="G6457" s="2">
        <v>48.680300000000003</v>
      </c>
      <c r="H6457" s="2">
        <v>51.0565</v>
      </c>
      <c r="I6457" s="2">
        <v>0</v>
      </c>
      <c r="J6457" s="2">
        <v>0</v>
      </c>
    </row>
    <row r="6458" spans="1:10">
      <c r="A6458" s="2" t="s">
        <v>148</v>
      </c>
      <c r="B6458" s="2" t="s">
        <v>100</v>
      </c>
      <c r="C6458" s="2">
        <v>2.2131999999999999E-2</v>
      </c>
      <c r="D6458" s="60">
        <v>0</v>
      </c>
      <c r="E6458" s="2">
        <v>20.105799999999999</v>
      </c>
      <c r="F6458" s="2">
        <v>7.2744</v>
      </c>
      <c r="G6458" s="2">
        <v>0</v>
      </c>
      <c r="H6458" s="2">
        <v>10</v>
      </c>
      <c r="I6458" s="2">
        <v>0</v>
      </c>
      <c r="J6458" s="2">
        <v>0</v>
      </c>
    </row>
    <row r="6459" spans="1:10">
      <c r="A6459" s="2" t="s">
        <v>148</v>
      </c>
      <c r="B6459" s="2" t="s">
        <v>98</v>
      </c>
      <c r="C6459" s="2">
        <v>3.1269900000000003E-2</v>
      </c>
      <c r="D6459" s="60">
        <v>0</v>
      </c>
      <c r="E6459" s="2">
        <v>17.2347</v>
      </c>
      <c r="F6459" s="2">
        <v>2.8710800000000001</v>
      </c>
      <c r="G6459" s="2">
        <v>10</v>
      </c>
      <c r="H6459" s="2">
        <v>13.454000000000001</v>
      </c>
      <c r="I6459" s="2">
        <v>0</v>
      </c>
      <c r="J6459" s="2">
        <v>0</v>
      </c>
    </row>
    <row r="6460" spans="1:10">
      <c r="A6460" s="2" t="s">
        <v>148</v>
      </c>
      <c r="B6460" s="2" t="s">
        <v>101</v>
      </c>
      <c r="C6460" s="2">
        <v>2.6691200000000002E-2</v>
      </c>
      <c r="D6460" s="60">
        <v>0</v>
      </c>
      <c r="E6460" s="2">
        <v>15.6</v>
      </c>
      <c r="F6460" s="2">
        <v>1.6347499999999999</v>
      </c>
      <c r="G6460" s="2">
        <v>13.454000000000001</v>
      </c>
      <c r="H6460" s="2">
        <v>15.347899999999999</v>
      </c>
      <c r="I6460" s="2">
        <v>0</v>
      </c>
      <c r="J6460" s="2">
        <v>0</v>
      </c>
    </row>
    <row r="6461" spans="1:10">
      <c r="A6461" s="2" t="s">
        <v>148</v>
      </c>
      <c r="B6461" s="2" t="s">
        <v>63</v>
      </c>
      <c r="C6461" s="2">
        <v>9.6611699999999995E-2</v>
      </c>
      <c r="D6461" s="60">
        <v>6.7628199999999996</v>
      </c>
      <c r="E6461" s="2">
        <v>11.6</v>
      </c>
      <c r="F6461" s="2">
        <v>4</v>
      </c>
      <c r="G6461" s="2">
        <v>15.347899999999999</v>
      </c>
      <c r="H6461" s="2">
        <v>19.5139</v>
      </c>
      <c r="I6461" s="2">
        <v>0</v>
      </c>
      <c r="J6461" s="2">
        <v>0</v>
      </c>
    </row>
    <row r="6462" spans="1:10">
      <c r="A6462" s="2" t="s">
        <v>148</v>
      </c>
      <c r="B6462" s="2" t="s">
        <v>63</v>
      </c>
      <c r="C6462" s="2">
        <v>0.14219000000000001</v>
      </c>
      <c r="D6462" s="60">
        <v>9.9533199999999997</v>
      </c>
      <c r="E6462" s="2">
        <v>7.6</v>
      </c>
      <c r="F6462" s="2">
        <v>4</v>
      </c>
      <c r="G6462" s="2">
        <v>19.5139</v>
      </c>
      <c r="H6462" s="2">
        <v>22.854399999999998</v>
      </c>
      <c r="I6462" s="2">
        <v>0</v>
      </c>
      <c r="J6462" s="2">
        <v>0</v>
      </c>
    </row>
    <row r="6463" spans="1:10">
      <c r="A6463" s="2" t="s">
        <v>148</v>
      </c>
      <c r="B6463" s="2" t="s">
        <v>101</v>
      </c>
      <c r="C6463" s="2">
        <v>8.4270100000000001E-2</v>
      </c>
      <c r="D6463" s="60">
        <v>0</v>
      </c>
      <c r="E6463" s="2">
        <v>6.6</v>
      </c>
      <c r="F6463" s="2">
        <v>1</v>
      </c>
      <c r="G6463" s="2">
        <v>22.854399999999998</v>
      </c>
      <c r="H6463" s="2">
        <v>36.532800000000002</v>
      </c>
      <c r="I6463" s="2">
        <v>0</v>
      </c>
      <c r="J6463" s="2">
        <v>0</v>
      </c>
    </row>
    <row r="6464" spans="1:10">
      <c r="A6464" s="2" t="s">
        <v>148</v>
      </c>
      <c r="B6464" s="2" t="s">
        <v>62</v>
      </c>
      <c r="C6464" s="2">
        <v>0.47055799999999998</v>
      </c>
      <c r="D6464" s="60">
        <v>37.6447</v>
      </c>
      <c r="E6464" s="2">
        <v>2.6</v>
      </c>
      <c r="F6464" s="2">
        <v>4</v>
      </c>
      <c r="G6464" s="2">
        <v>36.532800000000002</v>
      </c>
      <c r="H6464" s="2">
        <v>41.036499999999997</v>
      </c>
      <c r="I6464" s="2">
        <v>0</v>
      </c>
      <c r="J6464" s="2">
        <v>0</v>
      </c>
    </row>
    <row r="6465" spans="1:10">
      <c r="A6465" s="2" t="s">
        <v>148</v>
      </c>
      <c r="B6465" s="2" t="s">
        <v>101</v>
      </c>
      <c r="C6465" s="2">
        <v>0.34855799999999998</v>
      </c>
      <c r="D6465" s="60">
        <v>0</v>
      </c>
      <c r="E6465" s="2">
        <v>0.3</v>
      </c>
      <c r="F6465" s="2">
        <v>2.2999999999999998</v>
      </c>
      <c r="G6465" s="2">
        <v>41.036499999999997</v>
      </c>
      <c r="H6465" s="2">
        <v>48.680300000000003</v>
      </c>
      <c r="I6465" s="2">
        <v>0</v>
      </c>
      <c r="J6465" s="2">
        <v>0</v>
      </c>
    </row>
    <row r="6466" spans="1:10">
      <c r="A6466" s="2" t="s">
        <v>140</v>
      </c>
      <c r="B6466" s="2">
        <v>1</v>
      </c>
      <c r="C6466" s="2">
        <v>30.144600000000001</v>
      </c>
      <c r="D6466" s="60">
        <v>27.380199999999999</v>
      </c>
      <c r="E6466" s="2">
        <v>7.3</v>
      </c>
    </row>
    <row r="6467" spans="1:10">
      <c r="A6467" s="2" t="s">
        <v>141</v>
      </c>
      <c r="B6467" s="2">
        <v>7.3</v>
      </c>
      <c r="C6467" s="2">
        <v>7.6</v>
      </c>
      <c r="D6467" s="60" t="s">
        <v>153</v>
      </c>
    </row>
    <row r="6468" spans="1:10">
      <c r="A6468" s="2" t="s">
        <v>141</v>
      </c>
      <c r="B6468" s="2">
        <v>7.3</v>
      </c>
      <c r="C6468" s="2">
        <v>20.9115</v>
      </c>
      <c r="D6468" s="60" t="s">
        <v>144</v>
      </c>
    </row>
    <row r="6469" spans="1:10">
      <c r="A6469" s="2" t="s">
        <v>141</v>
      </c>
      <c r="B6469" s="2">
        <v>7.3</v>
      </c>
      <c r="C6469" s="2">
        <v>20.9115</v>
      </c>
      <c r="D6469" s="60" t="s">
        <v>152</v>
      </c>
    </row>
    <row r="6470" spans="1:10">
      <c r="A6470" s="2" t="s">
        <v>148</v>
      </c>
      <c r="B6470" s="2" t="s">
        <v>100</v>
      </c>
      <c r="C6470" s="2">
        <v>2.2131999999999999E-2</v>
      </c>
      <c r="D6470" s="60">
        <v>0</v>
      </c>
      <c r="E6470" s="2">
        <v>20.105799999999999</v>
      </c>
      <c r="F6470" s="2">
        <v>7.2744</v>
      </c>
      <c r="G6470" s="2">
        <v>0</v>
      </c>
      <c r="H6470" s="2">
        <v>10</v>
      </c>
      <c r="I6470" s="2">
        <v>0</v>
      </c>
      <c r="J6470" s="2">
        <v>0</v>
      </c>
    </row>
    <row r="6471" spans="1:10">
      <c r="A6471" s="2" t="s">
        <v>148</v>
      </c>
      <c r="B6471" s="2" t="s">
        <v>101</v>
      </c>
      <c r="C6471" s="2">
        <v>4.2208499999999999E-3</v>
      </c>
      <c r="D6471" s="60">
        <v>0</v>
      </c>
      <c r="E6471" s="2">
        <v>19.600000000000001</v>
      </c>
      <c r="F6471" s="2">
        <v>0.50582499999999997</v>
      </c>
      <c r="G6471" s="2">
        <v>10</v>
      </c>
      <c r="H6471" s="2">
        <v>10.6122</v>
      </c>
      <c r="I6471" s="2">
        <v>0</v>
      </c>
      <c r="J6471" s="2">
        <v>0</v>
      </c>
    </row>
    <row r="6472" spans="1:10">
      <c r="A6472" s="2" t="s">
        <v>148</v>
      </c>
      <c r="B6472" s="2" t="s">
        <v>64</v>
      </c>
      <c r="C6472" s="2">
        <v>9.6319500000000002E-2</v>
      </c>
      <c r="D6472" s="60">
        <v>2.8895900000000001</v>
      </c>
      <c r="E6472" s="2">
        <v>13.6</v>
      </c>
      <c r="F6472" s="2">
        <v>6</v>
      </c>
      <c r="G6472" s="2">
        <v>10.6122</v>
      </c>
      <c r="H6472" s="2">
        <v>17.527200000000001</v>
      </c>
      <c r="I6472" s="2">
        <v>0</v>
      </c>
      <c r="J6472" s="2">
        <v>0</v>
      </c>
    </row>
    <row r="6473" spans="1:10">
      <c r="A6473" s="2" t="s">
        <v>148</v>
      </c>
      <c r="B6473" s="2" t="s">
        <v>64</v>
      </c>
      <c r="C6473" s="2">
        <v>0.19622300000000001</v>
      </c>
      <c r="D6473" s="60">
        <v>5.8866800000000001</v>
      </c>
      <c r="E6473" s="2">
        <v>7.6</v>
      </c>
      <c r="F6473" s="2">
        <v>6</v>
      </c>
      <c r="G6473" s="2">
        <v>17.527200000000001</v>
      </c>
      <c r="H6473" s="2">
        <v>22.854399999999998</v>
      </c>
      <c r="I6473" s="2">
        <v>0</v>
      </c>
      <c r="J6473" s="2">
        <v>0</v>
      </c>
    </row>
    <row r="6474" spans="1:10">
      <c r="A6474" s="2" t="s">
        <v>148</v>
      </c>
      <c r="B6474" s="2" t="s">
        <v>101</v>
      </c>
      <c r="C6474" s="2">
        <v>1.2425800000000001E-2</v>
      </c>
      <c r="D6474" s="60">
        <v>0</v>
      </c>
      <c r="E6474" s="2">
        <v>7.3</v>
      </c>
      <c r="F6474" s="2">
        <v>0.3</v>
      </c>
      <c r="G6474" s="2">
        <v>22.854399999999998</v>
      </c>
      <c r="H6474" s="2">
        <v>23.073799999999999</v>
      </c>
      <c r="I6474" s="2">
        <v>0</v>
      </c>
      <c r="J6474" s="2">
        <v>0</v>
      </c>
    </row>
    <row r="6475" spans="1:10">
      <c r="A6475" s="2" t="s">
        <v>138</v>
      </c>
      <c r="B6475" s="2">
        <v>16</v>
      </c>
      <c r="C6475" s="2">
        <v>19.558399999999999</v>
      </c>
      <c r="D6475" s="60" t="s">
        <v>149</v>
      </c>
    </row>
    <row r="6476" spans="1:10">
      <c r="A6476" s="2" t="s">
        <v>140</v>
      </c>
      <c r="B6476" s="2">
        <v>0</v>
      </c>
      <c r="C6476" s="2">
        <v>55.850999999999999</v>
      </c>
      <c r="D6476" s="60">
        <v>28.305800000000001</v>
      </c>
    </row>
    <row r="6477" spans="1:10">
      <c r="A6477" s="2" t="s">
        <v>141</v>
      </c>
      <c r="B6477" s="2">
        <v>0</v>
      </c>
      <c r="C6477" s="2">
        <v>6.1</v>
      </c>
      <c r="D6477" s="60" t="s">
        <v>142</v>
      </c>
    </row>
    <row r="6478" spans="1:10">
      <c r="A6478" s="2" t="s">
        <v>141</v>
      </c>
      <c r="B6478" s="2">
        <v>0</v>
      </c>
      <c r="C6478" s="2">
        <v>6.1</v>
      </c>
      <c r="D6478" s="60" t="s">
        <v>146</v>
      </c>
    </row>
    <row r="6479" spans="1:10">
      <c r="A6479" s="2" t="s">
        <v>141</v>
      </c>
      <c r="B6479" s="2">
        <v>6.1</v>
      </c>
      <c r="C6479" s="2">
        <v>6.2</v>
      </c>
      <c r="D6479" s="60" t="s">
        <v>151</v>
      </c>
    </row>
    <row r="6480" spans="1:10">
      <c r="A6480" s="2" t="s">
        <v>141</v>
      </c>
      <c r="B6480" s="2">
        <v>6.1</v>
      </c>
      <c r="C6480" s="2">
        <v>10.5</v>
      </c>
      <c r="D6480" s="60" t="s">
        <v>155</v>
      </c>
    </row>
    <row r="6481" spans="1:10">
      <c r="A6481" s="2" t="s">
        <v>141</v>
      </c>
      <c r="B6481" s="2">
        <v>6.2</v>
      </c>
      <c r="C6481" s="2">
        <v>9.1</v>
      </c>
      <c r="D6481" s="60" t="s">
        <v>147</v>
      </c>
    </row>
    <row r="6482" spans="1:10">
      <c r="A6482" s="2" t="s">
        <v>141</v>
      </c>
      <c r="B6482" s="2">
        <v>9.1</v>
      </c>
      <c r="C6482" s="2">
        <v>9.4</v>
      </c>
      <c r="D6482" s="60" t="s">
        <v>153</v>
      </c>
    </row>
    <row r="6483" spans="1:10">
      <c r="A6483" s="2" t="s">
        <v>141</v>
      </c>
      <c r="B6483" s="2">
        <v>9.1</v>
      </c>
      <c r="C6483" s="2">
        <v>9.4</v>
      </c>
      <c r="D6483" s="60" t="s">
        <v>154</v>
      </c>
    </row>
    <row r="6484" spans="1:10">
      <c r="A6484" s="2" t="s">
        <v>141</v>
      </c>
      <c r="B6484" s="2">
        <v>9.1</v>
      </c>
      <c r="C6484" s="2">
        <v>21.572099999999999</v>
      </c>
      <c r="D6484" s="60" t="s">
        <v>144</v>
      </c>
    </row>
    <row r="6485" spans="1:10">
      <c r="A6485" s="2" t="s">
        <v>141</v>
      </c>
      <c r="B6485" s="2">
        <v>10.5</v>
      </c>
      <c r="C6485" s="2">
        <v>21.572099999999999</v>
      </c>
      <c r="D6485" s="60" t="s">
        <v>152</v>
      </c>
    </row>
    <row r="6486" spans="1:10">
      <c r="A6486" s="2" t="s">
        <v>156</v>
      </c>
      <c r="B6486" s="2">
        <v>9.1</v>
      </c>
      <c r="C6486" s="2">
        <v>43.387300000000003</v>
      </c>
    </row>
    <row r="6487" spans="1:10">
      <c r="A6487" s="2" t="s">
        <v>148</v>
      </c>
      <c r="B6487" s="2" t="s">
        <v>99</v>
      </c>
      <c r="C6487" s="2">
        <v>7.3625700000000002E-2</v>
      </c>
      <c r="D6487" s="60">
        <v>0</v>
      </c>
      <c r="E6487" s="2">
        <v>0</v>
      </c>
      <c r="F6487" s="2">
        <v>0.3</v>
      </c>
      <c r="G6487" s="2">
        <v>54.652000000000001</v>
      </c>
      <c r="H6487" s="2">
        <v>57.238599999999998</v>
      </c>
      <c r="I6487" s="2">
        <v>0</v>
      </c>
      <c r="J6487" s="2">
        <v>0</v>
      </c>
    </row>
    <row r="6488" spans="1:10">
      <c r="A6488" s="2" t="s">
        <v>148</v>
      </c>
      <c r="B6488" s="2" t="s">
        <v>100</v>
      </c>
      <c r="C6488" s="2">
        <v>1.67514E-2</v>
      </c>
      <c r="D6488" s="60">
        <v>0</v>
      </c>
      <c r="E6488" s="2">
        <v>23.202500000000001</v>
      </c>
      <c r="F6488" s="2">
        <v>5.1033499999999998</v>
      </c>
      <c r="G6488" s="2">
        <v>0</v>
      </c>
      <c r="H6488" s="2">
        <v>10</v>
      </c>
      <c r="I6488" s="2">
        <v>0</v>
      </c>
      <c r="J6488" s="2">
        <v>0</v>
      </c>
    </row>
    <row r="6489" spans="1:10">
      <c r="A6489" s="2" t="s">
        <v>148</v>
      </c>
      <c r="B6489" s="2" t="s">
        <v>98</v>
      </c>
      <c r="C6489" s="2">
        <v>2.11253E-2</v>
      </c>
      <c r="D6489" s="60">
        <v>0</v>
      </c>
      <c r="E6489" s="2">
        <v>21.208400000000001</v>
      </c>
      <c r="F6489" s="2">
        <v>1.9940800000000001</v>
      </c>
      <c r="G6489" s="2">
        <v>10</v>
      </c>
      <c r="H6489" s="2">
        <v>13.1745</v>
      </c>
      <c r="I6489" s="2">
        <v>0</v>
      </c>
      <c r="J6489" s="2">
        <v>0</v>
      </c>
    </row>
    <row r="6490" spans="1:10">
      <c r="A6490" s="2" t="s">
        <v>148</v>
      </c>
      <c r="B6490" s="2" t="s">
        <v>101</v>
      </c>
      <c r="C6490" s="2">
        <v>1.1464900000000001E-4</v>
      </c>
      <c r="D6490" s="60">
        <v>0</v>
      </c>
      <c r="E6490" s="2">
        <v>21.2</v>
      </c>
      <c r="F6490" s="2">
        <v>8.4016899999999999E-3</v>
      </c>
      <c r="G6490" s="2">
        <v>13.1745</v>
      </c>
      <c r="H6490" s="2">
        <v>13.188000000000001</v>
      </c>
      <c r="I6490" s="2">
        <v>0</v>
      </c>
      <c r="J6490" s="2">
        <v>0</v>
      </c>
    </row>
    <row r="6491" spans="1:10">
      <c r="A6491" s="2" t="s">
        <v>148</v>
      </c>
      <c r="B6491" s="2" t="s">
        <v>64</v>
      </c>
      <c r="C6491" s="2">
        <v>0.14824300000000001</v>
      </c>
      <c r="D6491" s="60">
        <v>4.4472800000000001</v>
      </c>
      <c r="E6491" s="2">
        <v>15.4</v>
      </c>
      <c r="F6491" s="2">
        <v>5.8</v>
      </c>
      <c r="G6491" s="2">
        <v>13.188000000000001</v>
      </c>
      <c r="H6491" s="2">
        <v>22.360299999999999</v>
      </c>
      <c r="I6491" s="2">
        <v>0</v>
      </c>
      <c r="J6491" s="2">
        <v>0</v>
      </c>
    </row>
    <row r="6492" spans="1:10">
      <c r="A6492" s="2" t="s">
        <v>148</v>
      </c>
      <c r="B6492" s="2" t="s">
        <v>64</v>
      </c>
      <c r="C6492" s="2">
        <v>0.33131899999999997</v>
      </c>
      <c r="D6492" s="60">
        <v>9.9395799999999994</v>
      </c>
      <c r="E6492" s="2">
        <v>9.4</v>
      </c>
      <c r="F6492" s="2">
        <v>6</v>
      </c>
      <c r="G6492" s="2">
        <v>22.360299999999999</v>
      </c>
      <c r="H6492" s="2">
        <v>30.078499999999998</v>
      </c>
      <c r="I6492" s="2">
        <v>0</v>
      </c>
      <c r="J6492" s="2">
        <v>0</v>
      </c>
    </row>
    <row r="6493" spans="1:10">
      <c r="A6493" s="2" t="s">
        <v>148</v>
      </c>
      <c r="B6493" s="2" t="s">
        <v>101</v>
      </c>
      <c r="C6493" s="2">
        <v>0.11534800000000001</v>
      </c>
      <c r="D6493" s="60">
        <v>0</v>
      </c>
      <c r="E6493" s="2">
        <v>8.3000000000000007</v>
      </c>
      <c r="F6493" s="2">
        <v>1.1000000000000001</v>
      </c>
      <c r="G6493" s="2">
        <v>30.078499999999998</v>
      </c>
      <c r="H6493" s="2">
        <v>39.153199999999998</v>
      </c>
      <c r="I6493" s="2">
        <v>0</v>
      </c>
      <c r="J6493" s="2">
        <v>0</v>
      </c>
    </row>
    <row r="6494" spans="1:10">
      <c r="A6494" s="2" t="s">
        <v>148</v>
      </c>
      <c r="B6494" s="2" t="s">
        <v>62</v>
      </c>
      <c r="C6494" s="2">
        <v>0.54272399999999998</v>
      </c>
      <c r="D6494" s="60">
        <v>43.417999999999999</v>
      </c>
      <c r="E6494" s="2">
        <v>4.3</v>
      </c>
      <c r="F6494" s="2">
        <v>4</v>
      </c>
      <c r="G6494" s="2">
        <v>39.153199999999998</v>
      </c>
      <c r="H6494" s="2">
        <v>43.848199999999999</v>
      </c>
      <c r="I6494" s="2">
        <v>0</v>
      </c>
      <c r="J6494" s="2">
        <v>0</v>
      </c>
    </row>
    <row r="6495" spans="1:10">
      <c r="A6495" s="2" t="s">
        <v>148</v>
      </c>
      <c r="B6495" s="2" t="s">
        <v>55</v>
      </c>
      <c r="C6495" s="2">
        <v>0.71018199999999998</v>
      </c>
      <c r="D6495" s="60">
        <v>102.976</v>
      </c>
      <c r="E6495" s="2">
        <v>0.3</v>
      </c>
      <c r="F6495" s="2">
        <v>4</v>
      </c>
      <c r="G6495" s="2">
        <v>43.848199999999999</v>
      </c>
      <c r="H6495" s="2">
        <v>54.652000000000001</v>
      </c>
      <c r="I6495" s="2">
        <v>0</v>
      </c>
      <c r="J6495" s="2">
        <v>0</v>
      </c>
    </row>
    <row r="6496" spans="1:10">
      <c r="A6496" s="2" t="s">
        <v>140</v>
      </c>
      <c r="B6496" s="2">
        <v>1</v>
      </c>
      <c r="C6496" s="2">
        <v>26.2515</v>
      </c>
      <c r="D6496" s="60">
        <v>28.305800000000001</v>
      </c>
      <c r="E6496" s="2">
        <v>9.1</v>
      </c>
    </row>
    <row r="6497" spans="1:10">
      <c r="A6497" s="2" t="s">
        <v>141</v>
      </c>
      <c r="B6497" s="2">
        <v>9.1</v>
      </c>
      <c r="C6497" s="2">
        <v>9.4</v>
      </c>
      <c r="D6497" s="60" t="s">
        <v>153</v>
      </c>
    </row>
    <row r="6498" spans="1:10">
      <c r="A6498" s="2" t="s">
        <v>141</v>
      </c>
      <c r="B6498" s="2">
        <v>9.1</v>
      </c>
      <c r="C6498" s="2">
        <v>21.572099999999999</v>
      </c>
      <c r="D6498" s="60" t="s">
        <v>144</v>
      </c>
    </row>
    <row r="6499" spans="1:10">
      <c r="A6499" s="2" t="s">
        <v>141</v>
      </c>
      <c r="B6499" s="2">
        <v>9.1</v>
      </c>
      <c r="C6499" s="2">
        <v>21.572099999999999</v>
      </c>
      <c r="D6499" s="60" t="s">
        <v>152</v>
      </c>
    </row>
    <row r="6500" spans="1:10">
      <c r="A6500" s="2" t="s">
        <v>148</v>
      </c>
      <c r="B6500" s="2" t="s">
        <v>100</v>
      </c>
      <c r="C6500" s="2">
        <v>2.5705800000000001E-2</v>
      </c>
      <c r="D6500" s="60">
        <v>0</v>
      </c>
      <c r="E6500" s="2">
        <v>19.662700000000001</v>
      </c>
      <c r="F6500" s="2">
        <v>8.6431500000000003</v>
      </c>
      <c r="G6500" s="2">
        <v>0</v>
      </c>
      <c r="H6500" s="2">
        <v>10</v>
      </c>
      <c r="I6500" s="2">
        <v>0</v>
      </c>
      <c r="J6500" s="2">
        <v>0</v>
      </c>
    </row>
    <row r="6501" spans="1:10">
      <c r="A6501" s="2" t="s">
        <v>148</v>
      </c>
      <c r="B6501" s="2" t="s">
        <v>98</v>
      </c>
      <c r="C6501" s="2">
        <v>3.1753700000000003E-2</v>
      </c>
      <c r="D6501" s="60">
        <v>0</v>
      </c>
      <c r="E6501" s="2">
        <v>16.645800000000001</v>
      </c>
      <c r="F6501" s="2">
        <v>3.0168400000000002</v>
      </c>
      <c r="G6501" s="2">
        <v>10</v>
      </c>
      <c r="H6501" s="2">
        <v>13.059200000000001</v>
      </c>
      <c r="I6501" s="2">
        <v>0</v>
      </c>
      <c r="J6501" s="2">
        <v>0</v>
      </c>
    </row>
    <row r="6502" spans="1:10">
      <c r="A6502" s="2" t="s">
        <v>148</v>
      </c>
      <c r="B6502" s="2" t="s">
        <v>101</v>
      </c>
      <c r="C6502" s="2">
        <v>6.1621699999999996E-4</v>
      </c>
      <c r="D6502" s="60">
        <v>0</v>
      </c>
      <c r="E6502" s="2">
        <v>16.600000000000001</v>
      </c>
      <c r="F6502" s="2">
        <v>4.5847600000000002E-2</v>
      </c>
      <c r="G6502" s="2">
        <v>13.059200000000001</v>
      </c>
      <c r="H6502" s="2">
        <v>13.104200000000001</v>
      </c>
      <c r="I6502" s="2">
        <v>0</v>
      </c>
      <c r="J6502" s="2">
        <v>0</v>
      </c>
    </row>
    <row r="6503" spans="1:10">
      <c r="A6503" s="2" t="s">
        <v>148</v>
      </c>
      <c r="B6503" s="2" t="s">
        <v>64</v>
      </c>
      <c r="C6503" s="2">
        <v>6.2182099999999997E-2</v>
      </c>
      <c r="D6503" s="60">
        <v>1.8654599999999999</v>
      </c>
      <c r="E6503" s="2">
        <v>13</v>
      </c>
      <c r="F6503" s="2">
        <v>3.6</v>
      </c>
      <c r="G6503" s="2">
        <v>13.104200000000001</v>
      </c>
      <c r="H6503" s="2">
        <v>16.413599999999999</v>
      </c>
      <c r="I6503" s="2">
        <v>0</v>
      </c>
      <c r="J6503" s="2">
        <v>0</v>
      </c>
    </row>
    <row r="6504" spans="1:10">
      <c r="A6504" s="2" t="s">
        <v>148</v>
      </c>
      <c r="B6504" s="2" t="s">
        <v>64</v>
      </c>
      <c r="C6504" s="2">
        <v>9.0223300000000006E-2</v>
      </c>
      <c r="D6504" s="60">
        <v>2.7067000000000001</v>
      </c>
      <c r="E6504" s="2">
        <v>9.4</v>
      </c>
      <c r="F6504" s="2">
        <v>3.6</v>
      </c>
      <c r="G6504" s="2">
        <v>16.413599999999999</v>
      </c>
      <c r="H6504" s="2">
        <v>19.1816</v>
      </c>
      <c r="I6504" s="2">
        <v>0</v>
      </c>
      <c r="J6504" s="2">
        <v>0</v>
      </c>
    </row>
    <row r="6505" spans="1:10">
      <c r="A6505" s="2" t="s">
        <v>148</v>
      </c>
      <c r="B6505" s="2" t="s">
        <v>101</v>
      </c>
      <c r="C6505" s="2">
        <v>8.7625900000000007E-3</v>
      </c>
      <c r="D6505" s="60">
        <v>0</v>
      </c>
      <c r="E6505" s="2">
        <v>9.1</v>
      </c>
      <c r="F6505" s="2">
        <v>0.3</v>
      </c>
      <c r="G6505" s="2">
        <v>19.1816</v>
      </c>
      <c r="H6505" s="2">
        <v>19.386800000000001</v>
      </c>
      <c r="I6505" s="2">
        <v>0</v>
      </c>
      <c r="J6505" s="2">
        <v>0</v>
      </c>
    </row>
    <row r="6506" spans="1:10">
      <c r="A6506" s="2" t="s">
        <v>138</v>
      </c>
      <c r="B6506" s="2">
        <v>17</v>
      </c>
      <c r="C6506" s="2">
        <v>19.805</v>
      </c>
      <c r="D6506" s="60" t="s">
        <v>149</v>
      </c>
    </row>
    <row r="6507" spans="1:10">
      <c r="A6507" s="2" t="s">
        <v>140</v>
      </c>
      <c r="B6507" s="2">
        <v>0</v>
      </c>
      <c r="C6507" s="2">
        <v>70.797600000000003</v>
      </c>
      <c r="D6507" s="60">
        <v>30.0061</v>
      </c>
    </row>
    <row r="6508" spans="1:10">
      <c r="A6508" s="2" t="s">
        <v>141</v>
      </c>
      <c r="B6508" s="2">
        <v>0</v>
      </c>
      <c r="C6508" s="2">
        <v>1.4</v>
      </c>
      <c r="D6508" s="60" t="s">
        <v>155</v>
      </c>
    </row>
    <row r="6509" spans="1:10">
      <c r="A6509" s="2" t="s">
        <v>141</v>
      </c>
      <c r="B6509" s="2">
        <v>0</v>
      </c>
      <c r="C6509" s="2">
        <v>6.8</v>
      </c>
      <c r="D6509" s="60" t="s">
        <v>142</v>
      </c>
    </row>
    <row r="6510" spans="1:10">
      <c r="A6510" s="2" t="s">
        <v>141</v>
      </c>
      <c r="B6510" s="2">
        <v>1.4</v>
      </c>
      <c r="C6510" s="2">
        <v>5.6</v>
      </c>
      <c r="D6510" s="60" t="s">
        <v>146</v>
      </c>
    </row>
    <row r="6511" spans="1:10">
      <c r="A6511" s="2" t="s">
        <v>141</v>
      </c>
      <c r="B6511" s="2">
        <v>5.6</v>
      </c>
      <c r="C6511" s="2">
        <v>6.8</v>
      </c>
      <c r="D6511" s="60" t="s">
        <v>155</v>
      </c>
    </row>
    <row r="6512" spans="1:10">
      <c r="A6512" s="2" t="s">
        <v>141</v>
      </c>
      <c r="B6512" s="2">
        <v>6.8</v>
      </c>
      <c r="C6512" s="2">
        <v>7.6</v>
      </c>
      <c r="D6512" s="60" t="s">
        <v>147</v>
      </c>
    </row>
    <row r="6513" spans="1:10">
      <c r="A6513" s="2" t="s">
        <v>141</v>
      </c>
      <c r="B6513" s="2">
        <v>6.8</v>
      </c>
      <c r="C6513" s="2">
        <v>7.6</v>
      </c>
      <c r="D6513" s="60" t="s">
        <v>159</v>
      </c>
    </row>
    <row r="6514" spans="1:10">
      <c r="A6514" s="2" t="s">
        <v>141</v>
      </c>
      <c r="B6514" s="2">
        <v>7.6</v>
      </c>
      <c r="C6514" s="2">
        <v>13.8</v>
      </c>
      <c r="D6514" s="60" t="s">
        <v>151</v>
      </c>
    </row>
    <row r="6515" spans="1:10">
      <c r="A6515" s="2" t="s">
        <v>141</v>
      </c>
      <c r="B6515" s="2">
        <v>7.6</v>
      </c>
      <c r="C6515" s="2">
        <v>22.785599999999999</v>
      </c>
      <c r="D6515" s="60" t="s">
        <v>155</v>
      </c>
    </row>
    <row r="6516" spans="1:10">
      <c r="A6516" s="2" t="s">
        <v>141</v>
      </c>
      <c r="B6516" s="2">
        <v>13.8</v>
      </c>
      <c r="C6516" s="2">
        <v>22.785599999999999</v>
      </c>
      <c r="D6516" s="60" t="s">
        <v>145</v>
      </c>
    </row>
    <row r="6517" spans="1:10">
      <c r="A6517" s="2" t="s">
        <v>148</v>
      </c>
      <c r="B6517" s="2" t="s">
        <v>99</v>
      </c>
      <c r="C6517" s="2">
        <v>0.112994</v>
      </c>
      <c r="D6517" s="60">
        <v>0</v>
      </c>
      <c r="E6517" s="2">
        <v>0</v>
      </c>
      <c r="F6517" s="2">
        <v>0.3</v>
      </c>
      <c r="G6517" s="2">
        <v>67.781800000000004</v>
      </c>
      <c r="H6517" s="2">
        <v>70.8202</v>
      </c>
      <c r="I6517" s="2">
        <v>0</v>
      </c>
      <c r="J6517" s="2">
        <v>0</v>
      </c>
    </row>
    <row r="6518" spans="1:10">
      <c r="A6518" s="2" t="s">
        <v>148</v>
      </c>
      <c r="B6518" s="2" t="s">
        <v>100</v>
      </c>
      <c r="C6518" s="2">
        <v>1.06479E-2</v>
      </c>
      <c r="D6518" s="60">
        <v>0</v>
      </c>
      <c r="E6518" s="2">
        <v>27.0762</v>
      </c>
      <c r="F6518" s="2">
        <v>2.9298999999999999</v>
      </c>
      <c r="G6518" s="2">
        <v>0</v>
      </c>
      <c r="H6518" s="2">
        <v>10.0001</v>
      </c>
      <c r="I6518" s="2">
        <v>0</v>
      </c>
      <c r="J6518" s="2">
        <v>0</v>
      </c>
    </row>
    <row r="6519" spans="1:10">
      <c r="A6519" s="2" t="s">
        <v>148</v>
      </c>
      <c r="B6519" s="2" t="s">
        <v>98</v>
      </c>
      <c r="C6519" s="2">
        <v>0.97662700000000002</v>
      </c>
      <c r="D6519" s="60">
        <v>0</v>
      </c>
      <c r="E6519" s="2">
        <v>12.063000000000001</v>
      </c>
      <c r="F6519" s="2">
        <v>15.013199999999999</v>
      </c>
      <c r="G6519" s="2">
        <v>10.0001</v>
      </c>
      <c r="H6519" s="2">
        <v>43.128</v>
      </c>
      <c r="I6519" s="2">
        <v>0</v>
      </c>
      <c r="J6519" s="2">
        <v>0</v>
      </c>
    </row>
    <row r="6520" spans="1:10">
      <c r="A6520" s="2" t="s">
        <v>148</v>
      </c>
      <c r="B6520" s="2" t="s">
        <v>101</v>
      </c>
      <c r="C6520" s="2">
        <v>6.8931199999999998E-2</v>
      </c>
      <c r="D6520" s="60">
        <v>0</v>
      </c>
      <c r="E6520" s="2">
        <v>11.6</v>
      </c>
      <c r="F6520" s="2">
        <v>0.46301399999999998</v>
      </c>
      <c r="G6520" s="2">
        <v>43.128</v>
      </c>
      <c r="H6520" s="2">
        <v>43.942799999999998</v>
      </c>
      <c r="I6520" s="2">
        <v>0</v>
      </c>
      <c r="J6520" s="2">
        <v>0</v>
      </c>
    </row>
    <row r="6521" spans="1:10">
      <c r="A6521" s="2" t="s">
        <v>148</v>
      </c>
      <c r="B6521" s="2" t="s">
        <v>62</v>
      </c>
      <c r="C6521" s="2">
        <v>0.70001899999999995</v>
      </c>
      <c r="D6521" s="60">
        <v>56.0015</v>
      </c>
      <c r="E6521" s="2">
        <v>7.6</v>
      </c>
      <c r="F6521" s="2">
        <v>4</v>
      </c>
      <c r="G6521" s="2">
        <v>43.942799999999998</v>
      </c>
      <c r="H6521" s="2">
        <v>50.166499999999999</v>
      </c>
      <c r="I6521" s="2">
        <v>0</v>
      </c>
      <c r="J6521" s="2">
        <v>0</v>
      </c>
    </row>
    <row r="6522" spans="1:10">
      <c r="A6522" s="2" t="s">
        <v>148</v>
      </c>
      <c r="B6522" s="2" t="s">
        <v>101</v>
      </c>
      <c r="C6522" s="2">
        <v>0.461256</v>
      </c>
      <c r="D6522" s="60">
        <v>0</v>
      </c>
      <c r="E6522" s="2">
        <v>5.4</v>
      </c>
      <c r="F6522" s="2">
        <v>2.2000000000000002</v>
      </c>
      <c r="G6522" s="2">
        <v>50.166499999999999</v>
      </c>
      <c r="H6522" s="2">
        <v>53.125700000000002</v>
      </c>
      <c r="I6522" s="2">
        <v>0</v>
      </c>
      <c r="J6522" s="2">
        <v>0</v>
      </c>
    </row>
    <row r="6523" spans="1:10">
      <c r="A6523" s="2" t="s">
        <v>148</v>
      </c>
      <c r="B6523" s="2" t="s">
        <v>55</v>
      </c>
      <c r="C6523" s="2">
        <v>0.99626599999999998</v>
      </c>
      <c r="D6523" s="60">
        <v>144.459</v>
      </c>
      <c r="E6523" s="2">
        <v>1.4</v>
      </c>
      <c r="F6523" s="2">
        <v>4</v>
      </c>
      <c r="G6523" s="2">
        <v>53.125700000000002</v>
      </c>
      <c r="H6523" s="2">
        <v>60.942799999999998</v>
      </c>
      <c r="I6523" s="2">
        <v>0</v>
      </c>
      <c r="J6523" s="2">
        <v>0</v>
      </c>
    </row>
    <row r="6524" spans="1:10">
      <c r="A6524" s="2" t="s">
        <v>148</v>
      </c>
      <c r="B6524" s="2" t="s">
        <v>101</v>
      </c>
      <c r="C6524" s="2">
        <v>0.35325699999999999</v>
      </c>
      <c r="D6524" s="60">
        <v>0</v>
      </c>
      <c r="E6524" s="2">
        <v>0.3</v>
      </c>
      <c r="F6524" s="2">
        <v>1.1000000000000001</v>
      </c>
      <c r="G6524" s="2">
        <v>60.942799999999998</v>
      </c>
      <c r="H6524" s="2">
        <v>67.781800000000004</v>
      </c>
      <c r="I6524" s="2">
        <v>0</v>
      </c>
      <c r="J6524" s="2">
        <v>0</v>
      </c>
    </row>
    <row r="6525" spans="1:10">
      <c r="A6525" s="2" t="s">
        <v>138</v>
      </c>
      <c r="B6525" s="2">
        <v>18</v>
      </c>
      <c r="C6525" s="2">
        <v>18.695599999999999</v>
      </c>
      <c r="D6525" s="60" t="s">
        <v>139</v>
      </c>
    </row>
    <row r="6526" spans="1:10">
      <c r="A6526" s="2" t="s">
        <v>140</v>
      </c>
      <c r="B6526" s="2">
        <v>0</v>
      </c>
      <c r="C6526" s="2">
        <v>37.8553</v>
      </c>
      <c r="D6526" s="60">
        <v>28.6252</v>
      </c>
    </row>
    <row r="6527" spans="1:10">
      <c r="A6527" s="2" t="s">
        <v>141</v>
      </c>
      <c r="B6527" s="2">
        <v>0</v>
      </c>
      <c r="C6527" s="2">
        <v>4.8</v>
      </c>
      <c r="D6527" s="60" t="s">
        <v>146</v>
      </c>
    </row>
    <row r="6528" spans="1:10">
      <c r="A6528" s="2" t="s">
        <v>141</v>
      </c>
      <c r="B6528" s="2">
        <v>0</v>
      </c>
      <c r="C6528" s="2">
        <v>6.8</v>
      </c>
      <c r="D6528" s="60" t="s">
        <v>142</v>
      </c>
    </row>
    <row r="6529" spans="1:10">
      <c r="A6529" s="2" t="s">
        <v>141</v>
      </c>
      <c r="B6529" s="2">
        <v>4.8</v>
      </c>
      <c r="C6529" s="2">
        <v>6.8</v>
      </c>
      <c r="D6529" s="60" t="s">
        <v>152</v>
      </c>
    </row>
    <row r="6530" spans="1:10">
      <c r="A6530" s="2" t="s">
        <v>141</v>
      </c>
      <c r="B6530" s="2">
        <v>6.8</v>
      </c>
      <c r="C6530" s="2">
        <v>9</v>
      </c>
      <c r="D6530" s="60" t="s">
        <v>145</v>
      </c>
    </row>
    <row r="6531" spans="1:10">
      <c r="A6531" s="2" t="s">
        <v>141</v>
      </c>
      <c r="B6531" s="2">
        <v>6.8</v>
      </c>
      <c r="C6531" s="2">
        <v>12.1</v>
      </c>
      <c r="D6531" s="60" t="s">
        <v>146</v>
      </c>
    </row>
    <row r="6532" spans="1:10">
      <c r="A6532" s="2" t="s">
        <v>141</v>
      </c>
      <c r="B6532" s="2">
        <v>9</v>
      </c>
      <c r="C6532" s="2">
        <v>12.5</v>
      </c>
      <c r="D6532" s="60" t="s">
        <v>147</v>
      </c>
    </row>
    <row r="6533" spans="1:10">
      <c r="A6533" s="2" t="s">
        <v>141</v>
      </c>
      <c r="B6533" s="2">
        <v>12.1</v>
      </c>
      <c r="C6533" s="2">
        <v>12.5</v>
      </c>
      <c r="D6533" s="60" t="s">
        <v>159</v>
      </c>
    </row>
    <row r="6534" spans="1:10">
      <c r="A6534" s="2" t="s">
        <v>141</v>
      </c>
      <c r="B6534" s="2">
        <v>12.5</v>
      </c>
      <c r="C6534" s="2">
        <v>21.8</v>
      </c>
      <c r="D6534" s="60" t="s">
        <v>144</v>
      </c>
    </row>
    <row r="6535" spans="1:10">
      <c r="A6535" s="2" t="s">
        <v>141</v>
      </c>
      <c r="B6535" s="2">
        <v>12.5</v>
      </c>
      <c r="C6535" s="2">
        <v>21.8</v>
      </c>
      <c r="D6535" s="60" t="s">
        <v>155</v>
      </c>
    </row>
    <row r="6536" spans="1:10">
      <c r="A6536" s="2" t="s">
        <v>148</v>
      </c>
      <c r="B6536" s="2" t="s">
        <v>99</v>
      </c>
      <c r="C6536" s="2">
        <v>3.6718199999999999E-2</v>
      </c>
      <c r="D6536" s="60">
        <v>0</v>
      </c>
      <c r="E6536" s="2">
        <v>0</v>
      </c>
      <c r="F6536" s="2">
        <v>0.3</v>
      </c>
      <c r="G6536" s="2">
        <v>38.603700000000003</v>
      </c>
      <c r="H6536" s="2">
        <v>40.411799999999999</v>
      </c>
      <c r="I6536" s="2">
        <v>0</v>
      </c>
      <c r="J6536" s="2">
        <v>0</v>
      </c>
    </row>
    <row r="6537" spans="1:10">
      <c r="A6537" s="2" t="s">
        <v>148</v>
      </c>
      <c r="B6537" s="2" t="s">
        <v>100</v>
      </c>
      <c r="C6537" s="2">
        <v>1.90917E-2</v>
      </c>
      <c r="D6537" s="60">
        <v>0</v>
      </c>
      <c r="E6537" s="2">
        <v>22.631</v>
      </c>
      <c r="F6537" s="2">
        <v>5.9942000000000002</v>
      </c>
      <c r="G6537" s="2">
        <v>0</v>
      </c>
      <c r="H6537" s="2">
        <v>10</v>
      </c>
      <c r="I6537" s="2">
        <v>0</v>
      </c>
      <c r="J6537" s="2">
        <v>0</v>
      </c>
    </row>
    <row r="6538" spans="1:10">
      <c r="A6538" s="2" t="s">
        <v>148</v>
      </c>
      <c r="B6538" s="2" t="s">
        <v>98</v>
      </c>
      <c r="C6538" s="2">
        <v>0.11706800000000001</v>
      </c>
      <c r="D6538" s="60">
        <v>0</v>
      </c>
      <c r="E6538" s="2">
        <v>15.9535</v>
      </c>
      <c r="F6538" s="2">
        <v>6.67746</v>
      </c>
      <c r="G6538" s="2">
        <v>10</v>
      </c>
      <c r="H6538" s="2">
        <v>19.296900000000001</v>
      </c>
      <c r="I6538" s="2">
        <v>0</v>
      </c>
      <c r="J6538" s="2">
        <v>0</v>
      </c>
    </row>
    <row r="6539" spans="1:10">
      <c r="A6539" s="2" t="s">
        <v>148</v>
      </c>
      <c r="B6539" s="2" t="s">
        <v>101</v>
      </c>
      <c r="C6539" s="2">
        <v>0.143072</v>
      </c>
      <c r="D6539" s="60">
        <v>0</v>
      </c>
      <c r="E6539" s="2">
        <v>12.1</v>
      </c>
      <c r="F6539" s="2">
        <v>3.8534899999999999</v>
      </c>
      <c r="G6539" s="2">
        <v>19.296900000000001</v>
      </c>
      <c r="H6539" s="2">
        <v>23.968</v>
      </c>
      <c r="I6539" s="2">
        <v>0</v>
      </c>
      <c r="J6539" s="2">
        <v>0</v>
      </c>
    </row>
    <row r="6540" spans="1:10">
      <c r="A6540" s="2" t="s">
        <v>148</v>
      </c>
      <c r="B6540" s="2" t="s">
        <v>63</v>
      </c>
      <c r="C6540" s="2">
        <v>0.21297199999999999</v>
      </c>
      <c r="D6540" s="60">
        <v>14.907999999999999</v>
      </c>
      <c r="E6540" s="2">
        <v>8.1</v>
      </c>
      <c r="F6540" s="2">
        <v>4</v>
      </c>
      <c r="G6540" s="2">
        <v>23.968</v>
      </c>
      <c r="H6540" s="2">
        <v>27.901399999999999</v>
      </c>
      <c r="I6540" s="2">
        <v>0</v>
      </c>
      <c r="J6540" s="2">
        <v>0</v>
      </c>
    </row>
    <row r="6541" spans="1:10">
      <c r="A6541" s="2" t="s">
        <v>148</v>
      </c>
      <c r="B6541" s="2" t="s">
        <v>64</v>
      </c>
      <c r="C6541" s="2">
        <v>0.25945099999999999</v>
      </c>
      <c r="D6541" s="60">
        <v>7.7835400000000003</v>
      </c>
      <c r="E6541" s="2">
        <v>4.3</v>
      </c>
      <c r="F6541" s="2">
        <v>3.8</v>
      </c>
      <c r="G6541" s="2">
        <v>27.901399999999999</v>
      </c>
      <c r="H6541" s="2">
        <v>30.997599999999998</v>
      </c>
      <c r="I6541" s="2">
        <v>0</v>
      </c>
      <c r="J6541" s="2">
        <v>0</v>
      </c>
    </row>
    <row r="6542" spans="1:10">
      <c r="A6542" s="2" t="s">
        <v>148</v>
      </c>
      <c r="B6542" s="2" t="s">
        <v>59</v>
      </c>
      <c r="C6542" s="2">
        <v>0.35473700000000002</v>
      </c>
      <c r="D6542" s="60">
        <v>35.473700000000001</v>
      </c>
      <c r="E6542" s="2">
        <v>0.3</v>
      </c>
      <c r="F6542" s="2">
        <v>4</v>
      </c>
      <c r="G6542" s="2">
        <v>30.997599999999998</v>
      </c>
      <c r="H6542" s="2">
        <v>38.603700000000003</v>
      </c>
      <c r="I6542" s="2">
        <v>0</v>
      </c>
      <c r="J6542" s="2">
        <v>0</v>
      </c>
    </row>
    <row r="6543" spans="1:10">
      <c r="A6543" s="2" t="s">
        <v>130</v>
      </c>
      <c r="B6543" s="2" t="s">
        <v>131</v>
      </c>
      <c r="C6543" s="2" t="s">
        <v>274</v>
      </c>
      <c r="D6543" s="60" t="s">
        <v>133</v>
      </c>
      <c r="E6543" s="2">
        <v>12</v>
      </c>
      <c r="F6543" s="2">
        <v>2016</v>
      </c>
    </row>
    <row r="6544" spans="1:10">
      <c r="A6544" s="2" t="s">
        <v>134</v>
      </c>
      <c r="B6544" s="2" t="s">
        <v>84</v>
      </c>
      <c r="C6544" s="2">
        <v>28</v>
      </c>
      <c r="D6544" s="60" t="s">
        <v>135</v>
      </c>
      <c r="E6544" s="2" t="s">
        <v>187</v>
      </c>
      <c r="F6544" s="2" t="s">
        <v>233</v>
      </c>
    </row>
    <row r="6545" spans="1:10">
      <c r="A6545" s="2" t="s">
        <v>138</v>
      </c>
      <c r="B6545" s="2">
        <v>1</v>
      </c>
      <c r="C6545" s="2">
        <v>19.657</v>
      </c>
      <c r="D6545" s="60" t="s">
        <v>149</v>
      </c>
    </row>
    <row r="6546" spans="1:10">
      <c r="A6546" s="2" t="s">
        <v>140</v>
      </c>
      <c r="B6546" s="2">
        <v>0</v>
      </c>
      <c r="C6546" s="2">
        <v>56.0259</v>
      </c>
      <c r="D6546" s="60">
        <v>28.264500000000002</v>
      </c>
    </row>
    <row r="6547" spans="1:10">
      <c r="A6547" s="2" t="s">
        <v>141</v>
      </c>
      <c r="B6547" s="2">
        <v>0</v>
      </c>
      <c r="C6547" s="2">
        <v>3.5</v>
      </c>
      <c r="D6547" s="60" t="s">
        <v>142</v>
      </c>
    </row>
    <row r="6548" spans="1:10">
      <c r="A6548" s="2" t="s">
        <v>141</v>
      </c>
      <c r="B6548" s="2">
        <v>0</v>
      </c>
      <c r="C6548" s="2">
        <v>3.5</v>
      </c>
      <c r="D6548" s="60" t="s">
        <v>146</v>
      </c>
    </row>
    <row r="6549" spans="1:10">
      <c r="A6549" s="2" t="s">
        <v>141</v>
      </c>
      <c r="B6549" s="2">
        <v>0</v>
      </c>
      <c r="C6549" s="2">
        <v>3.5</v>
      </c>
      <c r="D6549" s="60" t="s">
        <v>158</v>
      </c>
    </row>
    <row r="6550" spans="1:10">
      <c r="A6550" s="2" t="s">
        <v>141</v>
      </c>
      <c r="B6550" s="2">
        <v>3.5</v>
      </c>
      <c r="C6550" s="2">
        <v>4</v>
      </c>
      <c r="D6550" s="60" t="s">
        <v>151</v>
      </c>
    </row>
    <row r="6551" spans="1:10">
      <c r="A6551" s="2" t="s">
        <v>141</v>
      </c>
      <c r="B6551" s="2">
        <v>3.5</v>
      </c>
      <c r="C6551" s="2">
        <v>4</v>
      </c>
      <c r="D6551" s="60" t="s">
        <v>152</v>
      </c>
    </row>
    <row r="6552" spans="1:10">
      <c r="A6552" s="2" t="s">
        <v>141</v>
      </c>
      <c r="B6552" s="2">
        <v>3.5</v>
      </c>
      <c r="C6552" s="2">
        <v>4</v>
      </c>
      <c r="D6552" s="60" t="s">
        <v>178</v>
      </c>
    </row>
    <row r="6553" spans="1:10">
      <c r="A6553" s="2" t="s">
        <v>141</v>
      </c>
      <c r="B6553" s="2">
        <v>4</v>
      </c>
      <c r="C6553" s="2">
        <v>10.3</v>
      </c>
      <c r="D6553" s="60" t="s">
        <v>144</v>
      </c>
    </row>
    <row r="6554" spans="1:10">
      <c r="A6554" s="2" t="s">
        <v>141</v>
      </c>
      <c r="B6554" s="2">
        <v>4</v>
      </c>
      <c r="C6554" s="2">
        <v>21.5442</v>
      </c>
      <c r="D6554" s="60" t="s">
        <v>146</v>
      </c>
    </row>
    <row r="6555" spans="1:10">
      <c r="A6555" s="2" t="s">
        <v>141</v>
      </c>
      <c r="B6555" s="2">
        <v>10.3</v>
      </c>
      <c r="C6555" s="2">
        <v>15.3</v>
      </c>
      <c r="D6555" s="60" t="s">
        <v>145</v>
      </c>
    </row>
    <row r="6556" spans="1:10">
      <c r="A6556" s="2" t="s">
        <v>141</v>
      </c>
      <c r="B6556" s="2">
        <v>15.3</v>
      </c>
      <c r="C6556" s="2">
        <v>21.5442</v>
      </c>
      <c r="D6556" s="60" t="s">
        <v>144</v>
      </c>
    </row>
    <row r="6557" spans="1:10">
      <c r="A6557" s="2" t="s">
        <v>148</v>
      </c>
      <c r="B6557" s="2" t="s">
        <v>99</v>
      </c>
      <c r="C6557" s="2">
        <v>7.4032100000000003E-2</v>
      </c>
      <c r="D6557" s="60">
        <v>0</v>
      </c>
      <c r="E6557" s="2">
        <v>0</v>
      </c>
      <c r="F6557" s="2">
        <v>0.3</v>
      </c>
      <c r="G6557" s="2">
        <v>54.801000000000002</v>
      </c>
      <c r="H6557" s="2">
        <v>57.398200000000003</v>
      </c>
      <c r="I6557" s="2">
        <v>0</v>
      </c>
      <c r="J6557" s="2">
        <v>0</v>
      </c>
    </row>
    <row r="6558" spans="1:10">
      <c r="A6558" s="2" t="s">
        <v>148</v>
      </c>
      <c r="B6558" s="2" t="s">
        <v>100</v>
      </c>
      <c r="C6558" s="2">
        <v>1.3073100000000001E-2</v>
      </c>
      <c r="D6558" s="60">
        <v>0</v>
      </c>
      <c r="E6558" s="2">
        <v>24.500399999999999</v>
      </c>
      <c r="F6558" s="2">
        <v>3.7640500000000001</v>
      </c>
      <c r="G6558" s="2">
        <v>0</v>
      </c>
      <c r="H6558" s="2">
        <v>10</v>
      </c>
      <c r="I6558" s="2">
        <v>0</v>
      </c>
      <c r="J6558" s="2">
        <v>0</v>
      </c>
    </row>
    <row r="6559" spans="1:10">
      <c r="A6559" s="2" t="s">
        <v>148</v>
      </c>
      <c r="B6559" s="2" t="s">
        <v>98</v>
      </c>
      <c r="C6559" s="2">
        <v>0.145979</v>
      </c>
      <c r="D6559" s="60">
        <v>0</v>
      </c>
      <c r="E6559" s="2">
        <v>17.986799999999999</v>
      </c>
      <c r="F6559" s="2">
        <v>6.5136200000000004</v>
      </c>
      <c r="G6559" s="2">
        <v>10</v>
      </c>
      <c r="H6559" s="2">
        <v>23.050599999999999</v>
      </c>
      <c r="I6559" s="2">
        <v>0</v>
      </c>
      <c r="J6559" s="2">
        <v>0</v>
      </c>
    </row>
    <row r="6560" spans="1:10">
      <c r="A6560" s="2" t="s">
        <v>148</v>
      </c>
      <c r="B6560" s="2" t="s">
        <v>101</v>
      </c>
      <c r="C6560" s="2">
        <v>9.7812300000000005E-2</v>
      </c>
      <c r="D6560" s="60">
        <v>0</v>
      </c>
      <c r="E6560" s="2">
        <v>16</v>
      </c>
      <c r="F6560" s="2">
        <v>1.98681</v>
      </c>
      <c r="G6560" s="2">
        <v>23.050599999999999</v>
      </c>
      <c r="H6560" s="2">
        <v>26.939</v>
      </c>
      <c r="I6560" s="2">
        <v>0</v>
      </c>
      <c r="J6560" s="2">
        <v>0</v>
      </c>
    </row>
    <row r="6561" spans="1:10">
      <c r="A6561" s="2" t="s">
        <v>148</v>
      </c>
      <c r="B6561" s="2" t="s">
        <v>60</v>
      </c>
      <c r="C6561" s="2">
        <v>0.29458099999999998</v>
      </c>
      <c r="D6561" s="60">
        <v>26.5123</v>
      </c>
      <c r="E6561" s="2">
        <v>12</v>
      </c>
      <c r="F6561" s="2">
        <v>4</v>
      </c>
      <c r="G6561" s="2">
        <v>26.939</v>
      </c>
      <c r="H6561" s="2">
        <v>33.959200000000003</v>
      </c>
      <c r="I6561" s="2">
        <v>0</v>
      </c>
      <c r="J6561" s="2">
        <v>0</v>
      </c>
    </row>
    <row r="6562" spans="1:10">
      <c r="A6562" s="2" t="s">
        <v>148</v>
      </c>
      <c r="B6562" s="2" t="s">
        <v>59</v>
      </c>
      <c r="C6562" s="2">
        <v>0.428734</v>
      </c>
      <c r="D6562" s="60">
        <v>42.873399999999997</v>
      </c>
      <c r="E6562" s="2">
        <v>8</v>
      </c>
      <c r="F6562" s="2">
        <v>4</v>
      </c>
      <c r="G6562" s="2">
        <v>33.959200000000003</v>
      </c>
      <c r="H6562" s="2">
        <v>39.6267</v>
      </c>
      <c r="I6562" s="2">
        <v>0</v>
      </c>
      <c r="J6562" s="2">
        <v>0</v>
      </c>
    </row>
    <row r="6563" spans="1:10">
      <c r="A6563" s="2" t="s">
        <v>148</v>
      </c>
      <c r="B6563" s="2" t="s">
        <v>59</v>
      </c>
      <c r="C6563" s="2">
        <v>0.55473499999999998</v>
      </c>
      <c r="D6563" s="60">
        <v>55.473500000000001</v>
      </c>
      <c r="E6563" s="2">
        <v>4</v>
      </c>
      <c r="F6563" s="2">
        <v>4</v>
      </c>
      <c r="G6563" s="2">
        <v>39.6267</v>
      </c>
      <c r="H6563" s="2">
        <v>44.320599999999999</v>
      </c>
      <c r="I6563" s="2">
        <v>0</v>
      </c>
      <c r="J6563" s="2">
        <v>0</v>
      </c>
    </row>
    <row r="6564" spans="1:10">
      <c r="A6564" s="2" t="s">
        <v>148</v>
      </c>
      <c r="B6564" s="2" t="s">
        <v>64</v>
      </c>
      <c r="C6564" s="2">
        <v>0.66804600000000003</v>
      </c>
      <c r="D6564" s="60">
        <v>20.041399999999999</v>
      </c>
      <c r="E6564" s="2">
        <v>0.3</v>
      </c>
      <c r="F6564" s="2">
        <v>3.7</v>
      </c>
      <c r="G6564" s="2">
        <v>44.320599999999999</v>
      </c>
      <c r="H6564" s="2">
        <v>54.801000000000002</v>
      </c>
      <c r="I6564" s="2">
        <v>0</v>
      </c>
      <c r="J6564" s="2">
        <v>0</v>
      </c>
    </row>
    <row r="6565" spans="1:10">
      <c r="A6565" s="2" t="s">
        <v>138</v>
      </c>
      <c r="B6565" s="2">
        <v>2</v>
      </c>
      <c r="C6565" s="2">
        <v>18.700900000000001</v>
      </c>
      <c r="D6565" s="60" t="s">
        <v>149</v>
      </c>
    </row>
    <row r="6566" spans="1:10">
      <c r="A6566" s="2" t="s">
        <v>140</v>
      </c>
      <c r="B6566" s="2">
        <v>0</v>
      </c>
      <c r="C6566" s="2">
        <v>37.518500000000003</v>
      </c>
      <c r="D6566" s="60">
        <v>25.375499999999999</v>
      </c>
    </row>
    <row r="6567" spans="1:10">
      <c r="A6567" s="2" t="s">
        <v>141</v>
      </c>
      <c r="B6567" s="2">
        <v>0</v>
      </c>
      <c r="C6567" s="2">
        <v>4.3</v>
      </c>
      <c r="D6567" s="60" t="s">
        <v>142</v>
      </c>
    </row>
    <row r="6568" spans="1:10">
      <c r="A6568" s="2" t="s">
        <v>141</v>
      </c>
      <c r="B6568" s="2">
        <v>0</v>
      </c>
      <c r="C6568" s="2">
        <v>5</v>
      </c>
      <c r="D6568" s="60" t="s">
        <v>146</v>
      </c>
    </row>
    <row r="6569" spans="1:10">
      <c r="A6569" s="2" t="s">
        <v>141</v>
      </c>
      <c r="B6569" s="2">
        <v>0</v>
      </c>
      <c r="C6569" s="2">
        <v>5</v>
      </c>
      <c r="D6569" s="60" t="s">
        <v>158</v>
      </c>
    </row>
    <row r="6570" spans="1:10">
      <c r="A6570" s="2" t="s">
        <v>141</v>
      </c>
      <c r="B6570" s="2">
        <v>4.3</v>
      </c>
      <c r="C6570" s="2">
        <v>5</v>
      </c>
      <c r="D6570" s="60" t="s">
        <v>145</v>
      </c>
    </row>
    <row r="6571" spans="1:10">
      <c r="A6571" s="2" t="s">
        <v>141</v>
      </c>
      <c r="B6571" s="2">
        <v>5</v>
      </c>
      <c r="C6571" s="2">
        <v>5.5</v>
      </c>
      <c r="D6571" s="60" t="s">
        <v>151</v>
      </c>
    </row>
    <row r="6572" spans="1:10">
      <c r="A6572" s="2" t="s">
        <v>141</v>
      </c>
      <c r="B6572" s="2">
        <v>5</v>
      </c>
      <c r="C6572" s="2">
        <v>5.5</v>
      </c>
      <c r="D6572" s="60" t="s">
        <v>177</v>
      </c>
    </row>
    <row r="6573" spans="1:10">
      <c r="A6573" s="2" t="s">
        <v>141</v>
      </c>
      <c r="B6573" s="2">
        <v>5</v>
      </c>
      <c r="C6573" s="2">
        <v>6</v>
      </c>
      <c r="D6573" s="60" t="s">
        <v>159</v>
      </c>
    </row>
    <row r="6574" spans="1:10">
      <c r="A6574" s="2" t="s">
        <v>141</v>
      </c>
      <c r="B6574" s="2">
        <v>5.5</v>
      </c>
      <c r="C6574" s="2">
        <v>7</v>
      </c>
      <c r="D6574" s="60" t="s">
        <v>145</v>
      </c>
    </row>
    <row r="6575" spans="1:10">
      <c r="A6575" s="2" t="s">
        <v>141</v>
      </c>
      <c r="B6575" s="2">
        <v>5.5</v>
      </c>
      <c r="C6575" s="2">
        <v>9.4</v>
      </c>
      <c r="D6575" s="60" t="s">
        <v>158</v>
      </c>
    </row>
    <row r="6576" spans="1:10">
      <c r="A6576" s="2" t="s">
        <v>141</v>
      </c>
      <c r="B6576" s="2">
        <v>6</v>
      </c>
      <c r="C6576" s="2">
        <v>19.421900000000001</v>
      </c>
      <c r="D6576" s="60" t="s">
        <v>155</v>
      </c>
    </row>
    <row r="6577" spans="1:10">
      <c r="A6577" s="2" t="s">
        <v>141</v>
      </c>
      <c r="B6577" s="2">
        <v>7</v>
      </c>
      <c r="C6577" s="2">
        <v>19.421900000000001</v>
      </c>
      <c r="D6577" s="60" t="s">
        <v>144</v>
      </c>
    </row>
    <row r="6578" spans="1:10">
      <c r="A6578" s="2" t="s">
        <v>141</v>
      </c>
      <c r="B6578" s="2">
        <v>9.4</v>
      </c>
      <c r="C6578" s="2">
        <v>9.9</v>
      </c>
      <c r="D6578" s="60" t="s">
        <v>174</v>
      </c>
    </row>
    <row r="6579" spans="1:10">
      <c r="A6579" s="2" t="s">
        <v>148</v>
      </c>
      <c r="B6579" s="2" t="s">
        <v>99</v>
      </c>
      <c r="C6579" s="2">
        <v>3.5867099999999999E-2</v>
      </c>
      <c r="D6579" s="60">
        <v>0</v>
      </c>
      <c r="E6579" s="2">
        <v>0</v>
      </c>
      <c r="F6579" s="2">
        <v>0.3</v>
      </c>
      <c r="G6579" s="2">
        <v>38.058799999999998</v>
      </c>
      <c r="H6579" s="2">
        <v>40.051699999999997</v>
      </c>
      <c r="I6579" s="2">
        <v>0</v>
      </c>
      <c r="J6579" s="2">
        <v>0</v>
      </c>
    </row>
    <row r="6580" spans="1:10">
      <c r="A6580" s="2" t="s">
        <v>148</v>
      </c>
      <c r="B6580" s="2" t="s">
        <v>100</v>
      </c>
      <c r="C6580" s="2">
        <v>1.7069899999999999E-2</v>
      </c>
      <c r="D6580" s="60">
        <v>0</v>
      </c>
      <c r="E6580" s="2">
        <v>20.0045</v>
      </c>
      <c r="F6580" s="2">
        <v>5.3710000000000004</v>
      </c>
      <c r="G6580" s="2">
        <v>0</v>
      </c>
      <c r="H6580" s="2">
        <v>10</v>
      </c>
      <c r="I6580" s="2">
        <v>0</v>
      </c>
      <c r="J6580" s="2">
        <v>0</v>
      </c>
    </row>
    <row r="6581" spans="1:10">
      <c r="A6581" s="2" t="s">
        <v>148</v>
      </c>
      <c r="B6581" s="2" t="s">
        <v>98</v>
      </c>
      <c r="C6581" s="2">
        <v>2.71495E-2</v>
      </c>
      <c r="D6581" s="60">
        <v>0</v>
      </c>
      <c r="E6581" s="2">
        <v>17.586099999999998</v>
      </c>
      <c r="F6581" s="2">
        <v>2.41838</v>
      </c>
      <c r="G6581" s="2">
        <v>10</v>
      </c>
      <c r="H6581" s="2">
        <v>13.821099999999999</v>
      </c>
      <c r="I6581" s="2">
        <v>0</v>
      </c>
      <c r="J6581" s="2">
        <v>0</v>
      </c>
    </row>
    <row r="6582" spans="1:10">
      <c r="A6582" s="2" t="s">
        <v>148</v>
      </c>
      <c r="B6582" s="2" t="s">
        <v>101</v>
      </c>
      <c r="C6582" s="2">
        <v>3.04759E-2</v>
      </c>
      <c r="D6582" s="60">
        <v>0</v>
      </c>
      <c r="E6582" s="2">
        <v>15.9</v>
      </c>
      <c r="F6582" s="2">
        <v>1.68611</v>
      </c>
      <c r="G6582" s="2">
        <v>13.821099999999999</v>
      </c>
      <c r="H6582" s="2">
        <v>16.469899999999999</v>
      </c>
      <c r="I6582" s="2">
        <v>0</v>
      </c>
      <c r="J6582" s="2">
        <v>0</v>
      </c>
    </row>
    <row r="6583" spans="1:10">
      <c r="A6583" s="2" t="s">
        <v>148</v>
      </c>
      <c r="B6583" s="2" t="s">
        <v>63</v>
      </c>
      <c r="C6583" s="2">
        <v>0.20663100000000001</v>
      </c>
      <c r="D6583" s="60">
        <v>14.4641</v>
      </c>
      <c r="E6583" s="2">
        <v>9.9</v>
      </c>
      <c r="F6583" s="2">
        <v>6</v>
      </c>
      <c r="G6583" s="2">
        <v>16.469899999999999</v>
      </c>
      <c r="H6583" s="2">
        <v>24.746400000000001</v>
      </c>
      <c r="I6583" s="2">
        <v>0</v>
      </c>
      <c r="J6583" s="2">
        <v>0</v>
      </c>
    </row>
    <row r="6584" spans="1:10">
      <c r="A6584" s="2" t="s">
        <v>148</v>
      </c>
      <c r="B6584" s="2" t="s">
        <v>101</v>
      </c>
      <c r="C6584" s="2">
        <v>0.33750799999999997</v>
      </c>
      <c r="D6584" s="60">
        <v>0</v>
      </c>
      <c r="E6584" s="2">
        <v>4.3</v>
      </c>
      <c r="F6584" s="2">
        <v>5.6</v>
      </c>
      <c r="G6584" s="2">
        <v>24.746400000000001</v>
      </c>
      <c r="H6584" s="2">
        <v>30.281199999999998</v>
      </c>
      <c r="I6584" s="2">
        <v>0</v>
      </c>
      <c r="J6584" s="2">
        <v>0</v>
      </c>
    </row>
    <row r="6585" spans="1:10">
      <c r="A6585" s="2" t="s">
        <v>148</v>
      </c>
      <c r="B6585" s="2" t="s">
        <v>59</v>
      </c>
      <c r="C6585" s="2">
        <v>0.34065699999999999</v>
      </c>
      <c r="D6585" s="60">
        <v>34.0657</v>
      </c>
      <c r="E6585" s="2">
        <v>0.3</v>
      </c>
      <c r="F6585" s="2">
        <v>4</v>
      </c>
      <c r="G6585" s="2">
        <v>30.281199999999998</v>
      </c>
      <c r="H6585" s="2">
        <v>38.058799999999998</v>
      </c>
      <c r="I6585" s="2">
        <v>0</v>
      </c>
      <c r="J6585" s="2">
        <v>0</v>
      </c>
    </row>
    <row r="6586" spans="1:10">
      <c r="A6586" s="2" t="s">
        <v>138</v>
      </c>
      <c r="B6586" s="2">
        <v>3</v>
      </c>
      <c r="C6586" s="2">
        <v>19.395499999999998</v>
      </c>
      <c r="D6586" s="60" t="s">
        <v>139</v>
      </c>
    </row>
    <row r="6587" spans="1:10">
      <c r="A6587" s="2" t="s">
        <v>140</v>
      </c>
      <c r="B6587" s="2">
        <v>0</v>
      </c>
      <c r="C6587" s="2">
        <v>48.887599999999999</v>
      </c>
      <c r="D6587" s="60">
        <v>25.617899999999999</v>
      </c>
    </row>
    <row r="6588" spans="1:10">
      <c r="A6588" s="2" t="s">
        <v>141</v>
      </c>
      <c r="B6588" s="2">
        <v>0</v>
      </c>
      <c r="C6588" s="2">
        <v>4.0999999999999996</v>
      </c>
      <c r="D6588" s="60" t="s">
        <v>142</v>
      </c>
    </row>
    <row r="6589" spans="1:10">
      <c r="A6589" s="2" t="s">
        <v>141</v>
      </c>
      <c r="B6589" s="2">
        <v>0</v>
      </c>
      <c r="C6589" s="2">
        <v>6.6</v>
      </c>
      <c r="D6589" s="60" t="s">
        <v>146</v>
      </c>
    </row>
    <row r="6590" spans="1:10">
      <c r="A6590" s="2" t="s">
        <v>141</v>
      </c>
      <c r="B6590" s="2">
        <v>0</v>
      </c>
      <c r="C6590" s="2">
        <v>6.8</v>
      </c>
      <c r="D6590" s="60" t="s">
        <v>158</v>
      </c>
    </row>
    <row r="6591" spans="1:10">
      <c r="A6591" s="2" t="s">
        <v>141</v>
      </c>
      <c r="B6591" s="2">
        <v>4.0999999999999996</v>
      </c>
      <c r="C6591" s="2">
        <v>5.8</v>
      </c>
      <c r="D6591" s="60" t="s">
        <v>144</v>
      </c>
    </row>
    <row r="6592" spans="1:10">
      <c r="A6592" s="2" t="s">
        <v>141</v>
      </c>
      <c r="B6592" s="2">
        <v>5.8</v>
      </c>
      <c r="C6592" s="2">
        <v>6.8</v>
      </c>
      <c r="D6592" s="60" t="s">
        <v>145</v>
      </c>
    </row>
    <row r="6593" spans="1:10">
      <c r="A6593" s="2" t="s">
        <v>141</v>
      </c>
      <c r="B6593" s="2">
        <v>6.6</v>
      </c>
      <c r="C6593" s="2">
        <v>7</v>
      </c>
      <c r="D6593" s="60" t="s">
        <v>159</v>
      </c>
    </row>
    <row r="6594" spans="1:10">
      <c r="A6594" s="2" t="s">
        <v>141</v>
      </c>
      <c r="B6594" s="2">
        <v>6.8</v>
      </c>
      <c r="C6594" s="2">
        <v>7.2</v>
      </c>
      <c r="D6594" s="60" t="s">
        <v>147</v>
      </c>
    </row>
    <row r="6595" spans="1:10">
      <c r="A6595" s="2" t="s">
        <v>141</v>
      </c>
      <c r="B6595" s="2">
        <v>6.8</v>
      </c>
      <c r="C6595" s="2">
        <v>7.2</v>
      </c>
      <c r="D6595" s="60" t="s">
        <v>160</v>
      </c>
    </row>
    <row r="6596" spans="1:10">
      <c r="A6596" s="2" t="s">
        <v>141</v>
      </c>
      <c r="B6596" s="2">
        <v>7</v>
      </c>
      <c r="C6596" s="2">
        <v>12.1</v>
      </c>
      <c r="D6596" s="60" t="s">
        <v>146</v>
      </c>
    </row>
    <row r="6597" spans="1:10">
      <c r="A6597" s="2" t="s">
        <v>141</v>
      </c>
      <c r="B6597" s="2">
        <v>7.2</v>
      </c>
      <c r="C6597" s="2">
        <v>11.7</v>
      </c>
      <c r="D6597" s="60" t="s">
        <v>145</v>
      </c>
    </row>
    <row r="6598" spans="1:10">
      <c r="A6598" s="2" t="s">
        <v>141</v>
      </c>
      <c r="B6598" s="2">
        <v>7.2</v>
      </c>
      <c r="C6598" s="2">
        <v>11.7</v>
      </c>
      <c r="D6598" s="60" t="s">
        <v>158</v>
      </c>
    </row>
    <row r="6599" spans="1:10">
      <c r="A6599" s="2" t="s">
        <v>141</v>
      </c>
      <c r="B6599" s="2">
        <v>11.7</v>
      </c>
      <c r="C6599" s="2">
        <v>12.1</v>
      </c>
      <c r="D6599" s="60" t="s">
        <v>151</v>
      </c>
    </row>
    <row r="6600" spans="1:10">
      <c r="A6600" s="2" t="s">
        <v>141</v>
      </c>
      <c r="B6600" s="2">
        <v>11.7</v>
      </c>
      <c r="C6600" s="2">
        <v>12.1</v>
      </c>
      <c r="D6600" s="60" t="s">
        <v>160</v>
      </c>
    </row>
    <row r="6601" spans="1:10">
      <c r="A6601" s="2" t="s">
        <v>141</v>
      </c>
      <c r="B6601" s="2">
        <v>12.1</v>
      </c>
      <c r="C6601" s="2">
        <v>19.600000000000001</v>
      </c>
      <c r="D6601" s="60" t="s">
        <v>144</v>
      </c>
    </row>
    <row r="6602" spans="1:10">
      <c r="A6602" s="2" t="s">
        <v>141</v>
      </c>
      <c r="B6602" s="2">
        <v>12.1</v>
      </c>
      <c r="C6602" s="2">
        <v>19.600000000000001</v>
      </c>
      <c r="D6602" s="60" t="s">
        <v>155</v>
      </c>
    </row>
    <row r="6603" spans="1:10">
      <c r="A6603" s="2" t="s">
        <v>148</v>
      </c>
      <c r="B6603" s="2" t="s">
        <v>99</v>
      </c>
      <c r="C6603" s="2">
        <v>5.7648699999999997E-2</v>
      </c>
      <c r="D6603" s="60">
        <v>0</v>
      </c>
      <c r="E6603" s="2">
        <v>0</v>
      </c>
      <c r="F6603" s="2">
        <v>0.3</v>
      </c>
      <c r="G6603" s="2">
        <v>48.260399999999997</v>
      </c>
      <c r="H6603" s="2">
        <v>50.7654</v>
      </c>
      <c r="I6603" s="2">
        <v>0</v>
      </c>
      <c r="J6603" s="2">
        <v>0</v>
      </c>
    </row>
    <row r="6604" spans="1:10">
      <c r="A6604" s="2" t="s">
        <v>148</v>
      </c>
      <c r="B6604" s="2" t="s">
        <v>100</v>
      </c>
      <c r="C6604" s="2">
        <v>1.3584300000000001E-2</v>
      </c>
      <c r="D6604" s="60">
        <v>0</v>
      </c>
      <c r="E6604" s="2">
        <v>21.588000000000001</v>
      </c>
      <c r="F6604" s="2">
        <v>4.02996</v>
      </c>
      <c r="G6604" s="2">
        <v>0</v>
      </c>
      <c r="H6604" s="2">
        <v>10</v>
      </c>
      <c r="I6604" s="2">
        <v>0</v>
      </c>
      <c r="J6604" s="2">
        <v>0</v>
      </c>
    </row>
    <row r="6605" spans="1:10">
      <c r="A6605" s="2" t="s">
        <v>148</v>
      </c>
      <c r="B6605" s="2" t="s">
        <v>98</v>
      </c>
      <c r="C6605" s="2">
        <v>0.25864100000000001</v>
      </c>
      <c r="D6605" s="60">
        <v>0</v>
      </c>
      <c r="E6605" s="2">
        <v>12.730399999999999</v>
      </c>
      <c r="F6605" s="2">
        <v>8.8575999999999997</v>
      </c>
      <c r="G6605" s="2">
        <v>10</v>
      </c>
      <c r="H6605" s="2">
        <v>26.999400000000001</v>
      </c>
      <c r="I6605" s="2">
        <v>0</v>
      </c>
      <c r="J6605" s="2">
        <v>0</v>
      </c>
    </row>
    <row r="6606" spans="1:10">
      <c r="A6606" s="2" t="s">
        <v>148</v>
      </c>
      <c r="B6606" s="2" t="s">
        <v>101</v>
      </c>
      <c r="C6606" s="2">
        <v>9.6199999999999994E-2</v>
      </c>
      <c r="D6606" s="60">
        <v>0</v>
      </c>
      <c r="E6606" s="2">
        <v>11.2</v>
      </c>
      <c r="F6606" s="2">
        <v>1.53037</v>
      </c>
      <c r="G6606" s="2">
        <v>26.999400000000001</v>
      </c>
      <c r="H6606" s="2">
        <v>29.527899999999999</v>
      </c>
      <c r="I6606" s="2">
        <v>0</v>
      </c>
      <c r="J6606" s="2">
        <v>0</v>
      </c>
    </row>
    <row r="6607" spans="1:10">
      <c r="A6607" s="2" t="s">
        <v>148</v>
      </c>
      <c r="B6607" s="2" t="s">
        <v>60</v>
      </c>
      <c r="C6607" s="2">
        <v>0.33143499999999998</v>
      </c>
      <c r="D6607" s="60">
        <v>29.8291</v>
      </c>
      <c r="E6607" s="2">
        <v>7.2</v>
      </c>
      <c r="F6607" s="2">
        <v>4</v>
      </c>
      <c r="G6607" s="2">
        <v>29.527899999999999</v>
      </c>
      <c r="H6607" s="2">
        <v>35.109699999999997</v>
      </c>
      <c r="I6607" s="2">
        <v>0</v>
      </c>
      <c r="J6607" s="2">
        <v>0</v>
      </c>
    </row>
    <row r="6608" spans="1:10">
      <c r="A6608" s="2" t="s">
        <v>148</v>
      </c>
      <c r="B6608" s="2" t="s">
        <v>101</v>
      </c>
      <c r="C6608" s="2">
        <v>8.9840600000000007E-2</v>
      </c>
      <c r="D6608" s="60">
        <v>0</v>
      </c>
      <c r="E6608" s="2">
        <v>6.3</v>
      </c>
      <c r="F6608" s="2">
        <v>0.9</v>
      </c>
      <c r="G6608" s="2">
        <v>35.109699999999997</v>
      </c>
      <c r="H6608" s="2">
        <v>36.180199999999999</v>
      </c>
      <c r="I6608" s="2">
        <v>0</v>
      </c>
      <c r="J6608" s="2">
        <v>0</v>
      </c>
    </row>
    <row r="6609" spans="1:10">
      <c r="A6609" s="2" t="s">
        <v>148</v>
      </c>
      <c r="B6609" s="2" t="s">
        <v>59</v>
      </c>
      <c r="C6609" s="2">
        <v>0.76701900000000001</v>
      </c>
      <c r="D6609" s="60">
        <v>76.701899999999995</v>
      </c>
      <c r="E6609" s="2">
        <v>0.3</v>
      </c>
      <c r="F6609" s="2">
        <v>6</v>
      </c>
      <c r="G6609" s="2">
        <v>36.180199999999999</v>
      </c>
      <c r="H6609" s="2">
        <v>48.260399999999997</v>
      </c>
      <c r="I6609" s="2">
        <v>0</v>
      </c>
      <c r="J6609" s="2">
        <v>0</v>
      </c>
    </row>
    <row r="6610" spans="1:10">
      <c r="A6610" s="2" t="s">
        <v>138</v>
      </c>
      <c r="B6610" s="2">
        <v>4</v>
      </c>
      <c r="C6610" s="2">
        <v>19.5749</v>
      </c>
      <c r="D6610" s="60" t="s">
        <v>149</v>
      </c>
    </row>
    <row r="6611" spans="1:10">
      <c r="A6611" s="2" t="s">
        <v>140</v>
      </c>
      <c r="B6611" s="2">
        <v>0</v>
      </c>
      <c r="C6611" s="2">
        <v>52.629399999999997</v>
      </c>
      <c r="D6611" s="60">
        <v>27.808299999999999</v>
      </c>
    </row>
    <row r="6612" spans="1:10">
      <c r="A6612" s="2" t="s">
        <v>141</v>
      </c>
      <c r="B6612" s="2">
        <v>0</v>
      </c>
      <c r="C6612" s="2">
        <v>0.8</v>
      </c>
      <c r="D6612" s="60" t="s">
        <v>157</v>
      </c>
    </row>
    <row r="6613" spans="1:10">
      <c r="A6613" s="2" t="s">
        <v>141</v>
      </c>
      <c r="B6613" s="2">
        <v>0</v>
      </c>
      <c r="C6613" s="2">
        <v>3.8</v>
      </c>
      <c r="D6613" s="60" t="s">
        <v>142</v>
      </c>
    </row>
    <row r="6614" spans="1:10">
      <c r="A6614" s="2" t="s">
        <v>141</v>
      </c>
      <c r="B6614" s="2">
        <v>0</v>
      </c>
      <c r="C6614" s="2">
        <v>9.3000000000000007</v>
      </c>
      <c r="D6614" s="60" t="s">
        <v>155</v>
      </c>
    </row>
    <row r="6615" spans="1:10">
      <c r="A6615" s="2" t="s">
        <v>141</v>
      </c>
      <c r="B6615" s="2">
        <v>3.8</v>
      </c>
      <c r="C6615" s="2">
        <v>4.4000000000000004</v>
      </c>
      <c r="D6615" s="60" t="s">
        <v>145</v>
      </c>
    </row>
    <row r="6616" spans="1:10">
      <c r="A6616" s="2" t="s">
        <v>141</v>
      </c>
      <c r="B6616" s="2">
        <v>4.4000000000000004</v>
      </c>
      <c r="C6616" s="2">
        <v>7.7</v>
      </c>
      <c r="D6616" s="60" t="s">
        <v>144</v>
      </c>
    </row>
    <row r="6617" spans="1:10">
      <c r="A6617" s="2" t="s">
        <v>141</v>
      </c>
      <c r="B6617" s="2">
        <v>7.7</v>
      </c>
      <c r="C6617" s="2">
        <v>8.1999999999999993</v>
      </c>
      <c r="D6617" s="60" t="s">
        <v>147</v>
      </c>
    </row>
    <row r="6618" spans="1:10">
      <c r="A6618" s="2" t="s">
        <v>141</v>
      </c>
      <c r="B6618" s="2">
        <v>8.1999999999999993</v>
      </c>
      <c r="C6618" s="2">
        <v>9.8000000000000007</v>
      </c>
      <c r="D6618" s="60" t="s">
        <v>145</v>
      </c>
    </row>
    <row r="6619" spans="1:10">
      <c r="A6619" s="2" t="s">
        <v>141</v>
      </c>
      <c r="B6619" s="2">
        <v>9.3000000000000007</v>
      </c>
      <c r="C6619" s="2">
        <v>9.8000000000000007</v>
      </c>
      <c r="D6619" s="60" t="s">
        <v>159</v>
      </c>
    </row>
    <row r="6620" spans="1:10">
      <c r="A6620" s="2" t="s">
        <v>141</v>
      </c>
      <c r="B6620" s="2">
        <v>9.8000000000000007</v>
      </c>
      <c r="C6620" s="2">
        <v>21.209099999999999</v>
      </c>
      <c r="D6620" s="60" t="s">
        <v>144</v>
      </c>
    </row>
    <row r="6621" spans="1:10">
      <c r="A6621" s="2" t="s">
        <v>141</v>
      </c>
      <c r="B6621" s="2">
        <v>9.8000000000000007</v>
      </c>
      <c r="C6621" s="2">
        <v>21.209099999999999</v>
      </c>
      <c r="D6621" s="60" t="s">
        <v>146</v>
      </c>
    </row>
    <row r="6622" spans="1:10">
      <c r="A6622" s="2" t="s">
        <v>148</v>
      </c>
      <c r="B6622" s="2" t="s">
        <v>99</v>
      </c>
      <c r="C6622" s="2">
        <v>6.6121299999999994E-2</v>
      </c>
      <c r="D6622" s="60">
        <v>0</v>
      </c>
      <c r="E6622" s="2">
        <v>0</v>
      </c>
      <c r="F6622" s="2">
        <v>0.3</v>
      </c>
      <c r="G6622" s="2">
        <v>51.773499999999999</v>
      </c>
      <c r="H6622" s="2">
        <v>54.264600000000002</v>
      </c>
      <c r="I6622" s="2">
        <v>0</v>
      </c>
      <c r="J6622" s="2">
        <v>0</v>
      </c>
    </row>
    <row r="6623" spans="1:10">
      <c r="A6623" s="2" t="s">
        <v>148</v>
      </c>
      <c r="B6623" s="2" t="s">
        <v>100</v>
      </c>
      <c r="C6623" s="2">
        <v>1.3711299999999999E-2</v>
      </c>
      <c r="D6623" s="60">
        <v>0</v>
      </c>
      <c r="E6623" s="2">
        <v>23.806999999999999</v>
      </c>
      <c r="F6623" s="2">
        <v>4.0013399999999999</v>
      </c>
      <c r="G6623" s="2">
        <v>0</v>
      </c>
      <c r="H6623" s="2">
        <v>10</v>
      </c>
      <c r="I6623" s="2">
        <v>0</v>
      </c>
      <c r="J6623" s="2">
        <v>0</v>
      </c>
    </row>
    <row r="6624" spans="1:10">
      <c r="A6624" s="2" t="s">
        <v>148</v>
      </c>
      <c r="B6624" s="2" t="s">
        <v>98</v>
      </c>
      <c r="C6624" s="2">
        <v>5.8659000000000003E-2</v>
      </c>
      <c r="D6624" s="60">
        <v>0</v>
      </c>
      <c r="E6624" s="2">
        <v>19.916899999999998</v>
      </c>
      <c r="F6624" s="2">
        <v>3.8900800000000002</v>
      </c>
      <c r="G6624" s="2">
        <v>10</v>
      </c>
      <c r="H6624" s="2">
        <v>17.459900000000001</v>
      </c>
      <c r="I6624" s="2">
        <v>0</v>
      </c>
      <c r="J6624" s="2">
        <v>0</v>
      </c>
    </row>
    <row r="6625" spans="1:10">
      <c r="A6625" s="2" t="s">
        <v>148</v>
      </c>
      <c r="B6625" s="2" t="s">
        <v>101</v>
      </c>
      <c r="C6625" s="2">
        <v>2.8359499999999998E-3</v>
      </c>
      <c r="D6625" s="60">
        <v>0</v>
      </c>
      <c r="E6625" s="2">
        <v>19.8</v>
      </c>
      <c r="F6625" s="2">
        <v>0.11690300000000001</v>
      </c>
      <c r="G6625" s="2">
        <v>17.459900000000001</v>
      </c>
      <c r="H6625" s="2">
        <v>17.689499999999999</v>
      </c>
      <c r="I6625" s="2">
        <v>0</v>
      </c>
      <c r="J6625" s="2">
        <v>0</v>
      </c>
    </row>
    <row r="6626" spans="1:10">
      <c r="A6626" s="2" t="s">
        <v>148</v>
      </c>
      <c r="B6626" s="2" t="s">
        <v>61</v>
      </c>
      <c r="C6626" s="2">
        <v>0.14771799999999999</v>
      </c>
      <c r="D6626" s="60">
        <v>12.555999999999999</v>
      </c>
      <c r="E6626" s="2">
        <v>15.8</v>
      </c>
      <c r="F6626" s="2">
        <v>4</v>
      </c>
      <c r="G6626" s="2">
        <v>17.689499999999999</v>
      </c>
      <c r="H6626" s="2">
        <v>25.361699999999999</v>
      </c>
      <c r="I6626" s="2">
        <v>0</v>
      </c>
      <c r="J6626" s="2">
        <v>0</v>
      </c>
    </row>
    <row r="6627" spans="1:10">
      <c r="A6627" s="2" t="s">
        <v>148</v>
      </c>
      <c r="B6627" s="2" t="s">
        <v>60</v>
      </c>
      <c r="C6627" s="2">
        <v>0.43979400000000002</v>
      </c>
      <c r="D6627" s="60">
        <v>39.581400000000002</v>
      </c>
      <c r="E6627" s="2">
        <v>9.8000000000000007</v>
      </c>
      <c r="F6627" s="2">
        <v>6</v>
      </c>
      <c r="G6627" s="2">
        <v>25.361699999999999</v>
      </c>
      <c r="H6627" s="2">
        <v>34.996899999999997</v>
      </c>
      <c r="I6627" s="2">
        <v>0</v>
      </c>
      <c r="J6627" s="2">
        <v>0</v>
      </c>
    </row>
    <row r="6628" spans="1:10">
      <c r="A6628" s="2" t="s">
        <v>148</v>
      </c>
      <c r="B6628" s="2" t="s">
        <v>101</v>
      </c>
      <c r="C6628" s="2">
        <v>0.15257399999999999</v>
      </c>
      <c r="D6628" s="60">
        <v>0</v>
      </c>
      <c r="E6628" s="2">
        <v>8.3000000000000007</v>
      </c>
      <c r="F6628" s="2">
        <v>1.5</v>
      </c>
      <c r="G6628" s="2">
        <v>34.996899999999997</v>
      </c>
      <c r="H6628" s="2">
        <v>36.9392</v>
      </c>
      <c r="I6628" s="2">
        <v>0</v>
      </c>
      <c r="J6628" s="2">
        <v>0</v>
      </c>
    </row>
    <row r="6629" spans="1:10">
      <c r="A6629" s="2" t="s">
        <v>148</v>
      </c>
      <c r="B6629" s="2" t="s">
        <v>62</v>
      </c>
      <c r="C6629" s="2">
        <v>0.48469099999999998</v>
      </c>
      <c r="D6629" s="60">
        <v>38.775300000000001</v>
      </c>
      <c r="E6629" s="2">
        <v>4.3</v>
      </c>
      <c r="F6629" s="2">
        <v>4</v>
      </c>
      <c r="G6629" s="2">
        <v>36.9392</v>
      </c>
      <c r="H6629" s="2">
        <v>41.4848</v>
      </c>
      <c r="I6629" s="2">
        <v>0</v>
      </c>
      <c r="J6629" s="2">
        <v>0</v>
      </c>
    </row>
    <row r="6630" spans="1:10">
      <c r="A6630" s="2" t="s">
        <v>148</v>
      </c>
      <c r="B6630" s="2" t="s">
        <v>62</v>
      </c>
      <c r="C6630" s="2">
        <v>0.63620600000000005</v>
      </c>
      <c r="D6630" s="60">
        <v>50.8964</v>
      </c>
      <c r="E6630" s="2">
        <v>0.3</v>
      </c>
      <c r="F6630" s="2">
        <v>4</v>
      </c>
      <c r="G6630" s="2">
        <v>41.4848</v>
      </c>
      <c r="H6630" s="2">
        <v>51.773499999999999</v>
      </c>
      <c r="I6630" s="2">
        <v>0</v>
      </c>
      <c r="J6630" s="2">
        <v>0</v>
      </c>
    </row>
    <row r="6631" spans="1:10">
      <c r="A6631" s="2" t="s">
        <v>138</v>
      </c>
      <c r="B6631" s="2">
        <v>5</v>
      </c>
      <c r="C6631" s="2">
        <v>19.208500000000001</v>
      </c>
      <c r="D6631" s="60" t="s">
        <v>139</v>
      </c>
    </row>
    <row r="6632" spans="1:10">
      <c r="A6632" s="2" t="s">
        <v>140</v>
      </c>
      <c r="B6632" s="2">
        <v>0</v>
      </c>
      <c r="C6632" s="2">
        <v>45.234699999999997</v>
      </c>
      <c r="D6632" s="60">
        <v>24.9373</v>
      </c>
    </row>
    <row r="6633" spans="1:10">
      <c r="A6633" s="2" t="s">
        <v>141</v>
      </c>
      <c r="B6633" s="2">
        <v>0</v>
      </c>
      <c r="C6633" s="2">
        <v>4.3</v>
      </c>
      <c r="D6633" s="60" t="s">
        <v>142</v>
      </c>
    </row>
    <row r="6634" spans="1:10">
      <c r="A6634" s="2" t="s">
        <v>141</v>
      </c>
      <c r="B6634" s="2">
        <v>0</v>
      </c>
      <c r="C6634" s="2">
        <v>4.3</v>
      </c>
      <c r="D6634" s="60" t="s">
        <v>146</v>
      </c>
    </row>
    <row r="6635" spans="1:10">
      <c r="A6635" s="2" t="s">
        <v>141</v>
      </c>
      <c r="B6635" s="2">
        <v>0</v>
      </c>
      <c r="C6635" s="2">
        <v>5.0999999999999996</v>
      </c>
      <c r="D6635" s="60" t="s">
        <v>158</v>
      </c>
    </row>
    <row r="6636" spans="1:10">
      <c r="A6636" s="2" t="s">
        <v>141</v>
      </c>
      <c r="B6636" s="2">
        <v>4.3</v>
      </c>
      <c r="C6636" s="2">
        <v>5.0999999999999996</v>
      </c>
      <c r="D6636" s="60" t="s">
        <v>144</v>
      </c>
    </row>
    <row r="6637" spans="1:10">
      <c r="A6637" s="2" t="s">
        <v>141</v>
      </c>
      <c r="B6637" s="2">
        <v>4.3</v>
      </c>
      <c r="C6637" s="2">
        <v>5.5</v>
      </c>
      <c r="D6637" s="60" t="s">
        <v>159</v>
      </c>
    </row>
    <row r="6638" spans="1:10">
      <c r="A6638" s="2" t="s">
        <v>141</v>
      </c>
      <c r="B6638" s="2">
        <v>5.0999999999999996</v>
      </c>
      <c r="C6638" s="2">
        <v>5.5</v>
      </c>
      <c r="D6638" s="60" t="s">
        <v>147</v>
      </c>
    </row>
    <row r="6639" spans="1:10">
      <c r="A6639" s="2" t="s">
        <v>141</v>
      </c>
      <c r="B6639" s="2">
        <v>5.0999999999999996</v>
      </c>
      <c r="C6639" s="2">
        <v>5.5</v>
      </c>
      <c r="D6639" s="60" t="s">
        <v>177</v>
      </c>
    </row>
    <row r="6640" spans="1:10">
      <c r="A6640" s="2" t="s">
        <v>141</v>
      </c>
      <c r="B6640" s="2">
        <v>5.5</v>
      </c>
      <c r="C6640" s="2">
        <v>8.3000000000000007</v>
      </c>
      <c r="D6640" s="60" t="s">
        <v>144</v>
      </c>
    </row>
    <row r="6641" spans="1:10">
      <c r="A6641" s="2" t="s">
        <v>141</v>
      </c>
      <c r="B6641" s="2">
        <v>5.5</v>
      </c>
      <c r="C6641" s="2">
        <v>10.9</v>
      </c>
      <c r="D6641" s="60" t="s">
        <v>146</v>
      </c>
    </row>
    <row r="6642" spans="1:10">
      <c r="A6642" s="2" t="s">
        <v>141</v>
      </c>
      <c r="B6642" s="2">
        <v>8.3000000000000007</v>
      </c>
      <c r="C6642" s="2">
        <v>11.4</v>
      </c>
      <c r="D6642" s="60" t="s">
        <v>145</v>
      </c>
    </row>
    <row r="6643" spans="1:10">
      <c r="A6643" s="2" t="s">
        <v>141</v>
      </c>
      <c r="B6643" s="2">
        <v>10.9</v>
      </c>
      <c r="C6643" s="2">
        <v>11.4</v>
      </c>
      <c r="D6643" s="60" t="s">
        <v>159</v>
      </c>
    </row>
    <row r="6644" spans="1:10">
      <c r="A6644" s="2" t="s">
        <v>141</v>
      </c>
      <c r="B6644" s="2">
        <v>11.4</v>
      </c>
      <c r="C6644" s="2">
        <v>19.100000000000001</v>
      </c>
      <c r="D6644" s="60" t="s">
        <v>144</v>
      </c>
    </row>
    <row r="6645" spans="1:10">
      <c r="A6645" s="2" t="s">
        <v>141</v>
      </c>
      <c r="B6645" s="2">
        <v>11.4</v>
      </c>
      <c r="C6645" s="2">
        <v>19.100000000000001</v>
      </c>
      <c r="D6645" s="60" t="s">
        <v>155</v>
      </c>
    </row>
    <row r="6646" spans="1:10">
      <c r="A6646" s="2" t="s">
        <v>148</v>
      </c>
      <c r="B6646" s="2" t="s">
        <v>99</v>
      </c>
      <c r="C6646" s="2">
        <v>5.0083000000000003E-2</v>
      </c>
      <c r="D6646" s="60">
        <v>0</v>
      </c>
      <c r="E6646" s="2">
        <v>0</v>
      </c>
      <c r="F6646" s="2">
        <v>0.3</v>
      </c>
      <c r="G6646" s="2">
        <v>44.956099999999999</v>
      </c>
      <c r="H6646" s="2">
        <v>47.348100000000002</v>
      </c>
      <c r="I6646" s="2">
        <v>0</v>
      </c>
      <c r="J6646" s="2">
        <v>0</v>
      </c>
    </row>
    <row r="6647" spans="1:10">
      <c r="A6647" s="2" t="s">
        <v>148</v>
      </c>
      <c r="B6647" s="2" t="s">
        <v>100</v>
      </c>
      <c r="C6647" s="2">
        <v>1.4222800000000001E-2</v>
      </c>
      <c r="D6647" s="60">
        <v>0</v>
      </c>
      <c r="E6647" s="2">
        <v>20.643699999999999</v>
      </c>
      <c r="F6647" s="2">
        <v>4.2936199999999998</v>
      </c>
      <c r="G6647" s="2">
        <v>0</v>
      </c>
      <c r="H6647" s="2">
        <v>10</v>
      </c>
      <c r="I6647" s="2">
        <v>0</v>
      </c>
      <c r="J6647" s="2">
        <v>0</v>
      </c>
    </row>
    <row r="6648" spans="1:10">
      <c r="A6648" s="2" t="s">
        <v>148</v>
      </c>
      <c r="B6648" s="2" t="s">
        <v>98</v>
      </c>
      <c r="C6648" s="2">
        <v>0.111558</v>
      </c>
      <c r="D6648" s="60">
        <v>0</v>
      </c>
      <c r="E6648" s="2">
        <v>14.8979</v>
      </c>
      <c r="F6648" s="2">
        <v>5.7457799999999999</v>
      </c>
      <c r="G6648" s="2">
        <v>10</v>
      </c>
      <c r="H6648" s="2">
        <v>20.812799999999999</v>
      </c>
      <c r="I6648" s="2">
        <v>0</v>
      </c>
      <c r="J6648" s="2">
        <v>0</v>
      </c>
    </row>
    <row r="6649" spans="1:10">
      <c r="A6649" s="2" t="s">
        <v>148</v>
      </c>
      <c r="B6649" s="2" t="s">
        <v>101</v>
      </c>
      <c r="C6649" s="2">
        <v>0.27615800000000001</v>
      </c>
      <c r="D6649" s="60">
        <v>0</v>
      </c>
      <c r="E6649" s="2">
        <v>9.5</v>
      </c>
      <c r="F6649" s="2">
        <v>5.3979100000000004</v>
      </c>
      <c r="G6649" s="2">
        <v>20.812799999999999</v>
      </c>
      <c r="H6649" s="2">
        <v>29.574100000000001</v>
      </c>
      <c r="I6649" s="2">
        <v>0</v>
      </c>
      <c r="J6649" s="2">
        <v>0</v>
      </c>
    </row>
    <row r="6650" spans="1:10">
      <c r="A6650" s="2" t="s">
        <v>148</v>
      </c>
      <c r="B6650" s="2" t="s">
        <v>60</v>
      </c>
      <c r="C6650" s="2">
        <v>0.32452300000000001</v>
      </c>
      <c r="D6650" s="60">
        <v>29.207100000000001</v>
      </c>
      <c r="E6650" s="2">
        <v>5.5</v>
      </c>
      <c r="F6650" s="2">
        <v>4</v>
      </c>
      <c r="G6650" s="2">
        <v>29.574100000000001</v>
      </c>
      <c r="H6650" s="2">
        <v>34.4375</v>
      </c>
      <c r="I6650" s="2">
        <v>0</v>
      </c>
      <c r="J6650" s="2">
        <v>0</v>
      </c>
    </row>
    <row r="6651" spans="1:10">
      <c r="A6651" s="2" t="s">
        <v>148</v>
      </c>
      <c r="B6651" s="2" t="s">
        <v>101</v>
      </c>
      <c r="C6651" s="2">
        <v>0.11599</v>
      </c>
      <c r="D6651" s="60">
        <v>0</v>
      </c>
      <c r="E6651" s="2">
        <v>4.3</v>
      </c>
      <c r="F6651" s="2">
        <v>1.2</v>
      </c>
      <c r="G6651" s="2">
        <v>34.4375</v>
      </c>
      <c r="H6651" s="2">
        <v>35.718200000000003</v>
      </c>
      <c r="I6651" s="2">
        <v>0</v>
      </c>
      <c r="J6651" s="2">
        <v>0</v>
      </c>
    </row>
    <row r="6652" spans="1:10">
      <c r="A6652" s="2" t="s">
        <v>148</v>
      </c>
      <c r="B6652" s="2" t="s">
        <v>56</v>
      </c>
      <c r="C6652" s="2">
        <v>0.47449400000000003</v>
      </c>
      <c r="D6652" s="60">
        <v>66.429199999999994</v>
      </c>
      <c r="E6652" s="2">
        <v>0.3</v>
      </c>
      <c r="F6652" s="2">
        <v>4</v>
      </c>
      <c r="G6652" s="2">
        <v>35.718200000000003</v>
      </c>
      <c r="H6652" s="2">
        <v>44.956099999999999</v>
      </c>
      <c r="I6652" s="2">
        <v>0</v>
      </c>
      <c r="J6652" s="2">
        <v>0</v>
      </c>
    </row>
    <row r="6653" spans="1:10">
      <c r="A6653" s="2" t="s">
        <v>138</v>
      </c>
      <c r="B6653" s="2">
        <v>6</v>
      </c>
      <c r="C6653" s="2">
        <v>19.717300000000002</v>
      </c>
      <c r="D6653" s="60" t="s">
        <v>149</v>
      </c>
    </row>
    <row r="6654" spans="1:10">
      <c r="A6654" s="2" t="s">
        <v>140</v>
      </c>
      <c r="B6654" s="2">
        <v>0</v>
      </c>
      <c r="C6654" s="2">
        <v>59.240600000000001</v>
      </c>
      <c r="D6654" s="60">
        <v>28.6692</v>
      </c>
    </row>
    <row r="6655" spans="1:10">
      <c r="A6655" s="2" t="s">
        <v>141</v>
      </c>
      <c r="B6655" s="2">
        <v>0</v>
      </c>
      <c r="C6655" s="2">
        <v>4.7</v>
      </c>
      <c r="D6655" s="60" t="s">
        <v>142</v>
      </c>
    </row>
    <row r="6656" spans="1:10">
      <c r="A6656" s="2" t="s">
        <v>141</v>
      </c>
      <c r="B6656" s="2">
        <v>0</v>
      </c>
      <c r="C6656" s="2">
        <v>10.199999999999999</v>
      </c>
      <c r="D6656" s="60" t="s">
        <v>158</v>
      </c>
    </row>
    <row r="6657" spans="1:10">
      <c r="A6657" s="2" t="s">
        <v>141</v>
      </c>
      <c r="B6657" s="2">
        <v>0</v>
      </c>
      <c r="C6657" s="2">
        <v>21.8415</v>
      </c>
      <c r="D6657" s="60" t="s">
        <v>146</v>
      </c>
    </row>
    <row r="6658" spans="1:10">
      <c r="A6658" s="2" t="s">
        <v>141</v>
      </c>
      <c r="B6658" s="2">
        <v>4.7</v>
      </c>
      <c r="C6658" s="2">
        <v>10.199999999999999</v>
      </c>
      <c r="D6658" s="60" t="s">
        <v>145</v>
      </c>
    </row>
    <row r="6659" spans="1:10">
      <c r="A6659" s="2" t="s">
        <v>141</v>
      </c>
      <c r="B6659" s="2">
        <v>10.199999999999999</v>
      </c>
      <c r="C6659" s="2">
        <v>10.6</v>
      </c>
      <c r="D6659" s="60" t="s">
        <v>151</v>
      </c>
    </row>
    <row r="6660" spans="1:10">
      <c r="A6660" s="2" t="s">
        <v>141</v>
      </c>
      <c r="B6660" s="2">
        <v>10.199999999999999</v>
      </c>
      <c r="C6660" s="2">
        <v>10.6</v>
      </c>
      <c r="D6660" s="60" t="s">
        <v>160</v>
      </c>
    </row>
    <row r="6661" spans="1:10">
      <c r="A6661" s="2" t="s">
        <v>141</v>
      </c>
      <c r="B6661" s="2">
        <v>10.3</v>
      </c>
      <c r="C6661" s="2">
        <v>10.6</v>
      </c>
      <c r="D6661" s="60" t="s">
        <v>153</v>
      </c>
    </row>
    <row r="6662" spans="1:10">
      <c r="A6662" s="2" t="s">
        <v>141</v>
      </c>
      <c r="B6662" s="2">
        <v>10.3</v>
      </c>
      <c r="C6662" s="2">
        <v>10.6</v>
      </c>
      <c r="D6662" s="60" t="s">
        <v>154</v>
      </c>
    </row>
    <row r="6663" spans="1:10">
      <c r="A6663" s="2" t="s">
        <v>141</v>
      </c>
      <c r="B6663" s="2">
        <v>10.6</v>
      </c>
      <c r="C6663" s="2">
        <v>21.8415</v>
      </c>
      <c r="D6663" s="60" t="s">
        <v>144</v>
      </c>
    </row>
    <row r="6664" spans="1:10">
      <c r="A6664" s="2" t="s">
        <v>156</v>
      </c>
      <c r="B6664" s="2">
        <v>10.3</v>
      </c>
      <c r="C6664" s="2">
        <v>40.191299999999998</v>
      </c>
    </row>
    <row r="6665" spans="1:10">
      <c r="A6665" s="2" t="s">
        <v>148</v>
      </c>
      <c r="B6665" s="2" t="s">
        <v>99</v>
      </c>
      <c r="C6665" s="2">
        <v>8.1883999999999998E-2</v>
      </c>
      <c r="D6665" s="60">
        <v>0</v>
      </c>
      <c r="E6665" s="2">
        <v>0</v>
      </c>
      <c r="F6665" s="2">
        <v>0.3</v>
      </c>
      <c r="G6665" s="2">
        <v>57.650199999999998</v>
      </c>
      <c r="H6665" s="2">
        <v>60.346600000000002</v>
      </c>
      <c r="I6665" s="2">
        <v>0</v>
      </c>
      <c r="J6665" s="2">
        <v>0</v>
      </c>
    </row>
    <row r="6666" spans="1:10">
      <c r="A6666" s="2" t="s">
        <v>148</v>
      </c>
      <c r="B6666" s="2" t="s">
        <v>100</v>
      </c>
      <c r="C6666" s="2">
        <v>1.8155000000000001E-2</v>
      </c>
      <c r="D6666" s="60">
        <v>0</v>
      </c>
      <c r="E6666" s="2">
        <v>23.043199999999999</v>
      </c>
      <c r="F6666" s="2">
        <v>5.6259300000000003</v>
      </c>
      <c r="G6666" s="2">
        <v>0</v>
      </c>
      <c r="H6666" s="2">
        <v>10</v>
      </c>
      <c r="I6666" s="2">
        <v>0</v>
      </c>
      <c r="J6666" s="2">
        <v>0</v>
      </c>
    </row>
    <row r="6667" spans="1:10">
      <c r="A6667" s="2" t="s">
        <v>148</v>
      </c>
      <c r="B6667" s="2" t="s">
        <v>98</v>
      </c>
      <c r="C6667" s="2">
        <v>8.4973999999999994E-2</v>
      </c>
      <c r="D6667" s="60">
        <v>0</v>
      </c>
      <c r="E6667" s="2">
        <v>17.6614</v>
      </c>
      <c r="F6667" s="2">
        <v>5.3818599999999996</v>
      </c>
      <c r="G6667" s="2">
        <v>10</v>
      </c>
      <c r="H6667" s="2">
        <v>17.973299999999998</v>
      </c>
      <c r="I6667" s="2">
        <v>0</v>
      </c>
      <c r="J6667" s="2">
        <v>0</v>
      </c>
    </row>
    <row r="6668" spans="1:10">
      <c r="A6668" s="2" t="s">
        <v>148</v>
      </c>
      <c r="B6668" s="2" t="s">
        <v>101</v>
      </c>
      <c r="C6668" s="2">
        <v>2.9278700000000001E-2</v>
      </c>
      <c r="D6668" s="60">
        <v>0</v>
      </c>
      <c r="E6668" s="2">
        <v>16.600000000000001</v>
      </c>
      <c r="F6668" s="2">
        <v>1.06138</v>
      </c>
      <c r="G6668" s="2">
        <v>17.973299999999998</v>
      </c>
      <c r="H6668" s="2">
        <v>19.491599999999998</v>
      </c>
      <c r="I6668" s="2">
        <v>0</v>
      </c>
      <c r="J6668" s="2">
        <v>0</v>
      </c>
    </row>
    <row r="6669" spans="1:10">
      <c r="A6669" s="2" t="s">
        <v>148</v>
      </c>
      <c r="B6669" s="2" t="s">
        <v>61</v>
      </c>
      <c r="C6669" s="2">
        <v>0.26047700000000001</v>
      </c>
      <c r="D6669" s="60">
        <v>22.140599999999999</v>
      </c>
      <c r="E6669" s="2">
        <v>10.6</v>
      </c>
      <c r="F6669" s="2">
        <v>6</v>
      </c>
      <c r="G6669" s="2">
        <v>19.491599999999998</v>
      </c>
      <c r="H6669" s="2">
        <v>26.977900000000002</v>
      </c>
      <c r="I6669" s="2">
        <v>0</v>
      </c>
      <c r="J6669" s="2">
        <v>0</v>
      </c>
    </row>
    <row r="6670" spans="1:10">
      <c r="A6670" s="2" t="s">
        <v>148</v>
      </c>
      <c r="B6670" s="2" t="s">
        <v>101</v>
      </c>
      <c r="C6670" s="2">
        <v>1.7351100000000001E-2</v>
      </c>
      <c r="D6670" s="60">
        <v>0</v>
      </c>
      <c r="E6670" s="2">
        <v>10.3</v>
      </c>
      <c r="F6670" s="2">
        <v>0.3</v>
      </c>
      <c r="G6670" s="2">
        <v>26.977900000000002</v>
      </c>
      <c r="H6670" s="2">
        <v>38.630099999999999</v>
      </c>
      <c r="I6670" s="2">
        <v>0</v>
      </c>
      <c r="J6670" s="2">
        <v>0</v>
      </c>
    </row>
    <row r="6671" spans="1:10">
      <c r="A6671" s="2" t="s">
        <v>148</v>
      </c>
      <c r="B6671" s="2" t="s">
        <v>62</v>
      </c>
      <c r="C6671" s="2">
        <v>0.858066</v>
      </c>
      <c r="D6671" s="60">
        <v>68.645300000000006</v>
      </c>
      <c r="E6671" s="2">
        <v>4.3</v>
      </c>
      <c r="F6671" s="2">
        <v>6</v>
      </c>
      <c r="G6671" s="2">
        <v>38.630099999999999</v>
      </c>
      <c r="H6671" s="2">
        <v>46.296599999999998</v>
      </c>
      <c r="I6671" s="2">
        <v>0</v>
      </c>
      <c r="J6671" s="2">
        <v>0</v>
      </c>
    </row>
    <row r="6672" spans="1:10">
      <c r="A6672" s="2" t="s">
        <v>148</v>
      </c>
      <c r="B6672" s="2" t="s">
        <v>55</v>
      </c>
      <c r="C6672" s="2">
        <v>0.79125800000000002</v>
      </c>
      <c r="D6672" s="60">
        <v>114.732</v>
      </c>
      <c r="E6672" s="2">
        <v>0.3</v>
      </c>
      <c r="F6672" s="2">
        <v>4</v>
      </c>
      <c r="G6672" s="2">
        <v>46.296599999999998</v>
      </c>
      <c r="H6672" s="2">
        <v>57.650199999999998</v>
      </c>
      <c r="I6672" s="2">
        <v>0</v>
      </c>
      <c r="J6672" s="2">
        <v>0</v>
      </c>
    </row>
    <row r="6673" spans="1:10">
      <c r="A6673" s="2" t="s">
        <v>140</v>
      </c>
      <c r="B6673" s="2">
        <v>1</v>
      </c>
      <c r="C6673" s="2">
        <v>34.869199999999999</v>
      </c>
      <c r="D6673" s="60">
        <v>28.6692</v>
      </c>
      <c r="E6673" s="2">
        <v>10.3</v>
      </c>
    </row>
    <row r="6674" spans="1:10">
      <c r="A6674" s="2" t="s">
        <v>141</v>
      </c>
      <c r="B6674" s="2">
        <v>10.3</v>
      </c>
      <c r="C6674" s="2">
        <v>10.6</v>
      </c>
      <c r="D6674" s="60" t="s">
        <v>153</v>
      </c>
    </row>
    <row r="6675" spans="1:10">
      <c r="A6675" s="2" t="s">
        <v>141</v>
      </c>
      <c r="B6675" s="2">
        <v>10.3</v>
      </c>
      <c r="C6675" s="2">
        <v>13.2</v>
      </c>
      <c r="D6675" s="60" t="s">
        <v>152</v>
      </c>
    </row>
    <row r="6676" spans="1:10">
      <c r="A6676" s="2" t="s">
        <v>141</v>
      </c>
      <c r="B6676" s="2">
        <v>10.3</v>
      </c>
      <c r="C6676" s="2">
        <v>21.8415</v>
      </c>
      <c r="D6676" s="60" t="s">
        <v>144</v>
      </c>
    </row>
    <row r="6677" spans="1:10">
      <c r="A6677" s="2" t="s">
        <v>141</v>
      </c>
      <c r="B6677" s="2">
        <v>13.2</v>
      </c>
      <c r="C6677" s="2">
        <v>21.8415</v>
      </c>
      <c r="D6677" s="60" t="s">
        <v>155</v>
      </c>
    </row>
    <row r="6678" spans="1:10">
      <c r="A6678" s="2" t="s">
        <v>148</v>
      </c>
      <c r="B6678" s="2" t="s">
        <v>100</v>
      </c>
      <c r="C6678" s="2">
        <v>2.0503799999999999E-2</v>
      </c>
      <c r="D6678" s="60">
        <v>0</v>
      </c>
      <c r="E6678" s="2">
        <v>22.1187</v>
      </c>
      <c r="F6678" s="2">
        <v>6.5504499999999997</v>
      </c>
      <c r="G6678" s="2">
        <v>0</v>
      </c>
      <c r="H6678" s="2">
        <v>10</v>
      </c>
      <c r="I6678" s="2">
        <v>0</v>
      </c>
      <c r="J6678" s="2">
        <v>0</v>
      </c>
    </row>
    <row r="6679" spans="1:10">
      <c r="A6679" s="2" t="s">
        <v>148</v>
      </c>
      <c r="B6679" s="2" t="s">
        <v>101</v>
      </c>
      <c r="C6679" s="2">
        <v>1.4748300000000001E-4</v>
      </c>
      <c r="D6679" s="60">
        <v>0</v>
      </c>
      <c r="E6679" s="2">
        <v>22.1</v>
      </c>
      <c r="F6679" s="2">
        <v>1.87324E-2</v>
      </c>
      <c r="G6679" s="2">
        <v>10</v>
      </c>
      <c r="H6679" s="2">
        <v>10.0244</v>
      </c>
      <c r="I6679" s="2">
        <v>0</v>
      </c>
      <c r="J6679" s="2">
        <v>0</v>
      </c>
    </row>
    <row r="6680" spans="1:10">
      <c r="A6680" s="2" t="s">
        <v>148</v>
      </c>
      <c r="B6680" s="2" t="s">
        <v>64</v>
      </c>
      <c r="C6680" s="2">
        <v>4.9175099999999999E-2</v>
      </c>
      <c r="D6680" s="60">
        <v>1.47525</v>
      </c>
      <c r="E6680" s="2">
        <v>18.2</v>
      </c>
      <c r="F6680" s="2">
        <v>3.9</v>
      </c>
      <c r="G6680" s="2">
        <v>10.0244</v>
      </c>
      <c r="H6680" s="2">
        <v>15.135400000000001</v>
      </c>
      <c r="I6680" s="2">
        <v>0</v>
      </c>
      <c r="J6680" s="2">
        <v>0</v>
      </c>
    </row>
    <row r="6681" spans="1:10">
      <c r="A6681" s="2" t="s">
        <v>148</v>
      </c>
      <c r="B6681" s="2" t="s">
        <v>63</v>
      </c>
      <c r="C6681" s="2">
        <v>9.8284300000000005E-2</v>
      </c>
      <c r="D6681" s="60">
        <v>6.8799000000000001</v>
      </c>
      <c r="E6681" s="2">
        <v>14.2</v>
      </c>
      <c r="F6681" s="2">
        <v>4</v>
      </c>
      <c r="G6681" s="2">
        <v>15.135400000000001</v>
      </c>
      <c r="H6681" s="2">
        <v>20.021699999999999</v>
      </c>
      <c r="I6681" s="2">
        <v>0</v>
      </c>
      <c r="J6681" s="2">
        <v>0</v>
      </c>
    </row>
    <row r="6682" spans="1:10">
      <c r="A6682" s="2" t="s">
        <v>148</v>
      </c>
      <c r="B6682" s="2" t="s">
        <v>64</v>
      </c>
      <c r="C6682" s="2">
        <v>0.13653699999999999</v>
      </c>
      <c r="D6682" s="60">
        <v>4.0961100000000004</v>
      </c>
      <c r="E6682" s="2">
        <v>10.6</v>
      </c>
      <c r="F6682" s="2">
        <v>3.6</v>
      </c>
      <c r="G6682" s="2">
        <v>20.021699999999999</v>
      </c>
      <c r="H6682" s="2">
        <v>23.7561</v>
      </c>
      <c r="I6682" s="2">
        <v>0</v>
      </c>
      <c r="J6682" s="2">
        <v>0</v>
      </c>
    </row>
    <row r="6683" spans="1:10">
      <c r="A6683" s="2" t="s">
        <v>148</v>
      </c>
      <c r="B6683" s="2" t="s">
        <v>101</v>
      </c>
      <c r="C6683" s="2">
        <v>1.3454199999999999E-2</v>
      </c>
      <c r="D6683" s="60">
        <v>0</v>
      </c>
      <c r="E6683" s="2">
        <v>10.3</v>
      </c>
      <c r="F6683" s="2">
        <v>0.3</v>
      </c>
      <c r="G6683" s="2">
        <v>23.7561</v>
      </c>
      <c r="H6683" s="2">
        <v>24.034700000000001</v>
      </c>
      <c r="I6683" s="2">
        <v>0</v>
      </c>
      <c r="J6683" s="2">
        <v>0</v>
      </c>
    </row>
    <row r="6684" spans="1:10">
      <c r="A6684" s="2" t="s">
        <v>138</v>
      </c>
      <c r="B6684" s="2">
        <v>7</v>
      </c>
      <c r="C6684" s="2">
        <v>19.728999999999999</v>
      </c>
      <c r="D6684" s="60" t="s">
        <v>149</v>
      </c>
    </row>
    <row r="6685" spans="1:10">
      <c r="A6685" s="2" t="s">
        <v>140</v>
      </c>
      <c r="B6685" s="2">
        <v>0</v>
      </c>
      <c r="C6685" s="2">
        <v>59.967199999999998</v>
      </c>
      <c r="D6685" s="60">
        <v>28.757300000000001</v>
      </c>
    </row>
    <row r="6686" spans="1:10">
      <c r="A6686" s="2" t="s">
        <v>141</v>
      </c>
      <c r="B6686" s="2">
        <v>0</v>
      </c>
      <c r="C6686" s="2">
        <v>4.3</v>
      </c>
      <c r="D6686" s="60" t="s">
        <v>142</v>
      </c>
    </row>
    <row r="6687" spans="1:10">
      <c r="A6687" s="2" t="s">
        <v>141</v>
      </c>
      <c r="B6687" s="2">
        <v>0</v>
      </c>
      <c r="C6687" s="2">
        <v>6.9</v>
      </c>
      <c r="D6687" s="60" t="s">
        <v>146</v>
      </c>
    </row>
    <row r="6688" spans="1:10">
      <c r="A6688" s="2" t="s">
        <v>141</v>
      </c>
      <c r="B6688" s="2">
        <v>0</v>
      </c>
      <c r="C6688" s="2">
        <v>6.9</v>
      </c>
      <c r="D6688" s="60" t="s">
        <v>158</v>
      </c>
    </row>
    <row r="6689" spans="1:10">
      <c r="A6689" s="2" t="s">
        <v>141</v>
      </c>
      <c r="B6689" s="2">
        <v>4.3</v>
      </c>
      <c r="C6689" s="2">
        <v>6.9</v>
      </c>
      <c r="D6689" s="60" t="s">
        <v>145</v>
      </c>
    </row>
    <row r="6690" spans="1:10">
      <c r="A6690" s="2" t="s">
        <v>141</v>
      </c>
      <c r="B6690" s="2">
        <v>6.9</v>
      </c>
      <c r="C6690" s="2">
        <v>7.4</v>
      </c>
      <c r="D6690" s="60" t="s">
        <v>151</v>
      </c>
    </row>
    <row r="6691" spans="1:10">
      <c r="A6691" s="2" t="s">
        <v>141</v>
      </c>
      <c r="B6691" s="2">
        <v>6.9</v>
      </c>
      <c r="C6691" s="2">
        <v>7.4</v>
      </c>
      <c r="D6691" s="60" t="s">
        <v>177</v>
      </c>
    </row>
    <row r="6692" spans="1:10">
      <c r="A6692" s="2" t="s">
        <v>141</v>
      </c>
      <c r="B6692" s="2">
        <v>6.9</v>
      </c>
      <c r="C6692" s="2">
        <v>7.8</v>
      </c>
      <c r="D6692" s="60" t="s">
        <v>161</v>
      </c>
    </row>
    <row r="6693" spans="1:10">
      <c r="A6693" s="2" t="s">
        <v>141</v>
      </c>
      <c r="B6693" s="2">
        <v>7.4</v>
      </c>
      <c r="C6693" s="2">
        <v>7.7</v>
      </c>
      <c r="D6693" s="60" t="s">
        <v>154</v>
      </c>
    </row>
    <row r="6694" spans="1:10">
      <c r="A6694" s="2" t="s">
        <v>141</v>
      </c>
      <c r="B6694" s="2">
        <v>7.4</v>
      </c>
      <c r="C6694" s="2">
        <v>11.6</v>
      </c>
      <c r="D6694" s="60" t="s">
        <v>145</v>
      </c>
    </row>
    <row r="6695" spans="1:10">
      <c r="A6695" s="2" t="s">
        <v>141</v>
      </c>
      <c r="B6695" s="2">
        <v>7.8</v>
      </c>
      <c r="C6695" s="2">
        <v>21.906199999999998</v>
      </c>
      <c r="D6695" s="60" t="s">
        <v>146</v>
      </c>
    </row>
    <row r="6696" spans="1:10">
      <c r="A6696" s="2" t="s">
        <v>141</v>
      </c>
      <c r="B6696" s="2">
        <v>11.6</v>
      </c>
      <c r="C6696" s="2">
        <v>21.906199999999998</v>
      </c>
      <c r="D6696" s="60" t="s">
        <v>144</v>
      </c>
    </row>
    <row r="6697" spans="1:10">
      <c r="A6697" s="2" t="s">
        <v>156</v>
      </c>
      <c r="B6697" s="2">
        <v>7.4</v>
      </c>
      <c r="C6697" s="2">
        <v>53.398499999999999</v>
      </c>
    </row>
    <row r="6698" spans="1:10">
      <c r="A6698" s="2" t="s">
        <v>148</v>
      </c>
      <c r="B6698" s="2" t="s">
        <v>99</v>
      </c>
      <c r="C6698" s="2">
        <v>8.3707299999999998E-2</v>
      </c>
      <c r="D6698" s="60">
        <v>0</v>
      </c>
      <c r="E6698" s="2">
        <v>0</v>
      </c>
      <c r="F6698" s="2">
        <v>0.3</v>
      </c>
      <c r="G6698" s="2">
        <v>58.292000000000002</v>
      </c>
      <c r="H6698" s="2">
        <v>61.010599999999997</v>
      </c>
      <c r="I6698" s="2">
        <v>0</v>
      </c>
      <c r="J6698" s="2">
        <v>0</v>
      </c>
    </row>
    <row r="6699" spans="1:10">
      <c r="A6699" s="2" t="s">
        <v>148</v>
      </c>
      <c r="B6699" s="2" t="s">
        <v>100</v>
      </c>
      <c r="C6699" s="2">
        <v>1.3969199999999999E-2</v>
      </c>
      <c r="D6699" s="60">
        <v>0</v>
      </c>
      <c r="E6699" s="2">
        <v>24.6938</v>
      </c>
      <c r="F6699" s="2">
        <v>4.0634800000000002</v>
      </c>
      <c r="G6699" s="2">
        <v>0</v>
      </c>
      <c r="H6699" s="2">
        <v>10</v>
      </c>
      <c r="I6699" s="2">
        <v>0</v>
      </c>
      <c r="J6699" s="2">
        <v>0</v>
      </c>
    </row>
    <row r="6700" spans="1:10">
      <c r="A6700" s="2" t="s">
        <v>148</v>
      </c>
      <c r="B6700" s="2" t="s">
        <v>98</v>
      </c>
      <c r="C6700" s="2">
        <v>4.2572600000000002E-2</v>
      </c>
      <c r="D6700" s="60">
        <v>0</v>
      </c>
      <c r="E6700" s="2">
        <v>21.5106</v>
      </c>
      <c r="F6700" s="2">
        <v>3.1831900000000002</v>
      </c>
      <c r="G6700" s="2">
        <v>10</v>
      </c>
      <c r="H6700" s="2">
        <v>15.9373</v>
      </c>
      <c r="I6700" s="2">
        <v>0</v>
      </c>
      <c r="J6700" s="2">
        <v>0</v>
      </c>
    </row>
    <row r="6701" spans="1:10">
      <c r="A6701" s="2" t="s">
        <v>148</v>
      </c>
      <c r="B6701" s="2" t="s">
        <v>101</v>
      </c>
      <c r="C6701" s="2">
        <v>4.1647200000000002E-2</v>
      </c>
      <c r="D6701" s="60">
        <v>0</v>
      </c>
      <c r="E6701" s="2">
        <v>19.8</v>
      </c>
      <c r="F6701" s="2">
        <v>1.71058</v>
      </c>
      <c r="G6701" s="2">
        <v>15.9373</v>
      </c>
      <c r="H6701" s="2">
        <v>19.2258</v>
      </c>
      <c r="I6701" s="2">
        <v>0</v>
      </c>
      <c r="J6701" s="2">
        <v>0</v>
      </c>
    </row>
    <row r="6702" spans="1:10">
      <c r="A6702" s="2" t="s">
        <v>148</v>
      </c>
      <c r="B6702" s="2" t="s">
        <v>61</v>
      </c>
      <c r="C6702" s="2">
        <v>0.29425499999999999</v>
      </c>
      <c r="D6702" s="60">
        <v>25.011600000000001</v>
      </c>
      <c r="E6702" s="2">
        <v>13.8</v>
      </c>
      <c r="F6702" s="2">
        <v>6</v>
      </c>
      <c r="G6702" s="2">
        <v>19.2258</v>
      </c>
      <c r="H6702" s="2">
        <v>30.052099999999999</v>
      </c>
      <c r="I6702" s="2">
        <v>0</v>
      </c>
      <c r="J6702" s="2">
        <v>0</v>
      </c>
    </row>
    <row r="6703" spans="1:10">
      <c r="A6703" s="2" t="s">
        <v>148</v>
      </c>
      <c r="B6703" s="2" t="s">
        <v>59</v>
      </c>
      <c r="C6703" s="2">
        <v>0.561774</v>
      </c>
      <c r="D6703" s="60">
        <v>56.177399999999999</v>
      </c>
      <c r="E6703" s="2">
        <v>7.8</v>
      </c>
      <c r="F6703" s="2">
        <v>6</v>
      </c>
      <c r="G6703" s="2">
        <v>30.052099999999999</v>
      </c>
      <c r="H6703" s="2">
        <v>38.362499999999997</v>
      </c>
      <c r="I6703" s="2">
        <v>0</v>
      </c>
      <c r="J6703" s="2">
        <v>0</v>
      </c>
    </row>
    <row r="6704" spans="1:10">
      <c r="A6704" s="2" t="s">
        <v>148</v>
      </c>
      <c r="B6704" s="2" t="s">
        <v>101</v>
      </c>
      <c r="C6704" s="2">
        <v>0.212197</v>
      </c>
      <c r="D6704" s="60">
        <v>0</v>
      </c>
      <c r="E6704" s="2">
        <v>6.3</v>
      </c>
      <c r="F6704" s="2">
        <v>1.5</v>
      </c>
      <c r="G6704" s="2">
        <v>38.362499999999997</v>
      </c>
      <c r="H6704" s="2">
        <v>44.425899999999999</v>
      </c>
      <c r="I6704" s="2">
        <v>0</v>
      </c>
      <c r="J6704" s="2">
        <v>0</v>
      </c>
    </row>
    <row r="6705" spans="1:10">
      <c r="A6705" s="2" t="s">
        <v>148</v>
      </c>
      <c r="B6705" s="2" t="s">
        <v>57</v>
      </c>
      <c r="C6705" s="2">
        <v>1.13622</v>
      </c>
      <c r="D6705" s="60">
        <v>136.346</v>
      </c>
      <c r="E6705" s="2">
        <v>0.3</v>
      </c>
      <c r="F6705" s="2">
        <v>6</v>
      </c>
      <c r="G6705" s="2">
        <v>44.425899999999999</v>
      </c>
      <c r="H6705" s="2">
        <v>58.292000000000002</v>
      </c>
      <c r="I6705" s="2">
        <v>0</v>
      </c>
      <c r="J6705" s="2">
        <v>0</v>
      </c>
    </row>
    <row r="6706" spans="1:10">
      <c r="A6706" s="2" t="s">
        <v>138</v>
      </c>
      <c r="B6706" s="2">
        <v>8</v>
      </c>
      <c r="C6706" s="2">
        <v>19.651199999999999</v>
      </c>
      <c r="D6706" s="60" t="s">
        <v>139</v>
      </c>
    </row>
    <row r="6707" spans="1:10">
      <c r="A6707" s="2" t="s">
        <v>140</v>
      </c>
      <c r="B6707" s="2">
        <v>0</v>
      </c>
      <c r="C6707" s="2">
        <v>58.075099999999999</v>
      </c>
      <c r="D6707" s="60">
        <v>26.162400000000002</v>
      </c>
    </row>
    <row r="6708" spans="1:10">
      <c r="A6708" s="2" t="s">
        <v>141</v>
      </c>
      <c r="B6708" s="2">
        <v>0</v>
      </c>
      <c r="C6708" s="2">
        <v>5.0999999999999996</v>
      </c>
      <c r="D6708" s="60" t="s">
        <v>142</v>
      </c>
    </row>
    <row r="6709" spans="1:10">
      <c r="A6709" s="2" t="s">
        <v>141</v>
      </c>
      <c r="B6709" s="2">
        <v>0</v>
      </c>
      <c r="C6709" s="2">
        <v>20</v>
      </c>
      <c r="D6709" s="60" t="s">
        <v>146</v>
      </c>
    </row>
    <row r="6710" spans="1:10">
      <c r="A6710" s="2" t="s">
        <v>141</v>
      </c>
      <c r="B6710" s="2">
        <v>5.0999999999999996</v>
      </c>
      <c r="C6710" s="2">
        <v>8.6</v>
      </c>
      <c r="D6710" s="60" t="s">
        <v>144</v>
      </c>
    </row>
    <row r="6711" spans="1:10">
      <c r="A6711" s="2" t="s">
        <v>141</v>
      </c>
      <c r="B6711" s="2">
        <v>8.6</v>
      </c>
      <c r="C6711" s="2">
        <v>9.6</v>
      </c>
      <c r="D6711" s="60" t="s">
        <v>147</v>
      </c>
    </row>
    <row r="6712" spans="1:10">
      <c r="A6712" s="2" t="s">
        <v>141</v>
      </c>
      <c r="B6712" s="2">
        <v>9.6</v>
      </c>
      <c r="C6712" s="2">
        <v>14.2</v>
      </c>
      <c r="D6712" s="60" t="s">
        <v>145</v>
      </c>
    </row>
    <row r="6713" spans="1:10">
      <c r="A6713" s="2" t="s">
        <v>141</v>
      </c>
      <c r="B6713" s="2">
        <v>14.2</v>
      </c>
      <c r="C6713" s="2">
        <v>20</v>
      </c>
      <c r="D6713" s="60" t="s">
        <v>144</v>
      </c>
    </row>
    <row r="6714" spans="1:10">
      <c r="A6714" s="2" t="s">
        <v>148</v>
      </c>
      <c r="B6714" s="2" t="s">
        <v>99</v>
      </c>
      <c r="C6714" s="2">
        <v>7.8573100000000007E-2</v>
      </c>
      <c r="D6714" s="60">
        <v>0</v>
      </c>
      <c r="E6714" s="2">
        <v>0</v>
      </c>
      <c r="F6714" s="2">
        <v>0.3</v>
      </c>
      <c r="G6714" s="2">
        <v>56.3673</v>
      </c>
      <c r="H6714" s="2">
        <v>59.236899999999999</v>
      </c>
      <c r="I6714" s="2">
        <v>0</v>
      </c>
      <c r="J6714" s="2">
        <v>0</v>
      </c>
    </row>
    <row r="6715" spans="1:10">
      <c r="A6715" s="2" t="s">
        <v>148</v>
      </c>
      <c r="B6715" s="2" t="s">
        <v>100</v>
      </c>
      <c r="C6715" s="2">
        <v>1.16604E-2</v>
      </c>
      <c r="D6715" s="60">
        <v>0</v>
      </c>
      <c r="E6715" s="2">
        <v>22.829799999999999</v>
      </c>
      <c r="F6715" s="2">
        <v>3.33264</v>
      </c>
      <c r="G6715" s="2">
        <v>0</v>
      </c>
      <c r="H6715" s="2">
        <v>10</v>
      </c>
      <c r="I6715" s="2">
        <v>0</v>
      </c>
      <c r="J6715" s="2">
        <v>0</v>
      </c>
    </row>
    <row r="6716" spans="1:10">
      <c r="A6716" s="2" t="s">
        <v>148</v>
      </c>
      <c r="B6716" s="2" t="s">
        <v>98</v>
      </c>
      <c r="C6716" s="2">
        <v>0.29888199999999998</v>
      </c>
      <c r="D6716" s="60">
        <v>0</v>
      </c>
      <c r="E6716" s="2">
        <v>13.926399999999999</v>
      </c>
      <c r="F6716" s="2">
        <v>8.9034099999999992</v>
      </c>
      <c r="G6716" s="2">
        <v>10</v>
      </c>
      <c r="H6716" s="2">
        <v>29.646000000000001</v>
      </c>
      <c r="I6716" s="2">
        <v>0</v>
      </c>
      <c r="J6716" s="2">
        <v>0</v>
      </c>
    </row>
    <row r="6717" spans="1:10">
      <c r="A6717" s="2" t="s">
        <v>148</v>
      </c>
      <c r="B6717" s="2" t="s">
        <v>101</v>
      </c>
      <c r="C6717" s="2">
        <v>0.12503700000000001</v>
      </c>
      <c r="D6717" s="60">
        <v>0</v>
      </c>
      <c r="E6717" s="2">
        <v>12.3</v>
      </c>
      <c r="F6717" s="2">
        <v>1.6263799999999999</v>
      </c>
      <c r="G6717" s="2">
        <v>29.646000000000001</v>
      </c>
      <c r="H6717" s="2">
        <v>32.858699999999999</v>
      </c>
      <c r="I6717" s="2">
        <v>0</v>
      </c>
      <c r="J6717" s="2">
        <v>0</v>
      </c>
    </row>
    <row r="6718" spans="1:10">
      <c r="A6718" s="2" t="s">
        <v>148</v>
      </c>
      <c r="B6718" s="2" t="s">
        <v>59</v>
      </c>
      <c r="C6718" s="2">
        <v>0.41683100000000001</v>
      </c>
      <c r="D6718" s="60">
        <v>41.683100000000003</v>
      </c>
      <c r="E6718" s="2">
        <v>8.3000000000000007</v>
      </c>
      <c r="F6718" s="2">
        <v>4</v>
      </c>
      <c r="G6718" s="2">
        <v>32.858699999999999</v>
      </c>
      <c r="H6718" s="2">
        <v>39.607900000000001</v>
      </c>
      <c r="I6718" s="2">
        <v>0</v>
      </c>
      <c r="J6718" s="2">
        <v>0</v>
      </c>
    </row>
    <row r="6719" spans="1:10">
      <c r="A6719" s="2" t="s">
        <v>148</v>
      </c>
      <c r="B6719" s="2" t="s">
        <v>59</v>
      </c>
      <c r="C6719" s="2">
        <v>0.56433999999999995</v>
      </c>
      <c r="D6719" s="60">
        <v>56.433999999999997</v>
      </c>
      <c r="E6719" s="2">
        <v>4.3</v>
      </c>
      <c r="F6719" s="2">
        <v>4</v>
      </c>
      <c r="G6719" s="2">
        <v>39.607900000000001</v>
      </c>
      <c r="H6719" s="2">
        <v>44.957000000000001</v>
      </c>
      <c r="I6719" s="2">
        <v>0</v>
      </c>
      <c r="J6719" s="2">
        <v>0</v>
      </c>
    </row>
    <row r="6720" spans="1:10">
      <c r="A6720" s="2" t="s">
        <v>148</v>
      </c>
      <c r="B6720" s="2" t="s">
        <v>55</v>
      </c>
      <c r="C6720" s="2">
        <v>0.74951999999999996</v>
      </c>
      <c r="D6720" s="60">
        <v>108.68</v>
      </c>
      <c r="E6720" s="2">
        <v>0.3</v>
      </c>
      <c r="F6720" s="2">
        <v>4</v>
      </c>
      <c r="G6720" s="2">
        <v>44.957000000000001</v>
      </c>
      <c r="H6720" s="2">
        <v>56.3673</v>
      </c>
      <c r="I6720" s="2">
        <v>0</v>
      </c>
      <c r="J6720" s="2">
        <v>0</v>
      </c>
    </row>
    <row r="6721" spans="1:10">
      <c r="A6721" s="2" t="s">
        <v>138</v>
      </c>
      <c r="B6721" s="2">
        <v>9</v>
      </c>
      <c r="C6721" s="2">
        <v>19.6632</v>
      </c>
      <c r="D6721" s="60" t="s">
        <v>149</v>
      </c>
    </row>
    <row r="6722" spans="1:10">
      <c r="A6722" s="2" t="s">
        <v>140</v>
      </c>
      <c r="B6722" s="2">
        <v>0</v>
      </c>
      <c r="C6722" s="2">
        <v>56.319400000000002</v>
      </c>
      <c r="D6722" s="60">
        <v>28.302499999999998</v>
      </c>
    </row>
    <row r="6723" spans="1:10">
      <c r="A6723" s="2" t="s">
        <v>141</v>
      </c>
      <c r="B6723" s="2">
        <v>0</v>
      </c>
      <c r="C6723" s="2">
        <v>0.5</v>
      </c>
      <c r="D6723" s="60" t="s">
        <v>157</v>
      </c>
    </row>
    <row r="6724" spans="1:10">
      <c r="A6724" s="2" t="s">
        <v>141</v>
      </c>
      <c r="B6724" s="2">
        <v>0</v>
      </c>
      <c r="C6724" s="2">
        <v>2</v>
      </c>
      <c r="D6724" s="60" t="s">
        <v>152</v>
      </c>
    </row>
    <row r="6725" spans="1:10">
      <c r="A6725" s="2" t="s">
        <v>141</v>
      </c>
      <c r="B6725" s="2">
        <v>0</v>
      </c>
      <c r="C6725" s="2">
        <v>4.5999999999999996</v>
      </c>
      <c r="D6725" s="60" t="s">
        <v>142</v>
      </c>
    </row>
    <row r="6726" spans="1:10">
      <c r="A6726" s="2" t="s">
        <v>141</v>
      </c>
      <c r="B6726" s="2">
        <v>2</v>
      </c>
      <c r="C6726" s="2">
        <v>21.572099999999999</v>
      </c>
      <c r="D6726" s="60" t="s">
        <v>155</v>
      </c>
    </row>
    <row r="6727" spans="1:10">
      <c r="A6727" s="2" t="s">
        <v>141</v>
      </c>
      <c r="B6727" s="2">
        <v>4.5999999999999996</v>
      </c>
      <c r="C6727" s="2">
        <v>7.5</v>
      </c>
      <c r="D6727" s="60" t="s">
        <v>145</v>
      </c>
    </row>
    <row r="6728" spans="1:10">
      <c r="A6728" s="2" t="s">
        <v>141</v>
      </c>
      <c r="B6728" s="2">
        <v>7.5</v>
      </c>
      <c r="C6728" s="2">
        <v>12.3</v>
      </c>
      <c r="D6728" s="60" t="s">
        <v>147</v>
      </c>
    </row>
    <row r="6729" spans="1:10">
      <c r="A6729" s="2" t="s">
        <v>141</v>
      </c>
      <c r="B6729" s="2">
        <v>12.3</v>
      </c>
      <c r="C6729" s="2">
        <v>21.572099999999999</v>
      </c>
      <c r="D6729" s="60" t="s">
        <v>144</v>
      </c>
    </row>
    <row r="6730" spans="1:10">
      <c r="A6730" s="2" t="s">
        <v>148</v>
      </c>
      <c r="B6730" s="2" t="s">
        <v>99</v>
      </c>
      <c r="C6730" s="2">
        <v>7.4734400000000006E-2</v>
      </c>
      <c r="D6730" s="60">
        <v>0</v>
      </c>
      <c r="E6730" s="2">
        <v>0</v>
      </c>
      <c r="F6730" s="2">
        <v>0.3</v>
      </c>
      <c r="G6730" s="2">
        <v>55.061799999999998</v>
      </c>
      <c r="H6730" s="2">
        <v>57.668100000000003</v>
      </c>
      <c r="I6730" s="2">
        <v>0</v>
      </c>
      <c r="J6730" s="2">
        <v>0</v>
      </c>
    </row>
    <row r="6731" spans="1:10">
      <c r="A6731" s="2" t="s">
        <v>148</v>
      </c>
      <c r="B6731" s="2" t="s">
        <v>100</v>
      </c>
      <c r="C6731" s="2">
        <v>1.30194E-2</v>
      </c>
      <c r="D6731" s="60">
        <v>0</v>
      </c>
      <c r="E6731" s="2">
        <v>24.558</v>
      </c>
      <c r="F6731" s="2">
        <v>3.7444299999999999</v>
      </c>
      <c r="G6731" s="2">
        <v>0</v>
      </c>
      <c r="H6731" s="2">
        <v>10</v>
      </c>
      <c r="I6731" s="2">
        <v>0</v>
      </c>
      <c r="J6731" s="2">
        <v>0</v>
      </c>
    </row>
    <row r="6732" spans="1:10">
      <c r="A6732" s="2" t="s">
        <v>148</v>
      </c>
      <c r="B6732" s="2" t="s">
        <v>101</v>
      </c>
      <c r="C6732" s="2">
        <v>4.6079399999999999E-4</v>
      </c>
      <c r="D6732" s="60">
        <v>0</v>
      </c>
      <c r="E6732" s="2">
        <v>24.5</v>
      </c>
      <c r="F6732" s="2">
        <v>5.8026000000000001E-2</v>
      </c>
      <c r="G6732" s="2">
        <v>10</v>
      </c>
      <c r="H6732" s="2">
        <v>10.1106</v>
      </c>
      <c r="I6732" s="2">
        <v>0</v>
      </c>
      <c r="J6732" s="2">
        <v>0</v>
      </c>
    </row>
    <row r="6733" spans="1:10">
      <c r="A6733" s="2" t="s">
        <v>148</v>
      </c>
      <c r="B6733" s="2" t="s">
        <v>64</v>
      </c>
      <c r="C6733" s="2">
        <v>7.7249700000000004E-2</v>
      </c>
      <c r="D6733" s="60">
        <v>2.3174899999999998</v>
      </c>
      <c r="E6733" s="2">
        <v>20</v>
      </c>
      <c r="F6733" s="2">
        <v>4.5</v>
      </c>
      <c r="G6733" s="2">
        <v>10.1106</v>
      </c>
      <c r="H6733" s="2">
        <v>19.110399999999998</v>
      </c>
      <c r="I6733" s="2">
        <v>0</v>
      </c>
      <c r="J6733" s="2">
        <v>0</v>
      </c>
    </row>
    <row r="6734" spans="1:10">
      <c r="A6734" s="2" t="s">
        <v>148</v>
      </c>
      <c r="B6734" s="2" t="s">
        <v>63</v>
      </c>
      <c r="C6734" s="2">
        <v>0.17014299999999999</v>
      </c>
      <c r="D6734" s="60">
        <v>11.91</v>
      </c>
      <c r="E6734" s="2">
        <v>16</v>
      </c>
      <c r="F6734" s="2">
        <v>4</v>
      </c>
      <c r="G6734" s="2">
        <v>19.110399999999998</v>
      </c>
      <c r="H6734" s="2">
        <v>27.1067</v>
      </c>
      <c r="I6734" s="2">
        <v>0</v>
      </c>
      <c r="J6734" s="2">
        <v>0</v>
      </c>
    </row>
    <row r="6735" spans="1:10">
      <c r="A6735" s="2" t="s">
        <v>148</v>
      </c>
      <c r="B6735" s="2" t="s">
        <v>62</v>
      </c>
      <c r="C6735" s="2">
        <v>0.29799500000000001</v>
      </c>
      <c r="D6735" s="60">
        <v>23.839600000000001</v>
      </c>
      <c r="E6735" s="2">
        <v>12</v>
      </c>
      <c r="F6735" s="2">
        <v>4</v>
      </c>
      <c r="G6735" s="2">
        <v>27.1067</v>
      </c>
      <c r="H6735" s="2">
        <v>34.144599999999997</v>
      </c>
      <c r="I6735" s="2">
        <v>0</v>
      </c>
      <c r="J6735" s="2">
        <v>0</v>
      </c>
    </row>
    <row r="6736" spans="1:10">
      <c r="A6736" s="2" t="s">
        <v>148</v>
      </c>
      <c r="B6736" s="2" t="s">
        <v>62</v>
      </c>
      <c r="C6736" s="2">
        <v>0.43321999999999999</v>
      </c>
      <c r="D6736" s="60">
        <v>34.657600000000002</v>
      </c>
      <c r="E6736" s="2">
        <v>8</v>
      </c>
      <c r="F6736" s="2">
        <v>4</v>
      </c>
      <c r="G6736" s="2">
        <v>34.144599999999997</v>
      </c>
      <c r="H6736" s="2">
        <v>39.826500000000003</v>
      </c>
      <c r="I6736" s="2">
        <v>0</v>
      </c>
      <c r="J6736" s="2">
        <v>0</v>
      </c>
    </row>
    <row r="6737" spans="1:10">
      <c r="A6737" s="2" t="s">
        <v>148</v>
      </c>
      <c r="B6737" s="2" t="s">
        <v>62</v>
      </c>
      <c r="C6737" s="2">
        <v>0.89186900000000002</v>
      </c>
      <c r="D6737" s="60">
        <v>71.349500000000006</v>
      </c>
      <c r="E6737" s="2">
        <v>2</v>
      </c>
      <c r="F6737" s="2">
        <v>6</v>
      </c>
      <c r="G6737" s="2">
        <v>39.826500000000003</v>
      </c>
      <c r="H6737" s="2">
        <v>47.684600000000003</v>
      </c>
      <c r="I6737" s="2">
        <v>0</v>
      </c>
      <c r="J6737" s="2">
        <v>0</v>
      </c>
    </row>
    <row r="6738" spans="1:10">
      <c r="A6738" s="2" t="s">
        <v>148</v>
      </c>
      <c r="B6738" s="2" t="s">
        <v>101</v>
      </c>
      <c r="C6738" s="2">
        <v>0.34285500000000002</v>
      </c>
      <c r="D6738" s="60">
        <v>0</v>
      </c>
      <c r="E6738" s="2">
        <v>0.3</v>
      </c>
      <c r="F6738" s="2">
        <v>1.7</v>
      </c>
      <c r="G6738" s="2">
        <v>47.684600000000003</v>
      </c>
      <c r="H6738" s="2">
        <v>55.061799999999998</v>
      </c>
      <c r="I6738" s="2">
        <v>0</v>
      </c>
      <c r="J6738" s="2">
        <v>0</v>
      </c>
    </row>
    <row r="6739" spans="1:10">
      <c r="A6739" s="2" t="s">
        <v>138</v>
      </c>
      <c r="B6739" s="2">
        <v>10</v>
      </c>
      <c r="C6739" s="2">
        <v>19.465699999999998</v>
      </c>
      <c r="D6739" s="60" t="s">
        <v>139</v>
      </c>
    </row>
    <row r="6740" spans="1:10">
      <c r="A6740" s="2" t="s">
        <v>140</v>
      </c>
      <c r="B6740" s="2">
        <v>0</v>
      </c>
      <c r="C6740" s="2">
        <v>51.8855</v>
      </c>
      <c r="D6740" s="60">
        <v>24.801200000000001</v>
      </c>
    </row>
    <row r="6741" spans="1:10">
      <c r="A6741" s="2" t="s">
        <v>141</v>
      </c>
      <c r="B6741" s="2">
        <v>0</v>
      </c>
      <c r="C6741" s="2">
        <v>4.3</v>
      </c>
      <c r="D6741" s="60" t="s">
        <v>142</v>
      </c>
    </row>
    <row r="6742" spans="1:10">
      <c r="A6742" s="2" t="s">
        <v>141</v>
      </c>
      <c r="B6742" s="2">
        <v>0</v>
      </c>
      <c r="C6742" s="2">
        <v>5</v>
      </c>
      <c r="D6742" s="60" t="s">
        <v>158</v>
      </c>
    </row>
    <row r="6743" spans="1:10">
      <c r="A6743" s="2" t="s">
        <v>141</v>
      </c>
      <c r="B6743" s="2">
        <v>0</v>
      </c>
      <c r="C6743" s="2">
        <v>19</v>
      </c>
      <c r="D6743" s="60" t="s">
        <v>146</v>
      </c>
    </row>
    <row r="6744" spans="1:10">
      <c r="A6744" s="2" t="s">
        <v>141</v>
      </c>
      <c r="B6744" s="2">
        <v>4.3</v>
      </c>
      <c r="C6744" s="2">
        <v>12.2</v>
      </c>
      <c r="D6744" s="60" t="s">
        <v>145</v>
      </c>
    </row>
    <row r="6745" spans="1:10">
      <c r="A6745" s="2" t="s">
        <v>141</v>
      </c>
      <c r="B6745" s="2">
        <v>5</v>
      </c>
      <c r="C6745" s="2">
        <v>5.3</v>
      </c>
      <c r="D6745" s="60" t="s">
        <v>160</v>
      </c>
    </row>
    <row r="6746" spans="1:10">
      <c r="A6746" s="2" t="s">
        <v>141</v>
      </c>
      <c r="B6746" s="2">
        <v>5.3</v>
      </c>
      <c r="C6746" s="2">
        <v>7.2</v>
      </c>
      <c r="D6746" s="60" t="s">
        <v>158</v>
      </c>
    </row>
    <row r="6747" spans="1:10">
      <c r="A6747" s="2" t="s">
        <v>141</v>
      </c>
      <c r="B6747" s="2">
        <v>7.2</v>
      </c>
      <c r="C6747" s="2">
        <v>7.6</v>
      </c>
      <c r="D6747" s="60" t="s">
        <v>231</v>
      </c>
    </row>
    <row r="6748" spans="1:10">
      <c r="A6748" s="2" t="s">
        <v>141</v>
      </c>
      <c r="B6748" s="2">
        <v>12.2</v>
      </c>
      <c r="C6748" s="2">
        <v>19</v>
      </c>
      <c r="D6748" s="60" t="s">
        <v>144</v>
      </c>
    </row>
    <row r="6749" spans="1:10">
      <c r="A6749" s="2" t="s">
        <v>148</v>
      </c>
      <c r="B6749" s="2" t="s">
        <v>99</v>
      </c>
      <c r="C6749" s="2">
        <v>6.4006900000000005E-2</v>
      </c>
      <c r="D6749" s="60">
        <v>0</v>
      </c>
      <c r="E6749" s="2">
        <v>0</v>
      </c>
      <c r="F6749" s="2">
        <v>0.3</v>
      </c>
      <c r="G6749" s="2">
        <v>50.816499999999998</v>
      </c>
      <c r="H6749" s="2">
        <v>53.533900000000003</v>
      </c>
      <c r="I6749" s="2">
        <v>0</v>
      </c>
      <c r="J6749" s="2">
        <v>0</v>
      </c>
    </row>
    <row r="6750" spans="1:10">
      <c r="A6750" s="2" t="s">
        <v>148</v>
      </c>
      <c r="B6750" s="2" t="s">
        <v>100</v>
      </c>
      <c r="C6750" s="2">
        <v>1.2414100000000001E-2</v>
      </c>
      <c r="D6750" s="60">
        <v>0</v>
      </c>
      <c r="E6750" s="2">
        <v>21.166399999999999</v>
      </c>
      <c r="F6750" s="2">
        <v>3.6347999999999998</v>
      </c>
      <c r="G6750" s="2">
        <v>0</v>
      </c>
      <c r="H6750" s="2">
        <v>10</v>
      </c>
      <c r="I6750" s="2">
        <v>0</v>
      </c>
      <c r="J6750" s="2">
        <v>0</v>
      </c>
    </row>
    <row r="6751" spans="1:10">
      <c r="A6751" s="2" t="s">
        <v>148</v>
      </c>
      <c r="B6751" s="2" t="s">
        <v>98</v>
      </c>
      <c r="C6751" s="2">
        <v>0.25481900000000002</v>
      </c>
      <c r="D6751" s="60">
        <v>0</v>
      </c>
      <c r="E6751" s="2">
        <v>12.7418</v>
      </c>
      <c r="F6751" s="2">
        <v>8.4245400000000004</v>
      </c>
      <c r="G6751" s="2">
        <v>10</v>
      </c>
      <c r="H6751" s="2">
        <v>27.6815</v>
      </c>
      <c r="I6751" s="2">
        <v>0</v>
      </c>
      <c r="J6751" s="2">
        <v>0</v>
      </c>
    </row>
    <row r="6752" spans="1:10">
      <c r="A6752" s="2" t="s">
        <v>148</v>
      </c>
      <c r="B6752" s="2" t="s">
        <v>101</v>
      </c>
      <c r="C6752" s="2">
        <v>2.74054E-2</v>
      </c>
      <c r="D6752" s="60">
        <v>0</v>
      </c>
      <c r="E6752" s="2">
        <v>12.3</v>
      </c>
      <c r="F6752" s="2">
        <v>0.44184099999999998</v>
      </c>
      <c r="G6752" s="2">
        <v>27.6815</v>
      </c>
      <c r="H6752" s="2">
        <v>28.517700000000001</v>
      </c>
      <c r="I6752" s="2">
        <v>0</v>
      </c>
      <c r="J6752" s="2">
        <v>0</v>
      </c>
    </row>
    <row r="6753" spans="1:10">
      <c r="A6753" s="2" t="s">
        <v>148</v>
      </c>
      <c r="B6753" s="2" t="s">
        <v>60</v>
      </c>
      <c r="C6753" s="2">
        <v>0.322606</v>
      </c>
      <c r="D6753" s="60">
        <v>29.034600000000001</v>
      </c>
      <c r="E6753" s="2">
        <v>8.3000000000000007</v>
      </c>
      <c r="F6753" s="2">
        <v>4</v>
      </c>
      <c r="G6753" s="2">
        <v>28.517700000000001</v>
      </c>
      <c r="H6753" s="2">
        <v>35.175800000000002</v>
      </c>
      <c r="I6753" s="2">
        <v>0</v>
      </c>
      <c r="J6753" s="2">
        <v>0</v>
      </c>
    </row>
    <row r="6754" spans="1:10">
      <c r="A6754" s="2" t="s">
        <v>148</v>
      </c>
      <c r="B6754" s="2" t="s">
        <v>62</v>
      </c>
      <c r="C6754" s="2">
        <v>0.45083000000000001</v>
      </c>
      <c r="D6754" s="60">
        <v>36.066400000000002</v>
      </c>
      <c r="E6754" s="2">
        <v>4.3</v>
      </c>
      <c r="F6754" s="2">
        <v>4</v>
      </c>
      <c r="G6754" s="2">
        <v>35.175800000000002</v>
      </c>
      <c r="H6754" s="2">
        <v>40.356200000000001</v>
      </c>
      <c r="I6754" s="2">
        <v>0</v>
      </c>
      <c r="J6754" s="2">
        <v>0</v>
      </c>
    </row>
    <row r="6755" spans="1:10">
      <c r="A6755" s="2" t="s">
        <v>148</v>
      </c>
      <c r="B6755" s="2" t="s">
        <v>55</v>
      </c>
      <c r="C6755" s="2">
        <v>0.60593600000000003</v>
      </c>
      <c r="D6755" s="60">
        <v>87.860799999999998</v>
      </c>
      <c r="E6755" s="2">
        <v>0.3</v>
      </c>
      <c r="F6755" s="2">
        <v>4</v>
      </c>
      <c r="G6755" s="2">
        <v>40.356200000000001</v>
      </c>
      <c r="H6755" s="2">
        <v>50.816499999999998</v>
      </c>
      <c r="I6755" s="2">
        <v>0</v>
      </c>
      <c r="J6755" s="2">
        <v>0</v>
      </c>
    </row>
    <row r="6756" spans="1:10">
      <c r="A6756" s="2" t="s">
        <v>138</v>
      </c>
      <c r="B6756" s="2">
        <v>11</v>
      </c>
      <c r="C6756" s="2">
        <v>19.712499999999999</v>
      </c>
      <c r="D6756" s="60" t="s">
        <v>139</v>
      </c>
    </row>
    <row r="6757" spans="1:10">
      <c r="A6757" s="2" t="s">
        <v>140</v>
      </c>
      <c r="B6757" s="2">
        <v>0</v>
      </c>
      <c r="C6757" s="2">
        <v>60.692300000000003</v>
      </c>
      <c r="D6757" s="60">
        <v>27.115300000000001</v>
      </c>
    </row>
    <row r="6758" spans="1:10">
      <c r="A6758" s="2" t="s">
        <v>141</v>
      </c>
      <c r="B6758" s="2">
        <v>0</v>
      </c>
      <c r="C6758" s="2">
        <v>4.7</v>
      </c>
      <c r="D6758" s="60" t="s">
        <v>142</v>
      </c>
    </row>
    <row r="6759" spans="1:10">
      <c r="A6759" s="2" t="s">
        <v>141</v>
      </c>
      <c r="B6759" s="2">
        <v>0</v>
      </c>
      <c r="C6759" s="2">
        <v>20.7</v>
      </c>
      <c r="D6759" s="60" t="s">
        <v>146</v>
      </c>
    </row>
    <row r="6760" spans="1:10">
      <c r="A6760" s="2" t="s">
        <v>141</v>
      </c>
      <c r="B6760" s="2">
        <v>4.7</v>
      </c>
      <c r="C6760" s="2">
        <v>8</v>
      </c>
      <c r="D6760" s="60" t="s">
        <v>145</v>
      </c>
    </row>
    <row r="6761" spans="1:10">
      <c r="A6761" s="2" t="s">
        <v>141</v>
      </c>
      <c r="B6761" s="2">
        <v>8</v>
      </c>
      <c r="C6761" s="2">
        <v>10.199999999999999</v>
      </c>
      <c r="D6761" s="60" t="s">
        <v>147</v>
      </c>
    </row>
    <row r="6762" spans="1:10">
      <c r="A6762" s="2" t="s">
        <v>141</v>
      </c>
      <c r="B6762" s="2">
        <v>10.199999999999999</v>
      </c>
      <c r="C6762" s="2">
        <v>20.7</v>
      </c>
      <c r="D6762" s="60" t="s">
        <v>144</v>
      </c>
    </row>
    <row r="6763" spans="1:10">
      <c r="A6763" s="2" t="s">
        <v>148</v>
      </c>
      <c r="B6763" s="2" t="s">
        <v>99</v>
      </c>
      <c r="C6763" s="2">
        <v>8.5213999999999998E-2</v>
      </c>
      <c r="D6763" s="60">
        <v>0</v>
      </c>
      <c r="E6763" s="2">
        <v>0</v>
      </c>
      <c r="F6763" s="2">
        <v>0.3</v>
      </c>
      <c r="G6763" s="2">
        <v>58.744799999999998</v>
      </c>
      <c r="H6763" s="2">
        <v>61.638199999999998</v>
      </c>
      <c r="I6763" s="2">
        <v>0</v>
      </c>
      <c r="J6763" s="2">
        <v>0</v>
      </c>
    </row>
    <row r="6764" spans="1:10">
      <c r="A6764" s="2" t="s">
        <v>148</v>
      </c>
      <c r="B6764" s="2" t="s">
        <v>100</v>
      </c>
      <c r="C6764" s="2">
        <v>1.15186E-2</v>
      </c>
      <c r="D6764" s="60">
        <v>0</v>
      </c>
      <c r="E6764" s="2">
        <v>23.852799999999998</v>
      </c>
      <c r="F6764" s="2">
        <v>3.26248</v>
      </c>
      <c r="G6764" s="2">
        <v>0</v>
      </c>
      <c r="H6764" s="2">
        <v>10</v>
      </c>
      <c r="I6764" s="2">
        <v>0</v>
      </c>
      <c r="J6764" s="2">
        <v>0</v>
      </c>
    </row>
    <row r="6765" spans="1:10">
      <c r="A6765" s="2" t="s">
        <v>148</v>
      </c>
      <c r="B6765" s="2" t="s">
        <v>98</v>
      </c>
      <c r="C6765" s="2">
        <v>0.51781999999999995</v>
      </c>
      <c r="D6765" s="60">
        <v>0</v>
      </c>
      <c r="E6765" s="2">
        <v>12.316700000000001</v>
      </c>
      <c r="F6765" s="2">
        <v>11.536199999999999</v>
      </c>
      <c r="G6765" s="2">
        <v>10</v>
      </c>
      <c r="H6765" s="2">
        <v>35.002800000000001</v>
      </c>
      <c r="I6765" s="2">
        <v>0</v>
      </c>
      <c r="J6765" s="2">
        <v>0</v>
      </c>
    </row>
    <row r="6766" spans="1:10">
      <c r="A6766" s="2" t="s">
        <v>148</v>
      </c>
      <c r="B6766" s="2" t="s">
        <v>101</v>
      </c>
      <c r="C6766" s="2">
        <v>1.6052099999999999E-3</v>
      </c>
      <c r="D6766" s="60">
        <v>0</v>
      </c>
      <c r="E6766" s="2">
        <v>12.3</v>
      </c>
      <c r="F6766" s="2">
        <v>1.66667E-2</v>
      </c>
      <c r="G6766" s="2">
        <v>35.002800000000001</v>
      </c>
      <c r="H6766" s="2">
        <v>35.033799999999999</v>
      </c>
      <c r="I6766" s="2">
        <v>0</v>
      </c>
      <c r="J6766" s="2">
        <v>0</v>
      </c>
    </row>
    <row r="6767" spans="1:10">
      <c r="A6767" s="2" t="s">
        <v>148</v>
      </c>
      <c r="B6767" s="2" t="s">
        <v>59</v>
      </c>
      <c r="C6767" s="2">
        <v>0.46635599999999999</v>
      </c>
      <c r="D6767" s="60">
        <v>46.635599999999997</v>
      </c>
      <c r="E6767" s="2">
        <v>8.3000000000000007</v>
      </c>
      <c r="F6767" s="2">
        <v>4</v>
      </c>
      <c r="G6767" s="2">
        <v>35.033799999999999</v>
      </c>
      <c r="H6767" s="2">
        <v>41.658700000000003</v>
      </c>
      <c r="I6767" s="2">
        <v>0</v>
      </c>
      <c r="J6767" s="2">
        <v>0</v>
      </c>
    </row>
    <row r="6768" spans="1:10">
      <c r="A6768" s="2" t="s">
        <v>148</v>
      </c>
      <c r="B6768" s="2" t="s">
        <v>58</v>
      </c>
      <c r="C6768" s="2">
        <v>0.61954200000000004</v>
      </c>
      <c r="D6768" s="60">
        <v>65.051900000000003</v>
      </c>
      <c r="E6768" s="2">
        <v>4.3</v>
      </c>
      <c r="F6768" s="2">
        <v>4</v>
      </c>
      <c r="G6768" s="2">
        <v>41.658700000000003</v>
      </c>
      <c r="H6768" s="2">
        <v>46.981999999999999</v>
      </c>
      <c r="I6768" s="2">
        <v>0</v>
      </c>
      <c r="J6768" s="2">
        <v>0</v>
      </c>
    </row>
    <row r="6769" spans="1:10">
      <c r="A6769" s="2" t="s">
        <v>148</v>
      </c>
      <c r="B6769" s="2" t="s">
        <v>55</v>
      </c>
      <c r="C6769" s="2">
        <v>0.816998</v>
      </c>
      <c r="D6769" s="60">
        <v>118.465</v>
      </c>
      <c r="E6769" s="2">
        <v>0.3</v>
      </c>
      <c r="F6769" s="2">
        <v>4</v>
      </c>
      <c r="G6769" s="2">
        <v>46.981999999999999</v>
      </c>
      <c r="H6769" s="2">
        <v>58.744799999999998</v>
      </c>
      <c r="I6769" s="2">
        <v>0</v>
      </c>
      <c r="J6769" s="2">
        <v>0</v>
      </c>
    </row>
    <row r="6770" spans="1:10">
      <c r="A6770" s="2" t="s">
        <v>138</v>
      </c>
      <c r="B6770" s="2">
        <v>12</v>
      </c>
      <c r="C6770" s="2">
        <v>19.7606</v>
      </c>
      <c r="D6770" s="60" t="s">
        <v>149</v>
      </c>
    </row>
    <row r="6771" spans="1:10">
      <c r="A6771" s="2" t="s">
        <v>140</v>
      </c>
      <c r="B6771" s="2">
        <v>0</v>
      </c>
      <c r="C6771" s="2">
        <v>62.138599999999997</v>
      </c>
      <c r="D6771" s="60">
        <v>29.013000000000002</v>
      </c>
    </row>
    <row r="6772" spans="1:10">
      <c r="A6772" s="2" t="s">
        <v>141</v>
      </c>
      <c r="B6772" s="2">
        <v>0</v>
      </c>
      <c r="C6772" s="2">
        <v>3.8</v>
      </c>
      <c r="D6772" s="60" t="s">
        <v>142</v>
      </c>
    </row>
    <row r="6773" spans="1:10">
      <c r="A6773" s="2" t="s">
        <v>141</v>
      </c>
      <c r="B6773" s="2">
        <v>0</v>
      </c>
      <c r="C6773" s="2">
        <v>8.5</v>
      </c>
      <c r="D6773" s="60" t="s">
        <v>146</v>
      </c>
    </row>
    <row r="6774" spans="1:10">
      <c r="A6774" s="2" t="s">
        <v>141</v>
      </c>
      <c r="B6774" s="2">
        <v>3.8</v>
      </c>
      <c r="C6774" s="2">
        <v>5.3</v>
      </c>
      <c r="D6774" s="60" t="s">
        <v>144</v>
      </c>
    </row>
    <row r="6775" spans="1:10">
      <c r="A6775" s="2" t="s">
        <v>141</v>
      </c>
      <c r="B6775" s="2">
        <v>5.3</v>
      </c>
      <c r="C6775" s="2">
        <v>6</v>
      </c>
      <c r="D6775" s="60" t="s">
        <v>147</v>
      </c>
    </row>
    <row r="6776" spans="1:10">
      <c r="A6776" s="2" t="s">
        <v>141</v>
      </c>
      <c r="B6776" s="2">
        <v>6</v>
      </c>
      <c r="C6776" s="2">
        <v>8.5</v>
      </c>
      <c r="D6776" s="60" t="s">
        <v>145</v>
      </c>
    </row>
    <row r="6777" spans="1:10">
      <c r="A6777" s="2" t="s">
        <v>141</v>
      </c>
      <c r="B6777" s="2">
        <v>8.5</v>
      </c>
      <c r="C6777" s="2">
        <v>8.9</v>
      </c>
      <c r="D6777" s="60" t="s">
        <v>159</v>
      </c>
    </row>
    <row r="6778" spans="1:10">
      <c r="A6778" s="2" t="s">
        <v>141</v>
      </c>
      <c r="B6778" s="2">
        <v>8.5</v>
      </c>
      <c r="C6778" s="2">
        <v>9.1999999999999993</v>
      </c>
      <c r="D6778" s="60" t="s">
        <v>151</v>
      </c>
    </row>
    <row r="6779" spans="1:10">
      <c r="A6779" s="2" t="s">
        <v>141</v>
      </c>
      <c r="B6779" s="2">
        <v>8.9</v>
      </c>
      <c r="C6779" s="2">
        <v>22.094100000000001</v>
      </c>
      <c r="D6779" s="60" t="s">
        <v>155</v>
      </c>
    </row>
    <row r="6780" spans="1:10">
      <c r="A6780" s="2" t="s">
        <v>141</v>
      </c>
      <c r="B6780" s="2">
        <v>9.1999999999999993</v>
      </c>
      <c r="C6780" s="2">
        <v>11.5</v>
      </c>
      <c r="D6780" s="60" t="s">
        <v>145</v>
      </c>
    </row>
    <row r="6781" spans="1:10">
      <c r="A6781" s="2" t="s">
        <v>141</v>
      </c>
      <c r="B6781" s="2">
        <v>11.5</v>
      </c>
      <c r="C6781" s="2">
        <v>22.094100000000001</v>
      </c>
      <c r="D6781" s="60" t="s">
        <v>144</v>
      </c>
    </row>
    <row r="6782" spans="1:10">
      <c r="A6782" s="2" t="s">
        <v>148</v>
      </c>
      <c r="B6782" s="2" t="s">
        <v>99</v>
      </c>
      <c r="C6782" s="2">
        <v>8.9262599999999998E-2</v>
      </c>
      <c r="D6782" s="60">
        <v>0</v>
      </c>
      <c r="E6782" s="2">
        <v>0</v>
      </c>
      <c r="F6782" s="2">
        <v>0.3</v>
      </c>
      <c r="G6782" s="2">
        <v>60.2057</v>
      </c>
      <c r="H6782" s="2">
        <v>62.990499999999997</v>
      </c>
      <c r="I6782" s="2">
        <v>0</v>
      </c>
      <c r="J6782" s="2">
        <v>0</v>
      </c>
    </row>
    <row r="6783" spans="1:10">
      <c r="A6783" s="2" t="s">
        <v>148</v>
      </c>
      <c r="B6783" s="2" t="s">
        <v>100</v>
      </c>
      <c r="C6783" s="2">
        <v>1.1998200000000001E-2</v>
      </c>
      <c r="D6783" s="60">
        <v>0</v>
      </c>
      <c r="E6783" s="2">
        <v>25.631</v>
      </c>
      <c r="F6783" s="2">
        <v>3.3820299999999999</v>
      </c>
      <c r="G6783" s="2">
        <v>0</v>
      </c>
      <c r="H6783" s="2">
        <v>10</v>
      </c>
      <c r="I6783" s="2">
        <v>0</v>
      </c>
      <c r="J6783" s="2">
        <v>0</v>
      </c>
    </row>
    <row r="6784" spans="1:10">
      <c r="A6784" s="2" t="s">
        <v>148</v>
      </c>
      <c r="B6784" s="2" t="s">
        <v>98</v>
      </c>
      <c r="C6784" s="2">
        <v>0.22877800000000001</v>
      </c>
      <c r="D6784" s="60">
        <v>0</v>
      </c>
      <c r="E6784" s="2">
        <v>17.642700000000001</v>
      </c>
      <c r="F6784" s="2">
        <v>7.9882900000000001</v>
      </c>
      <c r="G6784" s="2">
        <v>10</v>
      </c>
      <c r="H6784" s="2">
        <v>27.038900000000002</v>
      </c>
      <c r="I6784" s="2">
        <v>0</v>
      </c>
      <c r="J6784" s="2">
        <v>0</v>
      </c>
    </row>
    <row r="6785" spans="1:10">
      <c r="A6785" s="2" t="s">
        <v>148</v>
      </c>
      <c r="B6785" s="2" t="s">
        <v>101</v>
      </c>
      <c r="C6785" s="2">
        <v>4.5144400000000001E-2</v>
      </c>
      <c r="D6785" s="60">
        <v>0</v>
      </c>
      <c r="E6785" s="2">
        <v>16.899999999999999</v>
      </c>
      <c r="F6785" s="2">
        <v>0.74271399999999999</v>
      </c>
      <c r="G6785" s="2">
        <v>27.038900000000002</v>
      </c>
      <c r="H6785" s="2">
        <v>28.587499999999999</v>
      </c>
      <c r="I6785" s="2">
        <v>0</v>
      </c>
      <c r="J6785" s="2">
        <v>0</v>
      </c>
    </row>
    <row r="6786" spans="1:10">
      <c r="A6786" s="2" t="s">
        <v>148</v>
      </c>
      <c r="B6786" s="2" t="s">
        <v>62</v>
      </c>
      <c r="C6786" s="2">
        <v>0.333984</v>
      </c>
      <c r="D6786" s="60">
        <v>26.718699999999998</v>
      </c>
      <c r="E6786" s="2">
        <v>12.9</v>
      </c>
      <c r="F6786" s="2">
        <v>4</v>
      </c>
      <c r="G6786" s="2">
        <v>28.587499999999999</v>
      </c>
      <c r="H6786" s="2">
        <v>36.262799999999999</v>
      </c>
      <c r="I6786" s="2">
        <v>0</v>
      </c>
      <c r="J6786" s="2">
        <v>0</v>
      </c>
    </row>
    <row r="6787" spans="1:10">
      <c r="A6787" s="2" t="s">
        <v>148</v>
      </c>
      <c r="B6787" s="2" t="s">
        <v>62</v>
      </c>
      <c r="C6787" s="2">
        <v>0.49181399999999997</v>
      </c>
      <c r="D6787" s="60">
        <v>39.345100000000002</v>
      </c>
      <c r="E6787" s="2">
        <v>8.9</v>
      </c>
      <c r="F6787" s="2">
        <v>4</v>
      </c>
      <c r="G6787" s="2">
        <v>36.262799999999999</v>
      </c>
      <c r="H6787" s="2">
        <v>42.546100000000003</v>
      </c>
      <c r="I6787" s="2">
        <v>0</v>
      </c>
      <c r="J6787" s="2">
        <v>0</v>
      </c>
    </row>
    <row r="6788" spans="1:10">
      <c r="A6788" s="2" t="s">
        <v>148</v>
      </c>
      <c r="B6788" s="2" t="s">
        <v>101</v>
      </c>
      <c r="C6788" s="2">
        <v>8.6971999999999994E-2</v>
      </c>
      <c r="D6788" s="60">
        <v>0</v>
      </c>
      <c r="E6788" s="2">
        <v>8.3000000000000007</v>
      </c>
      <c r="F6788" s="2">
        <v>0.6</v>
      </c>
      <c r="G6788" s="2">
        <v>42.546100000000003</v>
      </c>
      <c r="H6788" s="2">
        <v>43.368899999999996</v>
      </c>
      <c r="I6788" s="2">
        <v>0</v>
      </c>
      <c r="J6788" s="2">
        <v>0</v>
      </c>
    </row>
    <row r="6789" spans="1:10">
      <c r="A6789" s="2" t="s">
        <v>148</v>
      </c>
      <c r="B6789" s="2" t="s">
        <v>58</v>
      </c>
      <c r="C6789" s="2">
        <v>0.66297099999999998</v>
      </c>
      <c r="D6789" s="60">
        <v>69.611900000000006</v>
      </c>
      <c r="E6789" s="2">
        <v>4.3</v>
      </c>
      <c r="F6789" s="2">
        <v>4</v>
      </c>
      <c r="G6789" s="2">
        <v>43.368899999999996</v>
      </c>
      <c r="H6789" s="2">
        <v>48.3902</v>
      </c>
      <c r="I6789" s="2">
        <v>0</v>
      </c>
      <c r="J6789" s="2">
        <v>0</v>
      </c>
    </row>
    <row r="6790" spans="1:10">
      <c r="A6790" s="2" t="s">
        <v>148</v>
      </c>
      <c r="B6790" s="2" t="s">
        <v>57</v>
      </c>
      <c r="C6790" s="2">
        <v>0.86400299999999997</v>
      </c>
      <c r="D6790" s="60">
        <v>103.68</v>
      </c>
      <c r="E6790" s="2">
        <v>0.3</v>
      </c>
      <c r="F6790" s="2">
        <v>4</v>
      </c>
      <c r="G6790" s="2">
        <v>48.3902</v>
      </c>
      <c r="H6790" s="2">
        <v>60.2057</v>
      </c>
      <c r="I6790" s="2">
        <v>0</v>
      </c>
      <c r="J6790" s="2">
        <v>0</v>
      </c>
    </row>
    <row r="6791" spans="1:10">
      <c r="A6791" s="2" t="s">
        <v>138</v>
      </c>
      <c r="B6791" s="2">
        <v>13</v>
      </c>
      <c r="C6791" s="2">
        <v>19.4224</v>
      </c>
      <c r="D6791" s="60" t="s">
        <v>139</v>
      </c>
    </row>
    <row r="6792" spans="1:10">
      <c r="A6792" s="2" t="s">
        <v>140</v>
      </c>
      <c r="B6792" s="2">
        <v>0</v>
      </c>
      <c r="C6792" s="2">
        <v>50.091299999999997</v>
      </c>
      <c r="D6792" s="60">
        <v>25.209599999999998</v>
      </c>
    </row>
    <row r="6793" spans="1:10">
      <c r="A6793" s="2" t="s">
        <v>141</v>
      </c>
      <c r="B6793" s="2">
        <v>0</v>
      </c>
      <c r="C6793" s="2">
        <v>5.3</v>
      </c>
      <c r="D6793" s="60" t="s">
        <v>142</v>
      </c>
    </row>
    <row r="6794" spans="1:10">
      <c r="A6794" s="2" t="s">
        <v>141</v>
      </c>
      <c r="B6794" s="2">
        <v>0</v>
      </c>
      <c r="C6794" s="2">
        <v>5.7</v>
      </c>
      <c r="D6794" s="60" t="s">
        <v>155</v>
      </c>
    </row>
    <row r="6795" spans="1:10">
      <c r="A6795" s="2" t="s">
        <v>141</v>
      </c>
      <c r="B6795" s="2">
        <v>0</v>
      </c>
      <c r="C6795" s="2">
        <v>5.7</v>
      </c>
      <c r="D6795" s="60" t="s">
        <v>158</v>
      </c>
    </row>
    <row r="6796" spans="1:10">
      <c r="A6796" s="2" t="s">
        <v>141</v>
      </c>
      <c r="B6796" s="2">
        <v>5.3</v>
      </c>
      <c r="C6796" s="2">
        <v>5.7</v>
      </c>
      <c r="D6796" s="60" t="s">
        <v>144</v>
      </c>
    </row>
    <row r="6797" spans="1:10">
      <c r="A6797" s="2" t="s">
        <v>141</v>
      </c>
      <c r="B6797" s="2">
        <v>5.7</v>
      </c>
      <c r="C6797" s="2">
        <v>6.1</v>
      </c>
      <c r="D6797" s="60" t="s">
        <v>159</v>
      </c>
    </row>
    <row r="6798" spans="1:10">
      <c r="A6798" s="2" t="s">
        <v>141</v>
      </c>
      <c r="B6798" s="2">
        <v>5.7</v>
      </c>
      <c r="C6798" s="2">
        <v>6.1</v>
      </c>
      <c r="D6798" s="60" t="s">
        <v>231</v>
      </c>
    </row>
    <row r="6799" spans="1:10">
      <c r="A6799" s="2" t="s">
        <v>141</v>
      </c>
      <c r="B6799" s="2">
        <v>5.7</v>
      </c>
      <c r="C6799" s="2">
        <v>8.9</v>
      </c>
      <c r="D6799" s="60" t="s">
        <v>145</v>
      </c>
    </row>
    <row r="6800" spans="1:10">
      <c r="A6800" s="2" t="s">
        <v>141</v>
      </c>
      <c r="B6800" s="2">
        <v>6.1</v>
      </c>
      <c r="C6800" s="2">
        <v>8.5</v>
      </c>
      <c r="D6800" s="60" t="s">
        <v>155</v>
      </c>
    </row>
    <row r="6801" spans="1:10">
      <c r="A6801" s="2" t="s">
        <v>141</v>
      </c>
      <c r="B6801" s="2">
        <v>8.5</v>
      </c>
      <c r="C6801" s="2">
        <v>8.9</v>
      </c>
      <c r="D6801" s="60" t="s">
        <v>159</v>
      </c>
    </row>
    <row r="6802" spans="1:10">
      <c r="A6802" s="2" t="s">
        <v>141</v>
      </c>
      <c r="B6802" s="2">
        <v>8.9</v>
      </c>
      <c r="C6802" s="2">
        <v>10.7</v>
      </c>
      <c r="D6802" s="60" t="s">
        <v>147</v>
      </c>
    </row>
    <row r="6803" spans="1:10">
      <c r="A6803" s="2" t="s">
        <v>141</v>
      </c>
      <c r="B6803" s="2">
        <v>8.9</v>
      </c>
      <c r="C6803" s="2">
        <v>19.3</v>
      </c>
      <c r="D6803" s="60" t="s">
        <v>155</v>
      </c>
    </row>
    <row r="6804" spans="1:10">
      <c r="A6804" s="2" t="s">
        <v>141</v>
      </c>
      <c r="B6804" s="2">
        <v>10.7</v>
      </c>
      <c r="C6804" s="2">
        <v>19.3</v>
      </c>
      <c r="D6804" s="60" t="s">
        <v>144</v>
      </c>
    </row>
    <row r="6805" spans="1:10">
      <c r="A6805" s="2" t="s">
        <v>148</v>
      </c>
      <c r="B6805" s="2" t="s">
        <v>99</v>
      </c>
      <c r="C6805" s="2">
        <v>6.01567E-2</v>
      </c>
      <c r="D6805" s="60">
        <v>0</v>
      </c>
      <c r="E6805" s="2">
        <v>0</v>
      </c>
      <c r="F6805" s="2">
        <v>0.3</v>
      </c>
      <c r="G6805" s="2">
        <v>49.2819</v>
      </c>
      <c r="H6805" s="2">
        <v>51.878100000000003</v>
      </c>
      <c r="I6805" s="2">
        <v>0</v>
      </c>
      <c r="J6805" s="2">
        <v>0</v>
      </c>
    </row>
    <row r="6806" spans="1:10">
      <c r="A6806" s="2" t="s">
        <v>148</v>
      </c>
      <c r="B6806" s="2" t="s">
        <v>100</v>
      </c>
      <c r="C6806" s="2">
        <v>1.30598E-2</v>
      </c>
      <c r="D6806" s="60">
        <v>0</v>
      </c>
      <c r="E6806" s="2">
        <v>21.356000000000002</v>
      </c>
      <c r="F6806" s="2">
        <v>3.8535499999999998</v>
      </c>
      <c r="G6806" s="2">
        <v>0</v>
      </c>
      <c r="H6806" s="2">
        <v>10</v>
      </c>
      <c r="I6806" s="2">
        <v>0</v>
      </c>
      <c r="J6806" s="2">
        <v>0</v>
      </c>
    </row>
    <row r="6807" spans="1:10">
      <c r="A6807" s="2" t="s">
        <v>148</v>
      </c>
      <c r="B6807" s="2" t="s">
        <v>98</v>
      </c>
      <c r="C6807" s="2">
        <v>8.1303399999999998E-2</v>
      </c>
      <c r="D6807" s="60">
        <v>0</v>
      </c>
      <c r="E6807" s="2">
        <v>16.717700000000001</v>
      </c>
      <c r="F6807" s="2">
        <v>4.6383099999999997</v>
      </c>
      <c r="G6807" s="2">
        <v>10</v>
      </c>
      <c r="H6807" s="2">
        <v>19.455400000000001</v>
      </c>
      <c r="I6807" s="2">
        <v>0</v>
      </c>
      <c r="J6807" s="2">
        <v>0</v>
      </c>
    </row>
    <row r="6808" spans="1:10">
      <c r="A6808" s="2" t="s">
        <v>148</v>
      </c>
      <c r="B6808" s="2" t="s">
        <v>101</v>
      </c>
      <c r="C6808" s="2">
        <v>5.2709899999999995E-4</v>
      </c>
      <c r="D6808" s="60">
        <v>0</v>
      </c>
      <c r="E6808" s="2">
        <v>16.7</v>
      </c>
      <c r="F6808" s="2">
        <v>1.7697399999999999E-2</v>
      </c>
      <c r="G6808" s="2">
        <v>19.455400000000001</v>
      </c>
      <c r="H6808" s="2">
        <v>19.491800000000001</v>
      </c>
      <c r="I6808" s="2">
        <v>0</v>
      </c>
      <c r="J6808" s="2">
        <v>0</v>
      </c>
    </row>
    <row r="6809" spans="1:10">
      <c r="A6809" s="2" t="s">
        <v>148</v>
      </c>
      <c r="B6809" s="2" t="s">
        <v>64</v>
      </c>
      <c r="C6809" s="2">
        <v>0.163128</v>
      </c>
      <c r="D6809" s="60">
        <v>4.8938499999999996</v>
      </c>
      <c r="E6809" s="2">
        <v>12.9</v>
      </c>
      <c r="F6809" s="2">
        <v>3.8</v>
      </c>
      <c r="G6809" s="2">
        <v>19.491800000000001</v>
      </c>
      <c r="H6809" s="2">
        <v>26.9193</v>
      </c>
      <c r="I6809" s="2">
        <v>0</v>
      </c>
      <c r="J6809" s="2">
        <v>0</v>
      </c>
    </row>
    <row r="6810" spans="1:10">
      <c r="A6810" s="2" t="s">
        <v>148</v>
      </c>
      <c r="B6810" s="2" t="s">
        <v>62</v>
      </c>
      <c r="C6810" s="2">
        <v>0.28969299999999998</v>
      </c>
      <c r="D6810" s="60">
        <v>23.1754</v>
      </c>
      <c r="E6810" s="2">
        <v>8.9</v>
      </c>
      <c r="F6810" s="2">
        <v>4</v>
      </c>
      <c r="G6810" s="2">
        <v>26.9193</v>
      </c>
      <c r="H6810" s="2">
        <v>33.435099999999998</v>
      </c>
      <c r="I6810" s="2">
        <v>0</v>
      </c>
      <c r="J6810" s="2">
        <v>0</v>
      </c>
    </row>
    <row r="6811" spans="1:10">
      <c r="A6811" s="2" t="s">
        <v>148</v>
      </c>
      <c r="B6811" s="2" t="s">
        <v>101</v>
      </c>
      <c r="C6811" s="2">
        <v>0.48035</v>
      </c>
      <c r="D6811" s="60">
        <v>0</v>
      </c>
      <c r="E6811" s="2">
        <v>4.3</v>
      </c>
      <c r="F6811" s="2">
        <v>4.5999999999999996</v>
      </c>
      <c r="G6811" s="2">
        <v>33.435099999999998</v>
      </c>
      <c r="H6811" s="2">
        <v>39.19</v>
      </c>
      <c r="I6811" s="2">
        <v>0</v>
      </c>
      <c r="J6811" s="2">
        <v>0</v>
      </c>
    </row>
    <row r="6812" spans="1:10">
      <c r="A6812" s="2" t="s">
        <v>148</v>
      </c>
      <c r="B6812" s="2" t="s">
        <v>62</v>
      </c>
      <c r="C6812" s="2">
        <v>0.57081999999999999</v>
      </c>
      <c r="D6812" s="60">
        <v>45.665599999999998</v>
      </c>
      <c r="E6812" s="2">
        <v>0.3</v>
      </c>
      <c r="F6812" s="2">
        <v>4</v>
      </c>
      <c r="G6812" s="2">
        <v>39.19</v>
      </c>
      <c r="H6812" s="2">
        <v>49.2819</v>
      </c>
      <c r="I6812" s="2">
        <v>0</v>
      </c>
      <c r="J6812" s="2">
        <v>0</v>
      </c>
    </row>
    <row r="6813" spans="1:10">
      <c r="A6813" s="2" t="s">
        <v>138</v>
      </c>
      <c r="B6813" s="2">
        <v>14</v>
      </c>
      <c r="C6813" s="2">
        <v>19.6508</v>
      </c>
      <c r="D6813" s="60" t="s">
        <v>149</v>
      </c>
    </row>
    <row r="6814" spans="1:10">
      <c r="A6814" s="2" t="s">
        <v>140</v>
      </c>
      <c r="B6814" s="2">
        <v>0</v>
      </c>
      <c r="C6814" s="2">
        <v>55.732100000000003</v>
      </c>
      <c r="D6814" s="60">
        <v>28.226199999999999</v>
      </c>
    </row>
    <row r="6815" spans="1:10">
      <c r="A6815" s="2" t="s">
        <v>141</v>
      </c>
      <c r="B6815" s="2">
        <v>0</v>
      </c>
      <c r="C6815" s="2">
        <v>3.5</v>
      </c>
      <c r="D6815" s="60" t="s">
        <v>155</v>
      </c>
    </row>
    <row r="6816" spans="1:10">
      <c r="A6816" s="2" t="s">
        <v>141</v>
      </c>
      <c r="B6816" s="2">
        <v>0</v>
      </c>
      <c r="C6816" s="2">
        <v>4.8</v>
      </c>
      <c r="D6816" s="60" t="s">
        <v>142</v>
      </c>
    </row>
    <row r="6817" spans="1:10">
      <c r="A6817" s="2" t="s">
        <v>141</v>
      </c>
      <c r="B6817" s="2">
        <v>0</v>
      </c>
      <c r="C6817" s="2">
        <v>10.4</v>
      </c>
      <c r="D6817" s="60" t="s">
        <v>158</v>
      </c>
    </row>
    <row r="6818" spans="1:10">
      <c r="A6818" s="2" t="s">
        <v>141</v>
      </c>
      <c r="B6818" s="2">
        <v>3.5</v>
      </c>
      <c r="C6818" s="2">
        <v>21.516100000000002</v>
      </c>
      <c r="D6818" s="60" t="s">
        <v>146</v>
      </c>
    </row>
    <row r="6819" spans="1:10">
      <c r="A6819" s="2" t="s">
        <v>141</v>
      </c>
      <c r="B6819" s="2">
        <v>4.8</v>
      </c>
      <c r="C6819" s="2">
        <v>9.4</v>
      </c>
      <c r="D6819" s="60" t="s">
        <v>145</v>
      </c>
    </row>
    <row r="6820" spans="1:10">
      <c r="A6820" s="2" t="s">
        <v>141</v>
      </c>
      <c r="B6820" s="2">
        <v>9.4</v>
      </c>
      <c r="C6820" s="2">
        <v>10.8</v>
      </c>
      <c r="D6820" s="60" t="s">
        <v>147</v>
      </c>
    </row>
    <row r="6821" spans="1:10">
      <c r="A6821" s="2" t="s">
        <v>141</v>
      </c>
      <c r="B6821" s="2">
        <v>10.4</v>
      </c>
      <c r="C6821" s="2">
        <v>10.8</v>
      </c>
      <c r="D6821" s="60" t="s">
        <v>177</v>
      </c>
    </row>
    <row r="6822" spans="1:10">
      <c r="A6822" s="2" t="s">
        <v>141</v>
      </c>
      <c r="B6822" s="2">
        <v>10.8</v>
      </c>
      <c r="C6822" s="2">
        <v>15.6</v>
      </c>
      <c r="D6822" s="60" t="s">
        <v>145</v>
      </c>
    </row>
    <row r="6823" spans="1:10">
      <c r="A6823" s="2" t="s">
        <v>141</v>
      </c>
      <c r="B6823" s="2">
        <v>15.6</v>
      </c>
      <c r="C6823" s="2">
        <v>21.516100000000002</v>
      </c>
      <c r="D6823" s="60" t="s">
        <v>144</v>
      </c>
    </row>
    <row r="6824" spans="1:10">
      <c r="A6824" s="2" t="s">
        <v>148</v>
      </c>
      <c r="B6824" s="2" t="s">
        <v>99</v>
      </c>
      <c r="C6824" s="2">
        <v>7.3332099999999997E-2</v>
      </c>
      <c r="D6824" s="60">
        <v>0</v>
      </c>
      <c r="E6824" s="2">
        <v>0</v>
      </c>
      <c r="F6824" s="2">
        <v>0.3</v>
      </c>
      <c r="G6824" s="2">
        <v>54.539900000000003</v>
      </c>
      <c r="H6824" s="2">
        <v>57.127899999999997</v>
      </c>
      <c r="I6824" s="2">
        <v>0</v>
      </c>
      <c r="J6824" s="2">
        <v>0</v>
      </c>
    </row>
    <row r="6825" spans="1:10">
      <c r="A6825" s="2" t="s">
        <v>148</v>
      </c>
      <c r="B6825" s="2" t="s">
        <v>100</v>
      </c>
      <c r="C6825" s="2">
        <v>1.3127099999999999E-2</v>
      </c>
      <c r="D6825" s="60">
        <v>0</v>
      </c>
      <c r="E6825" s="2">
        <v>24.442399999999999</v>
      </c>
      <c r="F6825" s="2">
        <v>3.78382</v>
      </c>
      <c r="G6825" s="2">
        <v>0</v>
      </c>
      <c r="H6825" s="2">
        <v>10</v>
      </c>
      <c r="I6825" s="2">
        <v>0</v>
      </c>
      <c r="J6825" s="2">
        <v>0</v>
      </c>
    </row>
    <row r="6826" spans="1:10">
      <c r="A6826" s="2" t="s">
        <v>148</v>
      </c>
      <c r="B6826" s="2" t="s">
        <v>98</v>
      </c>
      <c r="C6826" s="2">
        <v>6.3648800000000005E-2</v>
      </c>
      <c r="D6826" s="60">
        <v>0</v>
      </c>
      <c r="E6826" s="2">
        <v>20.394500000000001</v>
      </c>
      <c r="F6826" s="2">
        <v>4.0478899999999998</v>
      </c>
      <c r="G6826" s="2">
        <v>10</v>
      </c>
      <c r="H6826" s="2">
        <v>18.0181</v>
      </c>
      <c r="I6826" s="2">
        <v>0</v>
      </c>
      <c r="J6826" s="2">
        <v>0</v>
      </c>
    </row>
    <row r="6827" spans="1:10">
      <c r="A6827" s="2" t="s">
        <v>148</v>
      </c>
      <c r="B6827" s="2" t="s">
        <v>101</v>
      </c>
      <c r="C6827" s="2">
        <v>4.8418700000000002E-2</v>
      </c>
      <c r="D6827" s="60">
        <v>0</v>
      </c>
      <c r="E6827" s="2">
        <v>18.8</v>
      </c>
      <c r="F6827" s="2">
        <v>1.5945199999999999</v>
      </c>
      <c r="G6827" s="2">
        <v>18.0181</v>
      </c>
      <c r="H6827" s="2">
        <v>21.259</v>
      </c>
      <c r="I6827" s="2">
        <v>0</v>
      </c>
      <c r="J6827" s="2">
        <v>0</v>
      </c>
    </row>
    <row r="6828" spans="1:10">
      <c r="A6828" s="2" t="s">
        <v>148</v>
      </c>
      <c r="B6828" s="2" t="s">
        <v>61</v>
      </c>
      <c r="C6828" s="2">
        <v>0.20106299999999999</v>
      </c>
      <c r="D6828" s="60">
        <v>17.090399999999999</v>
      </c>
      <c r="E6828" s="2">
        <v>14.8</v>
      </c>
      <c r="F6828" s="2">
        <v>4</v>
      </c>
      <c r="G6828" s="2">
        <v>21.259</v>
      </c>
      <c r="H6828" s="2">
        <v>29.001000000000001</v>
      </c>
      <c r="I6828" s="2">
        <v>0</v>
      </c>
      <c r="J6828" s="2">
        <v>0</v>
      </c>
    </row>
    <row r="6829" spans="1:10">
      <c r="A6829" s="2" t="s">
        <v>148</v>
      </c>
      <c r="B6829" s="2" t="s">
        <v>60</v>
      </c>
      <c r="C6829" s="2">
        <v>0.331347</v>
      </c>
      <c r="D6829" s="60">
        <v>29.821200000000001</v>
      </c>
      <c r="E6829" s="2">
        <v>10.8</v>
      </c>
      <c r="F6829" s="2">
        <v>4</v>
      </c>
      <c r="G6829" s="2">
        <v>29.001000000000001</v>
      </c>
      <c r="H6829" s="2">
        <v>35.613199999999999</v>
      </c>
      <c r="I6829" s="2">
        <v>0</v>
      </c>
      <c r="J6829" s="2">
        <v>0</v>
      </c>
    </row>
    <row r="6830" spans="1:10">
      <c r="A6830" s="2" t="s">
        <v>148</v>
      </c>
      <c r="B6830" s="2" t="s">
        <v>101</v>
      </c>
      <c r="C6830" s="2">
        <v>5.08377E-2</v>
      </c>
      <c r="D6830" s="60">
        <v>0</v>
      </c>
      <c r="E6830" s="2">
        <v>10.3</v>
      </c>
      <c r="F6830" s="2">
        <v>0.5</v>
      </c>
      <c r="G6830" s="2">
        <v>35.613199999999999</v>
      </c>
      <c r="H6830" s="2">
        <v>36.342300000000002</v>
      </c>
      <c r="I6830" s="2">
        <v>0</v>
      </c>
      <c r="J6830" s="2">
        <v>0</v>
      </c>
    </row>
    <row r="6831" spans="1:10">
      <c r="A6831" s="2" t="s">
        <v>148</v>
      </c>
      <c r="B6831" s="2" t="s">
        <v>59</v>
      </c>
      <c r="C6831" s="2">
        <v>0.76370099999999996</v>
      </c>
      <c r="D6831" s="60">
        <v>76.370099999999994</v>
      </c>
      <c r="E6831" s="2">
        <v>4.3</v>
      </c>
      <c r="F6831" s="2">
        <v>6</v>
      </c>
      <c r="G6831" s="2">
        <v>36.342300000000002</v>
      </c>
      <c r="H6831" s="2">
        <v>43.749299999999998</v>
      </c>
      <c r="I6831" s="2">
        <v>0</v>
      </c>
      <c r="J6831" s="2">
        <v>0</v>
      </c>
    </row>
    <row r="6832" spans="1:10">
      <c r="A6832" s="2" t="s">
        <v>148</v>
      </c>
      <c r="B6832" s="2" t="s">
        <v>62</v>
      </c>
      <c r="C6832" s="2">
        <v>0.70706999999999998</v>
      </c>
      <c r="D6832" s="60">
        <v>56.565600000000003</v>
      </c>
      <c r="E6832" s="2">
        <v>0.3</v>
      </c>
      <c r="F6832" s="2">
        <v>4</v>
      </c>
      <c r="G6832" s="2">
        <v>43.749299999999998</v>
      </c>
      <c r="H6832" s="2">
        <v>54.539900000000003</v>
      </c>
      <c r="I6832" s="2">
        <v>0</v>
      </c>
      <c r="J6832" s="2">
        <v>0</v>
      </c>
    </row>
    <row r="6833" spans="1:10">
      <c r="A6833" s="2" t="s">
        <v>138</v>
      </c>
      <c r="B6833" s="2">
        <v>15</v>
      </c>
      <c r="C6833" s="2">
        <v>19.5869</v>
      </c>
      <c r="D6833" s="60" t="s">
        <v>149</v>
      </c>
    </row>
    <row r="6834" spans="1:10">
      <c r="A6834" s="2" t="s">
        <v>140</v>
      </c>
      <c r="B6834" s="2">
        <v>0</v>
      </c>
      <c r="C6834" s="2">
        <v>53.0747</v>
      </c>
      <c r="D6834" s="60">
        <v>27.869900000000001</v>
      </c>
    </row>
    <row r="6835" spans="1:10">
      <c r="A6835" s="2" t="s">
        <v>141</v>
      </c>
      <c r="B6835" s="2">
        <v>0</v>
      </c>
      <c r="C6835" s="2">
        <v>4.3</v>
      </c>
      <c r="D6835" s="60" t="s">
        <v>142</v>
      </c>
    </row>
    <row r="6836" spans="1:10">
      <c r="A6836" s="2" t="s">
        <v>141</v>
      </c>
      <c r="B6836" s="2">
        <v>0</v>
      </c>
      <c r="C6836" s="2">
        <v>21.254300000000001</v>
      </c>
      <c r="D6836" s="60" t="s">
        <v>146</v>
      </c>
    </row>
    <row r="6837" spans="1:10">
      <c r="A6837" s="2" t="s">
        <v>141</v>
      </c>
      <c r="B6837" s="2">
        <v>4.3</v>
      </c>
      <c r="C6837" s="2">
        <v>6.3</v>
      </c>
      <c r="D6837" s="60" t="s">
        <v>147</v>
      </c>
    </row>
    <row r="6838" spans="1:10">
      <c r="A6838" s="2" t="s">
        <v>141</v>
      </c>
      <c r="B6838" s="2">
        <v>6.3</v>
      </c>
      <c r="C6838" s="2">
        <v>12.1</v>
      </c>
      <c r="D6838" s="60" t="s">
        <v>145</v>
      </c>
    </row>
    <row r="6839" spans="1:10">
      <c r="A6839" s="2" t="s">
        <v>141</v>
      </c>
      <c r="B6839" s="2">
        <v>12.1</v>
      </c>
      <c r="C6839" s="2">
        <v>21.254300000000001</v>
      </c>
      <c r="D6839" s="60" t="s">
        <v>144</v>
      </c>
    </row>
    <row r="6840" spans="1:10">
      <c r="A6840" s="2" t="s">
        <v>148</v>
      </c>
      <c r="B6840" s="2" t="s">
        <v>99</v>
      </c>
      <c r="C6840" s="2">
        <v>6.7135799999999995E-2</v>
      </c>
      <c r="D6840" s="60">
        <v>0</v>
      </c>
      <c r="E6840" s="2">
        <v>0</v>
      </c>
      <c r="F6840" s="2">
        <v>0.3</v>
      </c>
      <c r="G6840" s="2">
        <v>52.171500000000002</v>
      </c>
      <c r="H6840" s="2">
        <v>54.676600000000001</v>
      </c>
      <c r="I6840" s="2">
        <v>0</v>
      </c>
      <c r="J6840" s="2">
        <v>0</v>
      </c>
    </row>
    <row r="6841" spans="1:10">
      <c r="A6841" s="2" t="s">
        <v>148</v>
      </c>
      <c r="B6841" s="2" t="s">
        <v>100</v>
      </c>
      <c r="C6841" s="2">
        <v>1.36258E-2</v>
      </c>
      <c r="D6841" s="60">
        <v>0</v>
      </c>
      <c r="E6841" s="2">
        <v>23.9008</v>
      </c>
      <c r="F6841" s="2">
        <v>3.96909</v>
      </c>
      <c r="G6841" s="2">
        <v>0</v>
      </c>
      <c r="H6841" s="2">
        <v>10</v>
      </c>
      <c r="I6841" s="2">
        <v>0</v>
      </c>
      <c r="J6841" s="2">
        <v>0</v>
      </c>
    </row>
    <row r="6842" spans="1:10">
      <c r="A6842" s="2" t="s">
        <v>148</v>
      </c>
      <c r="B6842" s="2" t="s">
        <v>98</v>
      </c>
      <c r="C6842" s="2">
        <v>0.22892999999999999</v>
      </c>
      <c r="D6842" s="60">
        <v>0</v>
      </c>
      <c r="E6842" s="2">
        <v>15.534700000000001</v>
      </c>
      <c r="F6842" s="2">
        <v>8.3660399999999999</v>
      </c>
      <c r="G6842" s="2">
        <v>10</v>
      </c>
      <c r="H6842" s="2">
        <v>26.104500000000002</v>
      </c>
      <c r="I6842" s="2">
        <v>0</v>
      </c>
      <c r="J6842" s="2">
        <v>0</v>
      </c>
    </row>
    <row r="6843" spans="1:10">
      <c r="A6843" s="2" t="s">
        <v>148</v>
      </c>
      <c r="B6843" s="2" t="s">
        <v>101</v>
      </c>
      <c r="C6843" s="2">
        <v>7.1854799999999996E-2</v>
      </c>
      <c r="D6843" s="60">
        <v>0</v>
      </c>
      <c r="E6843" s="2">
        <v>14.3</v>
      </c>
      <c r="F6843" s="2">
        <v>1.23472</v>
      </c>
      <c r="G6843" s="2">
        <v>26.104500000000002</v>
      </c>
      <c r="H6843" s="2">
        <v>28.304300000000001</v>
      </c>
      <c r="I6843" s="2">
        <v>0</v>
      </c>
      <c r="J6843" s="2">
        <v>0</v>
      </c>
    </row>
    <row r="6844" spans="1:10">
      <c r="A6844" s="2" t="s">
        <v>148</v>
      </c>
      <c r="B6844" s="2" t="s">
        <v>60</v>
      </c>
      <c r="C6844" s="2">
        <v>0.31405100000000002</v>
      </c>
      <c r="D6844" s="60">
        <v>28.264600000000002</v>
      </c>
      <c r="E6844" s="2">
        <v>10.3</v>
      </c>
      <c r="F6844" s="2">
        <v>4</v>
      </c>
      <c r="G6844" s="2">
        <v>28.304300000000001</v>
      </c>
      <c r="H6844" s="2">
        <v>34.600999999999999</v>
      </c>
      <c r="I6844" s="2">
        <v>0</v>
      </c>
      <c r="J6844" s="2">
        <v>0</v>
      </c>
    </row>
    <row r="6845" spans="1:10">
      <c r="A6845" s="2" t="s">
        <v>148</v>
      </c>
      <c r="B6845" s="2" t="s">
        <v>59</v>
      </c>
      <c r="C6845" s="2">
        <v>0.69556200000000001</v>
      </c>
      <c r="D6845" s="60">
        <v>69.556200000000004</v>
      </c>
      <c r="E6845" s="2">
        <v>4.3</v>
      </c>
      <c r="F6845" s="2">
        <v>6</v>
      </c>
      <c r="G6845" s="2">
        <v>34.600999999999999</v>
      </c>
      <c r="H6845" s="2">
        <v>41.810499999999998</v>
      </c>
      <c r="I6845" s="2">
        <v>0</v>
      </c>
      <c r="J6845" s="2">
        <v>0</v>
      </c>
    </row>
    <row r="6846" spans="1:10">
      <c r="A6846" s="2" t="s">
        <v>148</v>
      </c>
      <c r="B6846" s="2" t="s">
        <v>55</v>
      </c>
      <c r="C6846" s="2">
        <v>0.64616799999999996</v>
      </c>
      <c r="D6846" s="60">
        <v>93.694400000000002</v>
      </c>
      <c r="E6846" s="2">
        <v>0.3</v>
      </c>
      <c r="F6846" s="2">
        <v>4</v>
      </c>
      <c r="G6846" s="2">
        <v>41.810499999999998</v>
      </c>
      <c r="H6846" s="2">
        <v>52.171500000000002</v>
      </c>
      <c r="I6846" s="2">
        <v>0</v>
      </c>
      <c r="J6846" s="2">
        <v>0</v>
      </c>
    </row>
    <row r="6847" spans="1:10">
      <c r="A6847" s="2" t="s">
        <v>130</v>
      </c>
      <c r="B6847" s="2" t="s">
        <v>131</v>
      </c>
      <c r="C6847" s="2" t="s">
        <v>132</v>
      </c>
      <c r="D6847" s="60" t="s">
        <v>133</v>
      </c>
      <c r="E6847" s="2">
        <v>13</v>
      </c>
      <c r="F6847" s="2">
        <v>2016</v>
      </c>
    </row>
    <row r="6848" spans="1:10">
      <c r="A6848" s="2" t="s">
        <v>134</v>
      </c>
      <c r="B6848" s="2" t="s">
        <v>85</v>
      </c>
      <c r="C6848" s="2">
        <v>28</v>
      </c>
      <c r="D6848" s="60" t="s">
        <v>135</v>
      </c>
      <c r="E6848" s="2" t="s">
        <v>299</v>
      </c>
      <c r="F6848" s="2" t="s">
        <v>300</v>
      </c>
    </row>
    <row r="6849" spans="1:10">
      <c r="A6849" s="2" t="s">
        <v>138</v>
      </c>
      <c r="B6849" s="2">
        <v>1</v>
      </c>
      <c r="C6849" s="2">
        <v>19.5959</v>
      </c>
      <c r="D6849" s="60" t="s">
        <v>149</v>
      </c>
    </row>
    <row r="6850" spans="1:10">
      <c r="A6850" s="2" t="s">
        <v>140</v>
      </c>
      <c r="B6850" s="2">
        <v>0</v>
      </c>
      <c r="C6850" s="2">
        <v>58.407899999999998</v>
      </c>
      <c r="D6850" s="60">
        <v>28.4298</v>
      </c>
    </row>
    <row r="6851" spans="1:10">
      <c r="A6851" s="2" t="s">
        <v>141</v>
      </c>
      <c r="B6851" s="2">
        <v>0</v>
      </c>
      <c r="C6851" s="2">
        <v>6.7</v>
      </c>
      <c r="D6851" s="60" t="s">
        <v>142</v>
      </c>
    </row>
    <row r="6852" spans="1:10">
      <c r="A6852" s="2" t="s">
        <v>141</v>
      </c>
      <c r="B6852" s="2">
        <v>0</v>
      </c>
      <c r="C6852" s="2">
        <v>22.154800000000002</v>
      </c>
      <c r="D6852" s="60" t="s">
        <v>146</v>
      </c>
    </row>
    <row r="6853" spans="1:10">
      <c r="A6853" s="2" t="s">
        <v>141</v>
      </c>
      <c r="B6853" s="2">
        <v>6.7</v>
      </c>
      <c r="C6853" s="2">
        <v>23.3</v>
      </c>
      <c r="D6853" s="60" t="s">
        <v>145</v>
      </c>
    </row>
    <row r="6854" spans="1:10">
      <c r="A6854" s="2" t="s">
        <v>148</v>
      </c>
      <c r="B6854" s="2" t="s">
        <v>99</v>
      </c>
      <c r="C6854" s="2">
        <v>7.9792100000000005E-2</v>
      </c>
      <c r="D6854" s="60">
        <v>0</v>
      </c>
      <c r="E6854" s="2">
        <v>0</v>
      </c>
      <c r="F6854" s="2">
        <v>0.3</v>
      </c>
      <c r="G6854" s="2">
        <v>56.8996</v>
      </c>
      <c r="H6854" s="2">
        <v>59.581699999999998</v>
      </c>
      <c r="I6854" s="2">
        <v>0</v>
      </c>
      <c r="J6854" s="2">
        <v>0</v>
      </c>
    </row>
    <row r="6855" spans="1:10">
      <c r="A6855" s="2" t="s">
        <v>148</v>
      </c>
      <c r="B6855" s="2" t="s">
        <v>100</v>
      </c>
      <c r="C6855" s="2">
        <v>1.25836E-2</v>
      </c>
      <c r="D6855" s="60">
        <v>0</v>
      </c>
      <c r="E6855" s="2">
        <v>24.838100000000001</v>
      </c>
      <c r="F6855" s="2">
        <v>3.5916700000000001</v>
      </c>
      <c r="G6855" s="2">
        <v>0</v>
      </c>
      <c r="H6855" s="2">
        <v>10</v>
      </c>
      <c r="I6855" s="2">
        <v>0</v>
      </c>
      <c r="J6855" s="2">
        <v>0</v>
      </c>
    </row>
    <row r="6856" spans="1:10">
      <c r="A6856" s="2" t="s">
        <v>148</v>
      </c>
      <c r="B6856" s="2" t="s">
        <v>101</v>
      </c>
      <c r="C6856" s="2">
        <v>3.0131299999999999E-4</v>
      </c>
      <c r="D6856" s="60">
        <v>0</v>
      </c>
      <c r="E6856" s="2">
        <v>24.8</v>
      </c>
      <c r="F6856" s="2">
        <v>3.80804E-2</v>
      </c>
      <c r="G6856" s="2">
        <v>10</v>
      </c>
      <c r="H6856" s="2">
        <v>10.074400000000001</v>
      </c>
      <c r="I6856" s="2">
        <v>0</v>
      </c>
      <c r="J6856" s="2">
        <v>0</v>
      </c>
    </row>
    <row r="6857" spans="1:10">
      <c r="A6857" s="2" t="s">
        <v>148</v>
      </c>
      <c r="B6857" s="2" t="s">
        <v>64</v>
      </c>
      <c r="C6857" s="2">
        <v>7.5219400000000006E-2</v>
      </c>
      <c r="D6857" s="60">
        <v>2.25658</v>
      </c>
      <c r="E6857" s="2">
        <v>20.399999999999999</v>
      </c>
      <c r="F6857" s="2">
        <v>4.4000000000000004</v>
      </c>
      <c r="G6857" s="2">
        <v>10.074400000000001</v>
      </c>
      <c r="H6857" s="2">
        <v>19.090499999999999</v>
      </c>
      <c r="I6857" s="2">
        <v>0</v>
      </c>
      <c r="J6857" s="2">
        <v>0</v>
      </c>
    </row>
    <row r="6858" spans="1:10">
      <c r="A6858" s="2" t="s">
        <v>148</v>
      </c>
      <c r="B6858" s="2" t="s">
        <v>61</v>
      </c>
      <c r="C6858" s="2">
        <v>0.30690099999999998</v>
      </c>
      <c r="D6858" s="60">
        <v>26.086600000000001</v>
      </c>
      <c r="E6858" s="2">
        <v>14.4</v>
      </c>
      <c r="F6858" s="2">
        <v>6</v>
      </c>
      <c r="G6858" s="2">
        <v>19.090499999999999</v>
      </c>
      <c r="H6858" s="2">
        <v>31.189699999999998</v>
      </c>
      <c r="I6858" s="2">
        <v>0</v>
      </c>
      <c r="J6858" s="2">
        <v>0</v>
      </c>
    </row>
    <row r="6859" spans="1:10">
      <c r="A6859" s="2" t="s">
        <v>148</v>
      </c>
      <c r="B6859" s="2" t="s">
        <v>59</v>
      </c>
      <c r="C6859" s="2">
        <v>0.37825700000000001</v>
      </c>
      <c r="D6859" s="60">
        <v>37.825699999999998</v>
      </c>
      <c r="E6859" s="2">
        <v>10.4</v>
      </c>
      <c r="F6859" s="2">
        <v>4</v>
      </c>
      <c r="G6859" s="2">
        <v>31.189699999999998</v>
      </c>
      <c r="H6859" s="2">
        <v>37.864899999999999</v>
      </c>
      <c r="I6859" s="2">
        <v>0</v>
      </c>
      <c r="J6859" s="2">
        <v>0</v>
      </c>
    </row>
    <row r="6860" spans="1:10">
      <c r="A6860" s="2" t="s">
        <v>148</v>
      </c>
      <c r="B6860" s="2" t="s">
        <v>59</v>
      </c>
      <c r="C6860" s="2">
        <v>0.51913799999999999</v>
      </c>
      <c r="D6860" s="60">
        <v>51.913800000000002</v>
      </c>
      <c r="E6860" s="2">
        <v>6.4</v>
      </c>
      <c r="F6860" s="2">
        <v>4</v>
      </c>
      <c r="G6860" s="2">
        <v>37.864899999999999</v>
      </c>
      <c r="H6860" s="2">
        <v>43.180199999999999</v>
      </c>
      <c r="I6860" s="2">
        <v>0</v>
      </c>
      <c r="J6860" s="2">
        <v>0</v>
      </c>
    </row>
    <row r="6861" spans="1:10">
      <c r="A6861" s="2" t="s">
        <v>148</v>
      </c>
      <c r="B6861" s="2" t="s">
        <v>55</v>
      </c>
      <c r="C6861" s="2">
        <v>1.09568</v>
      </c>
      <c r="D6861" s="60">
        <v>158.87299999999999</v>
      </c>
      <c r="E6861" s="2">
        <v>0.3</v>
      </c>
      <c r="F6861" s="2">
        <v>6.1</v>
      </c>
      <c r="G6861" s="2">
        <v>43.180199999999999</v>
      </c>
      <c r="H6861" s="2">
        <v>56.8996</v>
      </c>
      <c r="I6861" s="2">
        <v>0</v>
      </c>
      <c r="J6861" s="2">
        <v>0</v>
      </c>
    </row>
    <row r="6862" spans="1:10">
      <c r="A6862" s="2" t="s">
        <v>138</v>
      </c>
      <c r="B6862" s="2">
        <v>2</v>
      </c>
      <c r="C6862" s="2">
        <v>18.937899999999999</v>
      </c>
      <c r="D6862" s="60" t="s">
        <v>149</v>
      </c>
    </row>
    <row r="6863" spans="1:10">
      <c r="A6863" s="2" t="s">
        <v>140</v>
      </c>
      <c r="B6863" s="2">
        <v>0</v>
      </c>
      <c r="C6863" s="2">
        <v>43.519399999999997</v>
      </c>
      <c r="D6863" s="60">
        <v>26.276199999999999</v>
      </c>
    </row>
    <row r="6864" spans="1:10">
      <c r="A6864" s="2" t="s">
        <v>141</v>
      </c>
      <c r="B6864" s="2">
        <v>0</v>
      </c>
      <c r="C6864" s="2">
        <v>7.3</v>
      </c>
      <c r="D6864" s="60" t="s">
        <v>142</v>
      </c>
    </row>
    <row r="6865" spans="1:10">
      <c r="A6865" s="2" t="s">
        <v>141</v>
      </c>
      <c r="B6865" s="2">
        <v>0</v>
      </c>
      <c r="C6865" s="2">
        <v>20.712800000000001</v>
      </c>
      <c r="D6865" s="60" t="s">
        <v>146</v>
      </c>
    </row>
    <row r="6866" spans="1:10">
      <c r="A6866" s="2" t="s">
        <v>141</v>
      </c>
      <c r="B6866" s="2">
        <v>7.3</v>
      </c>
      <c r="C6866" s="2">
        <v>11.4</v>
      </c>
      <c r="D6866" s="60" t="s">
        <v>144</v>
      </c>
    </row>
    <row r="6867" spans="1:10">
      <c r="A6867" s="2" t="s">
        <v>141</v>
      </c>
      <c r="B6867" s="2">
        <v>11.4</v>
      </c>
      <c r="C6867" s="2">
        <v>11.8</v>
      </c>
      <c r="D6867" s="60" t="s">
        <v>145</v>
      </c>
    </row>
    <row r="6868" spans="1:10">
      <c r="A6868" s="2" t="s">
        <v>141</v>
      </c>
      <c r="B6868" s="2">
        <v>11.8</v>
      </c>
      <c r="C6868" s="2">
        <v>20.712800000000001</v>
      </c>
      <c r="D6868" s="60" t="s">
        <v>144</v>
      </c>
    </row>
    <row r="6869" spans="1:10">
      <c r="A6869" s="2" t="s">
        <v>148</v>
      </c>
      <c r="B6869" s="2" t="s">
        <v>99</v>
      </c>
      <c r="C6869" s="2">
        <v>4.6881699999999998E-2</v>
      </c>
      <c r="D6869" s="60">
        <v>0</v>
      </c>
      <c r="E6869" s="2">
        <v>0</v>
      </c>
      <c r="F6869" s="2">
        <v>0.3</v>
      </c>
      <c r="G6869" s="2">
        <v>43.5443</v>
      </c>
      <c r="H6869" s="2">
        <v>45.752299999999998</v>
      </c>
      <c r="I6869" s="2">
        <v>0</v>
      </c>
      <c r="J6869" s="2">
        <v>0</v>
      </c>
    </row>
    <row r="6870" spans="1:10">
      <c r="A6870" s="2" t="s">
        <v>148</v>
      </c>
      <c r="B6870" s="2" t="s">
        <v>100</v>
      </c>
      <c r="C6870" s="2">
        <v>1.5517400000000001E-2</v>
      </c>
      <c r="D6870" s="60">
        <v>0</v>
      </c>
      <c r="E6870" s="2">
        <v>21.551300000000001</v>
      </c>
      <c r="F6870" s="2">
        <v>4.7248999999999999</v>
      </c>
      <c r="G6870" s="2">
        <v>0</v>
      </c>
      <c r="H6870" s="2">
        <v>10</v>
      </c>
      <c r="I6870" s="2">
        <v>0</v>
      </c>
      <c r="J6870" s="2">
        <v>0</v>
      </c>
    </row>
    <row r="6871" spans="1:10">
      <c r="A6871" s="2" t="s">
        <v>148</v>
      </c>
      <c r="B6871" s="2" t="s">
        <v>98</v>
      </c>
      <c r="C6871" s="2">
        <v>8.3692900000000001E-2</v>
      </c>
      <c r="D6871" s="60">
        <v>0</v>
      </c>
      <c r="E6871" s="2">
        <v>16.526599999999998</v>
      </c>
      <c r="F6871" s="2">
        <v>5.0246700000000004</v>
      </c>
      <c r="G6871" s="2">
        <v>10</v>
      </c>
      <c r="H6871" s="2">
        <v>18.707699999999999</v>
      </c>
      <c r="I6871" s="2">
        <v>0</v>
      </c>
      <c r="J6871" s="2">
        <v>0</v>
      </c>
    </row>
    <row r="6872" spans="1:10">
      <c r="A6872" s="2" t="s">
        <v>148</v>
      </c>
      <c r="B6872" s="2" t="s">
        <v>101</v>
      </c>
      <c r="C6872" s="2">
        <v>6.3585100000000004E-3</v>
      </c>
      <c r="D6872" s="60">
        <v>0</v>
      </c>
      <c r="E6872" s="2">
        <v>16.3</v>
      </c>
      <c r="F6872" s="2">
        <v>0.226608</v>
      </c>
      <c r="G6872" s="2">
        <v>18.707699999999999</v>
      </c>
      <c r="H6872" s="2">
        <v>19.0943</v>
      </c>
      <c r="I6872" s="2">
        <v>0</v>
      </c>
      <c r="J6872" s="2">
        <v>0</v>
      </c>
    </row>
    <row r="6873" spans="1:10">
      <c r="A6873" s="2" t="s">
        <v>148</v>
      </c>
      <c r="B6873" s="2" t="s">
        <v>61</v>
      </c>
      <c r="C6873" s="2">
        <v>0.15811600000000001</v>
      </c>
      <c r="D6873" s="60">
        <v>13.4398</v>
      </c>
      <c r="E6873" s="2">
        <v>12.3</v>
      </c>
      <c r="F6873" s="2">
        <v>4</v>
      </c>
      <c r="G6873" s="2">
        <v>19.0943</v>
      </c>
      <c r="H6873" s="2">
        <v>25.456700000000001</v>
      </c>
      <c r="I6873" s="2">
        <v>0</v>
      </c>
      <c r="J6873" s="2">
        <v>0</v>
      </c>
    </row>
    <row r="6874" spans="1:10">
      <c r="A6874" s="2" t="s">
        <v>148</v>
      </c>
      <c r="B6874" s="2" t="s">
        <v>60</v>
      </c>
      <c r="C6874" s="2">
        <v>0.24968099999999999</v>
      </c>
      <c r="D6874" s="60">
        <v>22.471299999999999</v>
      </c>
      <c r="E6874" s="2">
        <v>8.3000000000000007</v>
      </c>
      <c r="F6874" s="2">
        <v>4</v>
      </c>
      <c r="G6874" s="2">
        <v>25.456700000000001</v>
      </c>
      <c r="H6874" s="2">
        <v>30.6326</v>
      </c>
      <c r="I6874" s="2">
        <v>0</v>
      </c>
      <c r="J6874" s="2">
        <v>0</v>
      </c>
    </row>
    <row r="6875" spans="1:10">
      <c r="A6875" s="2" t="s">
        <v>148</v>
      </c>
      <c r="B6875" s="2" t="s">
        <v>59</v>
      </c>
      <c r="C6875" s="2">
        <v>0.337231</v>
      </c>
      <c r="D6875" s="60">
        <v>33.723100000000002</v>
      </c>
      <c r="E6875" s="2">
        <v>4.3</v>
      </c>
      <c r="F6875" s="2">
        <v>4</v>
      </c>
      <c r="G6875" s="2">
        <v>30.6326</v>
      </c>
      <c r="H6875" s="2">
        <v>34.741500000000002</v>
      </c>
      <c r="I6875" s="2">
        <v>0</v>
      </c>
      <c r="J6875" s="2">
        <v>0</v>
      </c>
    </row>
    <row r="6876" spans="1:10">
      <c r="A6876" s="2" t="s">
        <v>148</v>
      </c>
      <c r="B6876" s="2" t="s">
        <v>59</v>
      </c>
      <c r="C6876" s="2">
        <v>0.44748700000000002</v>
      </c>
      <c r="D6876" s="60">
        <v>44.748699999999999</v>
      </c>
      <c r="E6876" s="2">
        <v>0.3</v>
      </c>
      <c r="F6876" s="2">
        <v>4</v>
      </c>
      <c r="G6876" s="2">
        <v>34.741500000000002</v>
      </c>
      <c r="H6876" s="2">
        <v>43.5443</v>
      </c>
      <c r="I6876" s="2">
        <v>0</v>
      </c>
      <c r="J6876" s="2">
        <v>0</v>
      </c>
    </row>
    <row r="6877" spans="1:10">
      <c r="A6877" s="2" t="s">
        <v>138</v>
      </c>
      <c r="B6877" s="2">
        <v>3</v>
      </c>
      <c r="C6877" s="2">
        <v>19.250599999999999</v>
      </c>
      <c r="D6877" s="60" t="s">
        <v>149</v>
      </c>
    </row>
    <row r="6878" spans="1:10">
      <c r="A6878" s="2" t="s">
        <v>140</v>
      </c>
      <c r="B6878" s="2">
        <v>0</v>
      </c>
      <c r="C6878" s="2">
        <v>48.509399999999999</v>
      </c>
      <c r="D6878" s="60">
        <v>27.0625</v>
      </c>
    </row>
    <row r="6879" spans="1:10">
      <c r="A6879" s="2" t="s">
        <v>141</v>
      </c>
      <c r="B6879" s="2">
        <v>0</v>
      </c>
      <c r="C6879" s="2">
        <v>6.8</v>
      </c>
      <c r="D6879" s="60" t="s">
        <v>142</v>
      </c>
    </row>
    <row r="6880" spans="1:10">
      <c r="A6880" s="2" t="s">
        <v>141</v>
      </c>
      <c r="B6880" s="2">
        <v>0</v>
      </c>
      <c r="C6880" s="2">
        <v>21.2393</v>
      </c>
      <c r="D6880" s="60" t="s">
        <v>146</v>
      </c>
    </row>
    <row r="6881" spans="1:10">
      <c r="A6881" s="2" t="s">
        <v>141</v>
      </c>
      <c r="B6881" s="2">
        <v>6.8</v>
      </c>
      <c r="C6881" s="2">
        <v>11.7</v>
      </c>
      <c r="D6881" s="60" t="s">
        <v>145</v>
      </c>
    </row>
    <row r="6882" spans="1:10">
      <c r="A6882" s="2" t="s">
        <v>141</v>
      </c>
      <c r="B6882" s="2">
        <v>11.7</v>
      </c>
      <c r="C6882" s="2">
        <v>15.1</v>
      </c>
      <c r="D6882" s="60" t="s">
        <v>147</v>
      </c>
    </row>
    <row r="6883" spans="1:10">
      <c r="A6883" s="2" t="s">
        <v>141</v>
      </c>
      <c r="B6883" s="2">
        <v>15.1</v>
      </c>
      <c r="C6883" s="2">
        <v>21.2393</v>
      </c>
      <c r="D6883" s="60" t="s">
        <v>144</v>
      </c>
    </row>
    <row r="6884" spans="1:10">
      <c r="A6884" s="2" t="s">
        <v>148</v>
      </c>
      <c r="B6884" s="2" t="s">
        <v>99</v>
      </c>
      <c r="C6884" s="2">
        <v>5.70441E-2</v>
      </c>
      <c r="D6884" s="60">
        <v>0</v>
      </c>
      <c r="E6884" s="2">
        <v>0</v>
      </c>
      <c r="F6884" s="2">
        <v>0.3</v>
      </c>
      <c r="G6884" s="2">
        <v>48.061999999999998</v>
      </c>
      <c r="H6884" s="2">
        <v>50.433500000000002</v>
      </c>
      <c r="I6884" s="2">
        <v>0</v>
      </c>
      <c r="J6884" s="2">
        <v>0</v>
      </c>
    </row>
    <row r="6885" spans="1:10">
      <c r="A6885" s="2" t="s">
        <v>148</v>
      </c>
      <c r="B6885" s="2" t="s">
        <v>100</v>
      </c>
      <c r="C6885" s="2">
        <v>1.4450899999999999E-2</v>
      </c>
      <c r="D6885" s="60">
        <v>0</v>
      </c>
      <c r="E6885" s="2">
        <v>22.7684</v>
      </c>
      <c r="F6885" s="2">
        <v>4.2940699999999996</v>
      </c>
      <c r="G6885" s="2">
        <v>0</v>
      </c>
      <c r="H6885" s="2">
        <v>10</v>
      </c>
      <c r="I6885" s="2">
        <v>0</v>
      </c>
      <c r="J6885" s="2">
        <v>0</v>
      </c>
    </row>
    <row r="6886" spans="1:10">
      <c r="A6886" s="2" t="s">
        <v>148</v>
      </c>
      <c r="B6886" s="2" t="s">
        <v>98</v>
      </c>
      <c r="C6886" s="2">
        <v>5.5162700000000002E-2</v>
      </c>
      <c r="D6886" s="60">
        <v>0</v>
      </c>
      <c r="E6886" s="2">
        <v>18.977499999999999</v>
      </c>
      <c r="F6886" s="2">
        <v>3.79087</v>
      </c>
      <c r="G6886" s="2">
        <v>10</v>
      </c>
      <c r="H6886" s="2">
        <v>16.987100000000002</v>
      </c>
      <c r="I6886" s="2">
        <v>0</v>
      </c>
      <c r="J6886" s="2">
        <v>0</v>
      </c>
    </row>
    <row r="6887" spans="1:10">
      <c r="A6887" s="2" t="s">
        <v>148</v>
      </c>
      <c r="B6887" s="2" t="s">
        <v>101</v>
      </c>
      <c r="C6887" s="2">
        <v>1.3940599999999999E-2</v>
      </c>
      <c r="D6887" s="60">
        <v>0</v>
      </c>
      <c r="E6887" s="2">
        <v>18.399999999999999</v>
      </c>
      <c r="F6887" s="2">
        <v>0.57754899999999998</v>
      </c>
      <c r="G6887" s="2">
        <v>16.987100000000002</v>
      </c>
      <c r="H6887" s="2">
        <v>18.068300000000001</v>
      </c>
      <c r="I6887" s="2">
        <v>0</v>
      </c>
      <c r="J6887" s="2">
        <v>0</v>
      </c>
    </row>
    <row r="6888" spans="1:10">
      <c r="A6888" s="2" t="s">
        <v>148</v>
      </c>
      <c r="B6888" s="2" t="s">
        <v>63</v>
      </c>
      <c r="C6888" s="2">
        <v>0.149563</v>
      </c>
      <c r="D6888" s="60">
        <v>10.4694</v>
      </c>
      <c r="E6888" s="2">
        <v>14.4</v>
      </c>
      <c r="F6888" s="2">
        <v>4</v>
      </c>
      <c r="G6888" s="2">
        <v>18.068300000000001</v>
      </c>
      <c r="H6888" s="2">
        <v>25.249500000000001</v>
      </c>
      <c r="I6888" s="2">
        <v>0</v>
      </c>
      <c r="J6888" s="2">
        <v>0</v>
      </c>
    </row>
    <row r="6889" spans="1:10">
      <c r="A6889" s="2" t="s">
        <v>148</v>
      </c>
      <c r="B6889" s="2" t="s">
        <v>63</v>
      </c>
      <c r="C6889" s="2">
        <v>0.25475799999999998</v>
      </c>
      <c r="D6889" s="60">
        <v>17.832999999999998</v>
      </c>
      <c r="E6889" s="2">
        <v>10.4</v>
      </c>
      <c r="F6889" s="2">
        <v>4</v>
      </c>
      <c r="G6889" s="2">
        <v>25.249500000000001</v>
      </c>
      <c r="H6889" s="2">
        <v>31.3781</v>
      </c>
      <c r="I6889" s="2">
        <v>0</v>
      </c>
      <c r="J6889" s="2">
        <v>0</v>
      </c>
    </row>
    <row r="6890" spans="1:10">
      <c r="A6890" s="2" t="s">
        <v>148</v>
      </c>
      <c r="B6890" s="2" t="s">
        <v>59</v>
      </c>
      <c r="C6890" s="2">
        <v>0.36158299999999999</v>
      </c>
      <c r="D6890" s="60">
        <v>36.158299999999997</v>
      </c>
      <c r="E6890" s="2">
        <v>6.4</v>
      </c>
      <c r="F6890" s="2">
        <v>4</v>
      </c>
      <c r="G6890" s="2">
        <v>31.3781</v>
      </c>
      <c r="H6890" s="2">
        <v>36.220500000000001</v>
      </c>
      <c r="I6890" s="2">
        <v>0</v>
      </c>
      <c r="J6890" s="2">
        <v>0</v>
      </c>
    </row>
    <row r="6891" spans="1:10">
      <c r="A6891" s="2" t="s">
        <v>148</v>
      </c>
      <c r="B6891" s="2" t="s">
        <v>56</v>
      </c>
      <c r="C6891" s="2">
        <v>0.776671</v>
      </c>
      <c r="D6891" s="60">
        <v>108.73399999999999</v>
      </c>
      <c r="E6891" s="2">
        <v>0.3</v>
      </c>
      <c r="F6891" s="2">
        <v>6.1</v>
      </c>
      <c r="G6891" s="2">
        <v>36.220500000000001</v>
      </c>
      <c r="H6891" s="2">
        <v>48.061999999999998</v>
      </c>
      <c r="I6891" s="2">
        <v>0</v>
      </c>
      <c r="J6891" s="2">
        <v>0</v>
      </c>
    </row>
    <row r="6892" spans="1:10">
      <c r="A6892" s="2" t="s">
        <v>138</v>
      </c>
      <c r="B6892" s="2">
        <v>4</v>
      </c>
      <c r="C6892" s="2">
        <v>19.7378</v>
      </c>
      <c r="D6892" s="60" t="s">
        <v>149</v>
      </c>
    </row>
    <row r="6893" spans="1:10">
      <c r="A6893" s="2" t="s">
        <v>140</v>
      </c>
      <c r="B6893" s="2">
        <v>0</v>
      </c>
      <c r="C6893" s="2">
        <v>66.3048</v>
      </c>
      <c r="D6893" s="60">
        <v>29.3566</v>
      </c>
    </row>
    <row r="6894" spans="1:10">
      <c r="A6894" s="2" t="s">
        <v>141</v>
      </c>
      <c r="B6894" s="2">
        <v>0</v>
      </c>
      <c r="C6894" s="2">
        <v>6.8</v>
      </c>
      <c r="D6894" s="60" t="s">
        <v>142</v>
      </c>
    </row>
    <row r="6895" spans="1:10">
      <c r="A6895" s="2" t="s">
        <v>141</v>
      </c>
      <c r="B6895" s="2">
        <v>0</v>
      </c>
      <c r="C6895" s="2">
        <v>16.399999999999999</v>
      </c>
      <c r="D6895" s="60" t="s">
        <v>146</v>
      </c>
    </row>
    <row r="6896" spans="1:10">
      <c r="A6896" s="2" t="s">
        <v>141</v>
      </c>
      <c r="B6896" s="2">
        <v>6.8</v>
      </c>
      <c r="C6896" s="2">
        <v>8.6</v>
      </c>
      <c r="D6896" s="60" t="s">
        <v>144</v>
      </c>
    </row>
    <row r="6897" spans="1:10">
      <c r="A6897" s="2" t="s">
        <v>141</v>
      </c>
      <c r="B6897" s="2">
        <v>8.6</v>
      </c>
      <c r="C6897" s="2">
        <v>10</v>
      </c>
      <c r="D6897" s="60" t="s">
        <v>145</v>
      </c>
    </row>
    <row r="6898" spans="1:10">
      <c r="A6898" s="2" t="s">
        <v>141</v>
      </c>
      <c r="B6898" s="2">
        <v>10</v>
      </c>
      <c r="C6898" s="2">
        <v>15.3</v>
      </c>
      <c r="D6898" s="60" t="s">
        <v>147</v>
      </c>
    </row>
    <row r="6899" spans="1:10">
      <c r="A6899" s="2" t="s">
        <v>141</v>
      </c>
      <c r="B6899" s="2">
        <v>15.3</v>
      </c>
      <c r="C6899" s="2">
        <v>16.2</v>
      </c>
      <c r="D6899" s="60" t="s">
        <v>151</v>
      </c>
    </row>
    <row r="6900" spans="1:10">
      <c r="A6900" s="2" t="s">
        <v>141</v>
      </c>
      <c r="B6900" s="2">
        <v>16.2</v>
      </c>
      <c r="C6900" s="2">
        <v>22.775400000000001</v>
      </c>
      <c r="D6900" s="60" t="s">
        <v>144</v>
      </c>
    </row>
    <row r="6901" spans="1:10">
      <c r="A6901" s="2" t="s">
        <v>141</v>
      </c>
      <c r="B6901" s="2">
        <v>16.399999999999999</v>
      </c>
      <c r="C6901" s="2">
        <v>22.775400000000001</v>
      </c>
      <c r="D6901" s="60" t="s">
        <v>161</v>
      </c>
    </row>
    <row r="6902" spans="1:10">
      <c r="A6902" s="2" t="s">
        <v>148</v>
      </c>
      <c r="B6902" s="2" t="s">
        <v>99</v>
      </c>
      <c r="C6902" s="2">
        <v>0.100337</v>
      </c>
      <c r="D6902" s="60">
        <v>0</v>
      </c>
      <c r="E6902" s="2">
        <v>0</v>
      </c>
      <c r="F6902" s="2">
        <v>0.3</v>
      </c>
      <c r="G6902" s="2">
        <v>63.8459</v>
      </c>
      <c r="H6902" s="2">
        <v>66.766900000000007</v>
      </c>
      <c r="I6902" s="2">
        <v>0</v>
      </c>
      <c r="J6902" s="2">
        <v>0</v>
      </c>
    </row>
    <row r="6903" spans="1:10">
      <c r="A6903" s="2" t="s">
        <v>148</v>
      </c>
      <c r="B6903" s="2" t="s">
        <v>100</v>
      </c>
      <c r="C6903" s="2">
        <v>1.12716E-2</v>
      </c>
      <c r="D6903" s="60">
        <v>0</v>
      </c>
      <c r="E6903" s="2">
        <v>26.218699999999998</v>
      </c>
      <c r="F6903" s="2">
        <v>3.13795</v>
      </c>
      <c r="G6903" s="2">
        <v>0</v>
      </c>
      <c r="H6903" s="2">
        <v>10.0002</v>
      </c>
      <c r="I6903" s="2">
        <v>0</v>
      </c>
      <c r="J6903" s="2">
        <v>0</v>
      </c>
    </row>
    <row r="6904" spans="1:10">
      <c r="A6904" s="2" t="s">
        <v>148</v>
      </c>
      <c r="B6904" s="2" t="s">
        <v>98</v>
      </c>
      <c r="C6904" s="2">
        <v>1.07318</v>
      </c>
      <c r="D6904" s="60">
        <v>0</v>
      </c>
      <c r="E6904" s="2">
        <v>10.172800000000001</v>
      </c>
      <c r="F6904" s="2">
        <v>16.0458</v>
      </c>
      <c r="G6904" s="2">
        <v>10.0002</v>
      </c>
      <c r="H6904" s="2">
        <v>43.331600000000002</v>
      </c>
      <c r="I6904" s="2">
        <v>0</v>
      </c>
      <c r="J6904" s="2">
        <v>0</v>
      </c>
    </row>
    <row r="6905" spans="1:10">
      <c r="A6905" s="2" t="s">
        <v>148</v>
      </c>
      <c r="B6905" s="2" t="s">
        <v>101</v>
      </c>
      <c r="C6905" s="2">
        <v>0.101621</v>
      </c>
      <c r="D6905" s="60">
        <v>0</v>
      </c>
      <c r="E6905" s="2">
        <v>9.5</v>
      </c>
      <c r="F6905" s="2">
        <v>0.67284699999999997</v>
      </c>
      <c r="G6905" s="2">
        <v>43.331600000000002</v>
      </c>
      <c r="H6905" s="2">
        <v>44.363500000000002</v>
      </c>
      <c r="I6905" s="2">
        <v>0</v>
      </c>
      <c r="J6905" s="2">
        <v>0</v>
      </c>
    </row>
    <row r="6906" spans="1:10">
      <c r="A6906" s="2" t="s">
        <v>148</v>
      </c>
      <c r="B6906" s="2" t="s">
        <v>58</v>
      </c>
      <c r="C6906" s="2">
        <v>0.69968399999999997</v>
      </c>
      <c r="D6906" s="60">
        <v>73.466899999999995</v>
      </c>
      <c r="E6906" s="2">
        <v>5.5</v>
      </c>
      <c r="F6906" s="2">
        <v>4</v>
      </c>
      <c r="G6906" s="2">
        <v>44.363500000000002</v>
      </c>
      <c r="H6906" s="2">
        <v>49.808999999999997</v>
      </c>
      <c r="I6906" s="2">
        <v>0</v>
      </c>
      <c r="J6906" s="2">
        <v>0</v>
      </c>
    </row>
    <row r="6907" spans="1:10">
      <c r="A6907" s="2" t="s">
        <v>148</v>
      </c>
      <c r="B6907" s="2" t="s">
        <v>55</v>
      </c>
      <c r="C6907" s="2">
        <v>1.2139200000000001</v>
      </c>
      <c r="D6907" s="60">
        <v>176.018</v>
      </c>
      <c r="E6907" s="2">
        <v>0.3</v>
      </c>
      <c r="F6907" s="2">
        <v>5.2</v>
      </c>
      <c r="G6907" s="2">
        <v>49.808999999999997</v>
      </c>
      <c r="H6907" s="2">
        <v>63.8459</v>
      </c>
      <c r="I6907" s="2">
        <v>0</v>
      </c>
      <c r="J6907" s="2">
        <v>0</v>
      </c>
    </row>
    <row r="6908" spans="1:10">
      <c r="A6908" s="2" t="s">
        <v>138</v>
      </c>
      <c r="B6908" s="2">
        <v>5</v>
      </c>
      <c r="C6908" s="2">
        <v>17.7545</v>
      </c>
      <c r="D6908" s="60" t="s">
        <v>149</v>
      </c>
    </row>
    <row r="6909" spans="1:10">
      <c r="A6909" s="2" t="s">
        <v>140</v>
      </c>
      <c r="B6909" s="2">
        <v>0</v>
      </c>
      <c r="C6909" s="2">
        <v>34.883299999999998</v>
      </c>
      <c r="D6909" s="60">
        <v>24.5105</v>
      </c>
    </row>
    <row r="6910" spans="1:10">
      <c r="A6910" s="2" t="s">
        <v>141</v>
      </c>
      <c r="B6910" s="2">
        <v>0</v>
      </c>
      <c r="C6910" s="2">
        <v>1.2</v>
      </c>
      <c r="D6910" s="60" t="s">
        <v>157</v>
      </c>
    </row>
    <row r="6911" spans="1:10">
      <c r="A6911" s="2" t="s">
        <v>141</v>
      </c>
      <c r="B6911" s="2">
        <v>0</v>
      </c>
      <c r="C6911" s="2">
        <v>6.3</v>
      </c>
      <c r="D6911" s="60" t="s">
        <v>142</v>
      </c>
    </row>
    <row r="6912" spans="1:10">
      <c r="A6912" s="2" t="s">
        <v>141</v>
      </c>
      <c r="B6912" s="2">
        <v>0</v>
      </c>
      <c r="C6912" s="2">
        <v>19.5305</v>
      </c>
      <c r="D6912" s="60" t="s">
        <v>146</v>
      </c>
    </row>
    <row r="6913" spans="1:10">
      <c r="A6913" s="2" t="s">
        <v>141</v>
      </c>
      <c r="B6913" s="2">
        <v>1.2</v>
      </c>
      <c r="C6913" s="2">
        <v>1.3</v>
      </c>
      <c r="D6913" s="60" t="s">
        <v>158</v>
      </c>
    </row>
    <row r="6914" spans="1:10">
      <c r="A6914" s="2" t="s">
        <v>141</v>
      </c>
      <c r="B6914" s="2">
        <v>1.3</v>
      </c>
      <c r="C6914" s="2">
        <v>1.5</v>
      </c>
      <c r="D6914" s="60" t="s">
        <v>174</v>
      </c>
    </row>
    <row r="6915" spans="1:10">
      <c r="A6915" s="2" t="s">
        <v>141</v>
      </c>
      <c r="B6915" s="2">
        <v>6.3</v>
      </c>
      <c r="C6915" s="2">
        <v>19.5305</v>
      </c>
      <c r="D6915" s="60" t="s">
        <v>144</v>
      </c>
    </row>
    <row r="6916" spans="1:10">
      <c r="A6916" s="2" t="s">
        <v>148</v>
      </c>
      <c r="B6916" s="2" t="s">
        <v>99</v>
      </c>
      <c r="C6916" s="2">
        <v>3.1416300000000001E-2</v>
      </c>
      <c r="D6916" s="60">
        <v>0</v>
      </c>
      <c r="E6916" s="2">
        <v>0</v>
      </c>
      <c r="F6916" s="2">
        <v>0.3</v>
      </c>
      <c r="G6916" s="2">
        <v>35.592300000000002</v>
      </c>
      <c r="H6916" s="2">
        <v>37.516399999999997</v>
      </c>
      <c r="I6916" s="2">
        <v>0</v>
      </c>
      <c r="J6916" s="2">
        <v>0</v>
      </c>
    </row>
    <row r="6917" spans="1:10">
      <c r="A6917" s="2" t="s">
        <v>148</v>
      </c>
      <c r="B6917" s="2" t="s">
        <v>100</v>
      </c>
      <c r="C6917" s="2">
        <v>1.7542599999999998E-2</v>
      </c>
      <c r="D6917" s="60">
        <v>0</v>
      </c>
      <c r="E6917" s="2">
        <v>18.905000000000001</v>
      </c>
      <c r="F6917" s="2">
        <v>5.6054599999999999</v>
      </c>
      <c r="G6917" s="2">
        <v>0</v>
      </c>
      <c r="H6917" s="2">
        <v>10</v>
      </c>
      <c r="I6917" s="2">
        <v>0</v>
      </c>
      <c r="J6917" s="2">
        <v>0</v>
      </c>
    </row>
    <row r="6918" spans="1:10">
      <c r="A6918" s="2" t="s">
        <v>148</v>
      </c>
      <c r="B6918" s="2" t="s">
        <v>64</v>
      </c>
      <c r="C6918" s="2">
        <v>8.6988499999999996E-2</v>
      </c>
      <c r="D6918" s="60">
        <v>2.6096499999999998</v>
      </c>
      <c r="E6918" s="2">
        <v>13.5</v>
      </c>
      <c r="F6918" s="2">
        <v>5.4</v>
      </c>
      <c r="G6918" s="2">
        <v>10.0076</v>
      </c>
      <c r="H6918" s="2">
        <v>18.1416</v>
      </c>
      <c r="I6918" s="2">
        <v>0</v>
      </c>
      <c r="J6918" s="2">
        <v>0</v>
      </c>
    </row>
    <row r="6919" spans="1:10">
      <c r="A6919" s="2" t="s">
        <v>148</v>
      </c>
      <c r="B6919" s="2" t="s">
        <v>61</v>
      </c>
      <c r="C6919" s="2">
        <v>0.13649800000000001</v>
      </c>
      <c r="D6919" s="60">
        <v>11.6023</v>
      </c>
      <c r="E6919" s="2">
        <v>9.5</v>
      </c>
      <c r="F6919" s="2">
        <v>4</v>
      </c>
      <c r="G6919" s="2">
        <v>18.1416</v>
      </c>
      <c r="H6919" s="2">
        <v>23.250599999999999</v>
      </c>
      <c r="I6919" s="2">
        <v>0</v>
      </c>
      <c r="J6919" s="2">
        <v>0</v>
      </c>
    </row>
    <row r="6920" spans="1:10">
      <c r="A6920" s="2" t="s">
        <v>148</v>
      </c>
      <c r="B6920" s="2" t="s">
        <v>60</v>
      </c>
      <c r="C6920" s="2">
        <v>0.20172499999999999</v>
      </c>
      <c r="D6920" s="60">
        <v>18.1553</v>
      </c>
      <c r="E6920" s="2">
        <v>5.5</v>
      </c>
      <c r="F6920" s="2">
        <v>4</v>
      </c>
      <c r="G6920" s="2">
        <v>23.250599999999999</v>
      </c>
      <c r="H6920" s="2">
        <v>27.204499999999999</v>
      </c>
      <c r="I6920" s="2">
        <v>0</v>
      </c>
      <c r="J6920" s="2">
        <v>0</v>
      </c>
    </row>
    <row r="6921" spans="1:10">
      <c r="A6921" s="2" t="s">
        <v>148</v>
      </c>
      <c r="B6921" s="2" t="s">
        <v>60</v>
      </c>
      <c r="C6921" s="2">
        <v>0.26549</v>
      </c>
      <c r="D6921" s="60">
        <v>23.894100000000002</v>
      </c>
      <c r="E6921" s="2">
        <v>1.5</v>
      </c>
      <c r="F6921" s="2">
        <v>4</v>
      </c>
      <c r="G6921" s="2">
        <v>27.204499999999999</v>
      </c>
      <c r="H6921" s="2">
        <v>31.455300000000001</v>
      </c>
      <c r="I6921" s="2">
        <v>0</v>
      </c>
      <c r="J6921" s="2">
        <v>0</v>
      </c>
    </row>
    <row r="6922" spans="1:10">
      <c r="A6922" s="2" t="s">
        <v>148</v>
      </c>
      <c r="B6922" s="2" t="s">
        <v>101</v>
      </c>
      <c r="C6922" s="2">
        <v>0.10386099999999999</v>
      </c>
      <c r="D6922" s="60">
        <v>0</v>
      </c>
      <c r="E6922" s="2">
        <v>0.3</v>
      </c>
      <c r="F6922" s="2">
        <v>1.2</v>
      </c>
      <c r="G6922" s="2">
        <v>31.455300000000001</v>
      </c>
      <c r="H6922" s="2">
        <v>35.592300000000002</v>
      </c>
      <c r="I6922" s="2">
        <v>0</v>
      </c>
      <c r="J6922" s="2">
        <v>0</v>
      </c>
    </row>
    <row r="6923" spans="1:10">
      <c r="A6923" s="2" t="s">
        <v>138</v>
      </c>
      <c r="B6923" s="2">
        <v>6</v>
      </c>
      <c r="C6923" s="2">
        <v>18.9771</v>
      </c>
      <c r="D6923" s="60" t="s">
        <v>139</v>
      </c>
    </row>
    <row r="6924" spans="1:10">
      <c r="A6924" s="2" t="s">
        <v>140</v>
      </c>
      <c r="B6924" s="2">
        <v>0</v>
      </c>
      <c r="C6924" s="2">
        <v>36.779200000000003</v>
      </c>
      <c r="D6924" s="60">
        <v>36.860700000000001</v>
      </c>
    </row>
    <row r="6925" spans="1:10">
      <c r="A6925" s="2" t="s">
        <v>141</v>
      </c>
      <c r="B6925" s="2">
        <v>0</v>
      </c>
      <c r="C6925" s="2">
        <v>7</v>
      </c>
      <c r="D6925" s="60" t="s">
        <v>142</v>
      </c>
    </row>
    <row r="6926" spans="1:10">
      <c r="A6926" s="2" t="s">
        <v>141</v>
      </c>
      <c r="B6926" s="2">
        <v>0</v>
      </c>
      <c r="C6926" s="2">
        <v>22.4</v>
      </c>
      <c r="D6926" s="60" t="s">
        <v>143</v>
      </c>
    </row>
    <row r="6927" spans="1:10">
      <c r="A6927" s="2" t="s">
        <v>141</v>
      </c>
      <c r="B6927" s="2">
        <v>7</v>
      </c>
      <c r="C6927" s="2">
        <v>27.8</v>
      </c>
      <c r="D6927" s="60" t="s">
        <v>144</v>
      </c>
    </row>
    <row r="6928" spans="1:10">
      <c r="A6928" s="2" t="s">
        <v>141</v>
      </c>
      <c r="B6928" s="2">
        <v>22.4</v>
      </c>
      <c r="C6928" s="2">
        <v>27.8</v>
      </c>
      <c r="D6928" s="60" t="s">
        <v>146</v>
      </c>
    </row>
    <row r="6929" spans="1:10">
      <c r="A6929" s="2" t="s">
        <v>148</v>
      </c>
      <c r="B6929" s="2" t="s">
        <v>99</v>
      </c>
      <c r="C6929" s="2">
        <v>3.5451700000000003E-2</v>
      </c>
      <c r="D6929" s="60">
        <v>0</v>
      </c>
      <c r="E6929" s="2">
        <v>0</v>
      </c>
      <c r="F6929" s="2">
        <v>0.3</v>
      </c>
      <c r="G6929" s="2">
        <v>38.104599999999998</v>
      </c>
      <c r="H6929" s="2">
        <v>39.512300000000003</v>
      </c>
      <c r="I6929" s="2">
        <v>0</v>
      </c>
      <c r="J6929" s="2">
        <v>0</v>
      </c>
    </row>
    <row r="6930" spans="1:10">
      <c r="A6930" s="2" t="s">
        <v>148</v>
      </c>
      <c r="B6930" s="2" t="s">
        <v>100</v>
      </c>
      <c r="C6930" s="2">
        <v>2.5118700000000001E-2</v>
      </c>
      <c r="D6930" s="60">
        <v>0</v>
      </c>
      <c r="E6930" s="2">
        <v>28.9314</v>
      </c>
      <c r="F6930" s="2">
        <v>7.9292199999999999</v>
      </c>
      <c r="G6930" s="2">
        <v>0</v>
      </c>
      <c r="H6930" s="2">
        <v>10</v>
      </c>
      <c r="I6930" s="2">
        <v>0</v>
      </c>
      <c r="J6930" s="2">
        <v>0</v>
      </c>
    </row>
    <row r="6931" spans="1:10">
      <c r="A6931" s="2" t="s">
        <v>148</v>
      </c>
      <c r="B6931" s="2" t="s">
        <v>98</v>
      </c>
      <c r="C6931" s="2">
        <v>3.4883999999999998E-2</v>
      </c>
      <c r="D6931" s="60">
        <v>0</v>
      </c>
      <c r="E6931" s="2">
        <v>25.720199999999998</v>
      </c>
      <c r="F6931" s="2">
        <v>3.2112400000000001</v>
      </c>
      <c r="G6931" s="2">
        <v>10</v>
      </c>
      <c r="H6931" s="2">
        <v>13.446999999999999</v>
      </c>
      <c r="I6931" s="2">
        <v>0</v>
      </c>
      <c r="J6931" s="2">
        <v>0</v>
      </c>
    </row>
    <row r="6932" spans="1:10">
      <c r="A6932" s="2" t="s">
        <v>148</v>
      </c>
      <c r="B6932" s="2" t="s">
        <v>101</v>
      </c>
      <c r="C6932" s="2">
        <v>2.2546900000000002E-2</v>
      </c>
      <c r="D6932" s="60">
        <v>0</v>
      </c>
      <c r="E6932" s="2">
        <v>24.3</v>
      </c>
      <c r="F6932" s="2">
        <v>1.4201999999999999</v>
      </c>
      <c r="G6932" s="2">
        <v>13.446999999999999</v>
      </c>
      <c r="H6932" s="2">
        <v>14.972</v>
      </c>
      <c r="I6932" s="2">
        <v>0</v>
      </c>
      <c r="J6932" s="2">
        <v>0</v>
      </c>
    </row>
    <row r="6933" spans="1:10">
      <c r="A6933" s="2" t="s">
        <v>148</v>
      </c>
      <c r="B6933" s="2" t="s">
        <v>63</v>
      </c>
      <c r="C6933" s="2">
        <v>9.1955899999999993E-2</v>
      </c>
      <c r="D6933" s="60">
        <v>6.4369100000000001</v>
      </c>
      <c r="E6933" s="2">
        <v>20.3</v>
      </c>
      <c r="F6933" s="2">
        <v>4</v>
      </c>
      <c r="G6933" s="2">
        <v>14.972</v>
      </c>
      <c r="H6933" s="2">
        <v>19.109100000000002</v>
      </c>
      <c r="I6933" s="2">
        <v>0</v>
      </c>
      <c r="J6933" s="2">
        <v>0</v>
      </c>
    </row>
    <row r="6934" spans="1:10">
      <c r="A6934" s="2" t="s">
        <v>148</v>
      </c>
      <c r="B6934" s="2" t="s">
        <v>61</v>
      </c>
      <c r="C6934" s="2">
        <v>0.13902600000000001</v>
      </c>
      <c r="D6934" s="60">
        <v>11.8172</v>
      </c>
      <c r="E6934" s="2">
        <v>16.3</v>
      </c>
      <c r="F6934" s="2">
        <v>4</v>
      </c>
      <c r="G6934" s="2">
        <v>19.109100000000002</v>
      </c>
      <c r="H6934" s="2">
        <v>22.823799999999999</v>
      </c>
      <c r="I6934" s="2">
        <v>0</v>
      </c>
      <c r="J6934" s="2">
        <v>0</v>
      </c>
    </row>
    <row r="6935" spans="1:10">
      <c r="A6935" s="2" t="s">
        <v>148</v>
      </c>
      <c r="B6935" s="2" t="s">
        <v>60</v>
      </c>
      <c r="C6935" s="2">
        <v>0.30002400000000001</v>
      </c>
      <c r="D6935" s="60">
        <v>27.002099999999999</v>
      </c>
      <c r="E6935" s="2">
        <v>10.3</v>
      </c>
      <c r="F6935" s="2">
        <v>6</v>
      </c>
      <c r="G6935" s="2">
        <v>22.823799999999999</v>
      </c>
      <c r="H6935" s="2">
        <v>27.366499999999998</v>
      </c>
      <c r="I6935" s="2">
        <v>0</v>
      </c>
      <c r="J6935" s="2">
        <v>0</v>
      </c>
    </row>
    <row r="6936" spans="1:10">
      <c r="A6936" s="2" t="s">
        <v>148</v>
      </c>
      <c r="B6936" s="2" t="s">
        <v>60</v>
      </c>
      <c r="C6936" s="2">
        <v>0.40337000000000001</v>
      </c>
      <c r="D6936" s="60">
        <v>36.3033</v>
      </c>
      <c r="E6936" s="2">
        <v>4.3</v>
      </c>
      <c r="F6936" s="2">
        <v>6</v>
      </c>
      <c r="G6936" s="2">
        <v>27.366499999999998</v>
      </c>
      <c r="H6936" s="2">
        <v>31.127600000000001</v>
      </c>
      <c r="I6936" s="2">
        <v>0</v>
      </c>
      <c r="J6936" s="2">
        <v>0</v>
      </c>
    </row>
    <row r="6937" spans="1:10">
      <c r="A6937" s="2" t="s">
        <v>148</v>
      </c>
      <c r="B6937" s="2" t="s">
        <v>59</v>
      </c>
      <c r="C6937" s="2">
        <v>0.35480899999999999</v>
      </c>
      <c r="D6937" s="60">
        <v>35.480899999999998</v>
      </c>
      <c r="E6937" s="2">
        <v>0.3</v>
      </c>
      <c r="F6937" s="2">
        <v>4</v>
      </c>
      <c r="G6937" s="2">
        <v>31.127600000000001</v>
      </c>
      <c r="H6937" s="2">
        <v>38.104599999999998</v>
      </c>
      <c r="I6937" s="2">
        <v>0</v>
      </c>
      <c r="J6937" s="2">
        <v>0</v>
      </c>
    </row>
    <row r="6938" spans="1:10">
      <c r="A6938" s="2" t="s">
        <v>138</v>
      </c>
      <c r="B6938" s="2">
        <v>7</v>
      </c>
      <c r="C6938" s="2">
        <v>16.945599999999999</v>
      </c>
      <c r="D6938" s="60" t="s">
        <v>149</v>
      </c>
    </row>
    <row r="6939" spans="1:10">
      <c r="A6939" s="2" t="s">
        <v>140</v>
      </c>
      <c r="B6939" s="2">
        <v>0</v>
      </c>
      <c r="C6939" s="2">
        <v>32.200000000000003</v>
      </c>
      <c r="D6939" s="60">
        <v>23.629000000000001</v>
      </c>
    </row>
    <row r="6940" spans="1:10">
      <c r="A6940" s="2" t="s">
        <v>141</v>
      </c>
      <c r="B6940" s="2">
        <v>0</v>
      </c>
      <c r="C6940" s="2">
        <v>6.6</v>
      </c>
      <c r="D6940" s="60" t="s">
        <v>142</v>
      </c>
    </row>
    <row r="6941" spans="1:10">
      <c r="A6941" s="2" t="s">
        <v>141</v>
      </c>
      <c r="B6941" s="2">
        <v>0</v>
      </c>
      <c r="C6941" s="2">
        <v>15.1</v>
      </c>
      <c r="D6941" s="60" t="s">
        <v>146</v>
      </c>
    </row>
    <row r="6942" spans="1:10">
      <c r="A6942" s="2" t="s">
        <v>141</v>
      </c>
      <c r="B6942" s="2">
        <v>6.6</v>
      </c>
      <c r="C6942" s="2">
        <v>18.940300000000001</v>
      </c>
      <c r="D6942" s="60" t="s">
        <v>144</v>
      </c>
    </row>
    <row r="6943" spans="1:10">
      <c r="A6943" s="2" t="s">
        <v>141</v>
      </c>
      <c r="B6943" s="2">
        <v>15.1</v>
      </c>
      <c r="C6943" s="2">
        <v>18.940300000000001</v>
      </c>
      <c r="D6943" s="60" t="s">
        <v>161</v>
      </c>
    </row>
    <row r="6944" spans="1:10">
      <c r="A6944" s="2" t="s">
        <v>148</v>
      </c>
      <c r="B6944" s="2" t="s">
        <v>99</v>
      </c>
      <c r="C6944" s="2">
        <v>2.7162499999999999E-2</v>
      </c>
      <c r="D6944" s="60">
        <v>0</v>
      </c>
      <c r="E6944" s="2">
        <v>0</v>
      </c>
      <c r="F6944" s="2">
        <v>0.3</v>
      </c>
      <c r="G6944" s="2">
        <v>33.067999999999998</v>
      </c>
      <c r="H6944" s="2">
        <v>34.916499999999999</v>
      </c>
      <c r="I6944" s="2">
        <v>0</v>
      </c>
      <c r="J6944" s="2">
        <v>0</v>
      </c>
    </row>
    <row r="6945" spans="1:10">
      <c r="A6945" s="2" t="s">
        <v>148</v>
      </c>
      <c r="B6945" s="2" t="s">
        <v>100</v>
      </c>
      <c r="C6945" s="2">
        <v>1.8089500000000001E-2</v>
      </c>
      <c r="D6945" s="60">
        <v>0</v>
      </c>
      <c r="E6945" s="2">
        <v>17.755199999999999</v>
      </c>
      <c r="F6945" s="2">
        <v>5.8737700000000004</v>
      </c>
      <c r="G6945" s="2">
        <v>0</v>
      </c>
      <c r="H6945" s="2">
        <v>10</v>
      </c>
      <c r="I6945" s="2">
        <v>0</v>
      </c>
      <c r="J6945" s="2">
        <v>0</v>
      </c>
    </row>
    <row r="6946" spans="1:10">
      <c r="A6946" s="2" t="s">
        <v>148</v>
      </c>
      <c r="B6946" s="2" t="s">
        <v>98</v>
      </c>
      <c r="C6946" s="2">
        <v>5.8516800000000001E-2</v>
      </c>
      <c r="D6946" s="60">
        <v>0</v>
      </c>
      <c r="E6946" s="2">
        <v>13.513</v>
      </c>
      <c r="F6946" s="2">
        <v>4.2421899999999999</v>
      </c>
      <c r="G6946" s="2">
        <v>10</v>
      </c>
      <c r="H6946" s="2">
        <v>16.197199999999999</v>
      </c>
      <c r="I6946" s="2">
        <v>0</v>
      </c>
      <c r="J6946" s="2">
        <v>0</v>
      </c>
    </row>
    <row r="6947" spans="1:10">
      <c r="A6947" s="2" t="s">
        <v>148</v>
      </c>
      <c r="B6947" s="2" t="s">
        <v>101</v>
      </c>
      <c r="C6947" s="2">
        <v>2.7645400000000001E-2</v>
      </c>
      <c r="D6947" s="60">
        <v>0</v>
      </c>
      <c r="E6947" s="2">
        <v>12.3</v>
      </c>
      <c r="F6947" s="2">
        <v>1.21305</v>
      </c>
      <c r="G6947" s="2">
        <v>16.197199999999999</v>
      </c>
      <c r="H6947" s="2">
        <v>17.843800000000002</v>
      </c>
      <c r="I6947" s="2">
        <v>0</v>
      </c>
      <c r="J6947" s="2">
        <v>0</v>
      </c>
    </row>
    <row r="6948" spans="1:10">
      <c r="A6948" s="2" t="s">
        <v>148</v>
      </c>
      <c r="B6948" s="2" t="s">
        <v>61</v>
      </c>
      <c r="C6948" s="2">
        <v>0.12997800000000001</v>
      </c>
      <c r="D6948" s="60">
        <v>11.0481</v>
      </c>
      <c r="E6948" s="2">
        <v>8.3000000000000007</v>
      </c>
      <c r="F6948" s="2">
        <v>4</v>
      </c>
      <c r="G6948" s="2">
        <v>17.843800000000002</v>
      </c>
      <c r="H6948" s="2">
        <v>22.546600000000002</v>
      </c>
      <c r="I6948" s="2">
        <v>0</v>
      </c>
      <c r="J6948" s="2">
        <v>0</v>
      </c>
    </row>
    <row r="6949" spans="1:10">
      <c r="A6949" s="2" t="s">
        <v>148</v>
      </c>
      <c r="B6949" s="2" t="s">
        <v>60</v>
      </c>
      <c r="C6949" s="2">
        <v>0.18767400000000001</v>
      </c>
      <c r="D6949" s="60">
        <v>16.890699999999999</v>
      </c>
      <c r="E6949" s="2">
        <v>4.3</v>
      </c>
      <c r="F6949" s="2">
        <v>4</v>
      </c>
      <c r="G6949" s="2">
        <v>22.546600000000002</v>
      </c>
      <c r="H6949" s="2">
        <v>26.153199999999998</v>
      </c>
      <c r="I6949" s="2">
        <v>0</v>
      </c>
      <c r="J6949" s="2">
        <v>0</v>
      </c>
    </row>
    <row r="6950" spans="1:10">
      <c r="A6950" s="2" t="s">
        <v>148</v>
      </c>
      <c r="B6950" s="2" t="s">
        <v>60</v>
      </c>
      <c r="C6950" s="2">
        <v>0.25535400000000003</v>
      </c>
      <c r="D6950" s="60">
        <v>22.9818</v>
      </c>
      <c r="E6950" s="2">
        <v>0.3</v>
      </c>
      <c r="F6950" s="2">
        <v>4</v>
      </c>
      <c r="G6950" s="2">
        <v>26.153199999999998</v>
      </c>
      <c r="H6950" s="2">
        <v>33.067999999999998</v>
      </c>
      <c r="I6950" s="2">
        <v>0</v>
      </c>
      <c r="J6950" s="2">
        <v>0</v>
      </c>
    </row>
    <row r="6951" spans="1:10">
      <c r="A6951" s="2" t="s">
        <v>138</v>
      </c>
      <c r="B6951" s="2">
        <v>8</v>
      </c>
      <c r="C6951" s="2">
        <v>19.9359</v>
      </c>
      <c r="D6951" s="60" t="s">
        <v>139</v>
      </c>
    </row>
    <row r="6952" spans="1:10">
      <c r="A6952" s="2" t="s">
        <v>140</v>
      </c>
      <c r="B6952" s="2">
        <v>0</v>
      </c>
      <c r="C6952" s="2">
        <v>86.015199999999993</v>
      </c>
      <c r="D6952" s="60">
        <v>42.983899999999998</v>
      </c>
    </row>
    <row r="6953" spans="1:10">
      <c r="A6953" s="2" t="s">
        <v>141</v>
      </c>
      <c r="B6953" s="2">
        <v>0</v>
      </c>
      <c r="C6953" s="2">
        <v>7.4</v>
      </c>
      <c r="D6953" s="60" t="s">
        <v>142</v>
      </c>
    </row>
    <row r="6954" spans="1:10">
      <c r="A6954" s="2" t="s">
        <v>141</v>
      </c>
      <c r="B6954" s="2">
        <v>0</v>
      </c>
      <c r="C6954" s="2">
        <v>31.9</v>
      </c>
      <c r="D6954" s="60" t="s">
        <v>143</v>
      </c>
    </row>
    <row r="6955" spans="1:10">
      <c r="A6955" s="2" t="s">
        <v>141</v>
      </c>
      <c r="B6955" s="2">
        <v>7.4</v>
      </c>
      <c r="C6955" s="2">
        <v>10.1</v>
      </c>
      <c r="D6955" s="60" t="s">
        <v>145</v>
      </c>
    </row>
    <row r="6956" spans="1:10">
      <c r="A6956" s="2" t="s">
        <v>141</v>
      </c>
      <c r="B6956" s="2">
        <v>10.1</v>
      </c>
      <c r="C6956" s="2">
        <v>26.1</v>
      </c>
      <c r="D6956" s="60" t="s">
        <v>147</v>
      </c>
    </row>
    <row r="6957" spans="1:10">
      <c r="A6957" s="2" t="s">
        <v>141</v>
      </c>
      <c r="B6957" s="2">
        <v>26.1</v>
      </c>
      <c r="C6957" s="2">
        <v>28.3</v>
      </c>
      <c r="D6957" s="60" t="s">
        <v>145</v>
      </c>
    </row>
    <row r="6958" spans="1:10">
      <c r="A6958" s="2" t="s">
        <v>141</v>
      </c>
      <c r="B6958" s="2">
        <v>28.3</v>
      </c>
      <c r="C6958" s="2">
        <v>31.9</v>
      </c>
      <c r="D6958" s="60" t="s">
        <v>144</v>
      </c>
    </row>
    <row r="6959" spans="1:10">
      <c r="A6959" s="2" t="s">
        <v>148</v>
      </c>
      <c r="B6959" s="2" t="s">
        <v>99</v>
      </c>
      <c r="C6959" s="2">
        <v>0.164022</v>
      </c>
      <c r="D6959" s="60">
        <v>0</v>
      </c>
      <c r="E6959" s="2">
        <v>0</v>
      </c>
      <c r="F6959" s="2">
        <v>0.3</v>
      </c>
      <c r="G6959" s="2">
        <v>82.153499999999994</v>
      </c>
      <c r="H6959" s="2">
        <v>84.776200000000003</v>
      </c>
      <c r="I6959" s="2">
        <v>0</v>
      </c>
      <c r="J6959" s="2">
        <v>0</v>
      </c>
    </row>
    <row r="6960" spans="1:10">
      <c r="A6960" s="2" t="s">
        <v>148</v>
      </c>
      <c r="B6960" s="2" t="s">
        <v>100</v>
      </c>
      <c r="C6960" s="2">
        <v>1.17251E-2</v>
      </c>
      <c r="D6960" s="60">
        <v>0</v>
      </c>
      <c r="E6960" s="2">
        <v>39.851999999999997</v>
      </c>
      <c r="F6960" s="2">
        <v>3.13184</v>
      </c>
      <c r="G6960" s="2">
        <v>0</v>
      </c>
      <c r="H6960" s="2">
        <v>10</v>
      </c>
      <c r="I6960" s="2">
        <v>0</v>
      </c>
      <c r="J6960" s="2">
        <v>0</v>
      </c>
    </row>
    <row r="6961" spans="1:10">
      <c r="A6961" s="2" t="s">
        <v>148</v>
      </c>
      <c r="B6961" s="2" t="s">
        <v>98</v>
      </c>
      <c r="C6961" s="2">
        <v>0.34653600000000001</v>
      </c>
      <c r="D6961" s="60">
        <v>0</v>
      </c>
      <c r="E6961" s="2">
        <v>29.459499999999998</v>
      </c>
      <c r="F6961" s="2">
        <v>10.3925</v>
      </c>
      <c r="G6961" s="2">
        <v>10</v>
      </c>
      <c r="H6961" s="2">
        <v>29.908100000000001</v>
      </c>
      <c r="I6961" s="2">
        <v>0</v>
      </c>
      <c r="J6961" s="2">
        <v>0</v>
      </c>
    </row>
    <row r="6962" spans="1:10">
      <c r="A6962" s="2" t="s">
        <v>148</v>
      </c>
      <c r="B6962" s="2" t="s">
        <v>101</v>
      </c>
      <c r="C6962" s="2">
        <v>7.9764299999999996E-2</v>
      </c>
      <c r="D6962" s="60">
        <v>0</v>
      </c>
      <c r="E6962" s="2">
        <v>28.4</v>
      </c>
      <c r="F6962" s="2">
        <v>1.0595000000000001</v>
      </c>
      <c r="G6962" s="2">
        <v>29.908100000000001</v>
      </c>
      <c r="H6962" s="2">
        <v>31.998899999999999</v>
      </c>
      <c r="I6962" s="2">
        <v>0</v>
      </c>
      <c r="J6962" s="2">
        <v>0</v>
      </c>
    </row>
    <row r="6963" spans="1:10">
      <c r="A6963" s="2" t="s">
        <v>148</v>
      </c>
      <c r="B6963" s="2" t="s">
        <v>59</v>
      </c>
      <c r="C6963" s="2">
        <v>0.67627300000000001</v>
      </c>
      <c r="D6963" s="60">
        <v>67.627300000000005</v>
      </c>
      <c r="E6963" s="2">
        <v>22.4</v>
      </c>
      <c r="F6963" s="2">
        <v>6</v>
      </c>
      <c r="G6963" s="2">
        <v>31.998899999999999</v>
      </c>
      <c r="H6963" s="2">
        <v>43.280299999999997</v>
      </c>
      <c r="I6963" s="2">
        <v>0</v>
      </c>
      <c r="J6963" s="2">
        <v>0</v>
      </c>
    </row>
    <row r="6964" spans="1:10">
      <c r="A6964" s="2" t="s">
        <v>148</v>
      </c>
      <c r="B6964" s="2" t="s">
        <v>58</v>
      </c>
      <c r="C6964" s="2">
        <v>0.68549800000000005</v>
      </c>
      <c r="D6964" s="60">
        <v>71.9773</v>
      </c>
      <c r="E6964" s="2">
        <v>18.399999999999999</v>
      </c>
      <c r="F6964" s="2">
        <v>4</v>
      </c>
      <c r="G6964" s="2">
        <v>43.280299999999997</v>
      </c>
      <c r="H6964" s="2">
        <v>49.9238</v>
      </c>
      <c r="I6964" s="2">
        <v>0</v>
      </c>
      <c r="J6964" s="2">
        <v>0</v>
      </c>
    </row>
    <row r="6965" spans="1:10">
      <c r="A6965" s="2" t="s">
        <v>148</v>
      </c>
      <c r="B6965" s="2" t="s">
        <v>58</v>
      </c>
      <c r="C6965" s="2">
        <v>1.3893800000000001</v>
      </c>
      <c r="D6965" s="60">
        <v>145.88499999999999</v>
      </c>
      <c r="E6965" s="2">
        <v>12.4</v>
      </c>
      <c r="F6965" s="2">
        <v>6</v>
      </c>
      <c r="G6965" s="2">
        <v>49.9238</v>
      </c>
      <c r="H6965" s="2">
        <v>58.241599999999998</v>
      </c>
      <c r="I6965" s="2">
        <v>0</v>
      </c>
      <c r="J6965" s="2">
        <v>0</v>
      </c>
    </row>
    <row r="6966" spans="1:10">
      <c r="A6966" s="2" t="s">
        <v>148</v>
      </c>
      <c r="B6966" s="2" t="s">
        <v>58</v>
      </c>
      <c r="C6966" s="2">
        <v>1.7968900000000001</v>
      </c>
      <c r="D6966" s="60">
        <v>188.67400000000001</v>
      </c>
      <c r="E6966" s="2">
        <v>6.4</v>
      </c>
      <c r="F6966" s="2">
        <v>6</v>
      </c>
      <c r="G6966" s="2">
        <v>58.241599999999998</v>
      </c>
      <c r="H6966" s="2">
        <v>65.092399999999998</v>
      </c>
      <c r="I6966" s="2">
        <v>0</v>
      </c>
      <c r="J6966" s="2">
        <v>0</v>
      </c>
    </row>
    <row r="6967" spans="1:10">
      <c r="A6967" s="2" t="s">
        <v>148</v>
      </c>
      <c r="B6967" s="2" t="s">
        <v>55</v>
      </c>
      <c r="C6967" s="2">
        <v>2.4039000000000001</v>
      </c>
      <c r="D6967" s="60">
        <v>348.565</v>
      </c>
      <c r="E6967" s="2">
        <v>0.3</v>
      </c>
      <c r="F6967" s="2">
        <v>6.1</v>
      </c>
      <c r="G6967" s="2">
        <v>65.092399999999998</v>
      </c>
      <c r="H6967" s="2">
        <v>82.153499999999994</v>
      </c>
      <c r="I6967" s="2">
        <v>0</v>
      </c>
      <c r="J6967" s="2">
        <v>0</v>
      </c>
    </row>
    <row r="6968" spans="1:10">
      <c r="A6968" s="2" t="s">
        <v>138</v>
      </c>
      <c r="B6968" s="2">
        <v>9</v>
      </c>
      <c r="C6968" s="2">
        <v>19.615300000000001</v>
      </c>
      <c r="D6968" s="60" t="s">
        <v>149</v>
      </c>
    </row>
    <row r="6969" spans="1:10">
      <c r="A6969" s="2" t="s">
        <v>140</v>
      </c>
      <c r="B6969" s="2">
        <v>0</v>
      </c>
      <c r="C6969" s="2">
        <v>59.262999999999998</v>
      </c>
      <c r="D6969" s="60">
        <v>28.5367</v>
      </c>
    </row>
    <row r="6970" spans="1:10">
      <c r="A6970" s="2" t="s">
        <v>141</v>
      </c>
      <c r="B6970" s="2">
        <v>0</v>
      </c>
      <c r="C6970" s="2">
        <v>6.9</v>
      </c>
      <c r="D6970" s="60" t="s">
        <v>142</v>
      </c>
    </row>
    <row r="6971" spans="1:10">
      <c r="A6971" s="2" t="s">
        <v>141</v>
      </c>
      <c r="B6971" s="2">
        <v>0</v>
      </c>
      <c r="C6971" s="2">
        <v>14.8</v>
      </c>
      <c r="D6971" s="60" t="s">
        <v>161</v>
      </c>
    </row>
    <row r="6972" spans="1:10">
      <c r="A6972" s="2" t="s">
        <v>141</v>
      </c>
      <c r="B6972" s="2">
        <v>6.9</v>
      </c>
      <c r="C6972" s="2">
        <v>9.1</v>
      </c>
      <c r="D6972" s="60" t="s">
        <v>145</v>
      </c>
    </row>
    <row r="6973" spans="1:10">
      <c r="A6973" s="2" t="s">
        <v>141</v>
      </c>
      <c r="B6973" s="2">
        <v>9.1</v>
      </c>
      <c r="C6973" s="2">
        <v>22.226400000000002</v>
      </c>
      <c r="D6973" s="60" t="s">
        <v>144</v>
      </c>
    </row>
    <row r="6974" spans="1:10">
      <c r="A6974" s="2" t="s">
        <v>141</v>
      </c>
      <c r="B6974" s="2">
        <v>9.8000000000000007</v>
      </c>
      <c r="C6974" s="2">
        <v>10.1</v>
      </c>
      <c r="D6974" s="60" t="s">
        <v>153</v>
      </c>
    </row>
    <row r="6975" spans="1:10">
      <c r="A6975" s="2" t="s">
        <v>141</v>
      </c>
      <c r="B6975" s="2">
        <v>9.8000000000000007</v>
      </c>
      <c r="C6975" s="2">
        <v>10.1</v>
      </c>
      <c r="D6975" s="60" t="s">
        <v>154</v>
      </c>
    </row>
    <row r="6976" spans="1:10">
      <c r="A6976" s="2" t="s">
        <v>141</v>
      </c>
      <c r="B6976" s="2">
        <v>14.8</v>
      </c>
      <c r="C6976" s="2">
        <v>22.226400000000002</v>
      </c>
      <c r="D6976" s="60" t="s">
        <v>155</v>
      </c>
    </row>
    <row r="6977" spans="1:10">
      <c r="A6977" s="2" t="s">
        <v>156</v>
      </c>
      <c r="B6977" s="2">
        <v>9.8000000000000007</v>
      </c>
      <c r="C6977" s="2">
        <v>41.265799999999999</v>
      </c>
    </row>
    <row r="6978" spans="1:10">
      <c r="A6978" s="2" t="s">
        <v>148</v>
      </c>
      <c r="B6978" s="2" t="s">
        <v>99</v>
      </c>
      <c r="C6978" s="2">
        <v>8.1915500000000002E-2</v>
      </c>
      <c r="D6978" s="60">
        <v>0</v>
      </c>
      <c r="E6978" s="2">
        <v>0</v>
      </c>
      <c r="F6978" s="2">
        <v>0.3</v>
      </c>
      <c r="G6978" s="2">
        <v>57.655999999999999</v>
      </c>
      <c r="H6978" s="2">
        <v>60.3643</v>
      </c>
      <c r="I6978" s="2">
        <v>0</v>
      </c>
      <c r="J6978" s="2">
        <v>0</v>
      </c>
    </row>
    <row r="6979" spans="1:10">
      <c r="A6979" s="2" t="s">
        <v>148</v>
      </c>
      <c r="B6979" s="2" t="s">
        <v>100</v>
      </c>
      <c r="C6979" s="2">
        <v>1.7658199999999999E-2</v>
      </c>
      <c r="D6979" s="60">
        <v>0</v>
      </c>
      <c r="E6979" s="2">
        <v>23.096599999999999</v>
      </c>
      <c r="F6979" s="2">
        <v>5.4401099999999998</v>
      </c>
      <c r="G6979" s="2">
        <v>0</v>
      </c>
      <c r="H6979" s="2">
        <v>10</v>
      </c>
      <c r="I6979" s="2">
        <v>0</v>
      </c>
      <c r="J6979" s="2">
        <v>0</v>
      </c>
    </row>
    <row r="6980" spans="1:10">
      <c r="A6980" s="2" t="s">
        <v>148</v>
      </c>
      <c r="B6980" s="2" t="s">
        <v>98</v>
      </c>
      <c r="C6980" s="2">
        <v>0.13961599999999999</v>
      </c>
      <c r="D6980" s="60">
        <v>0</v>
      </c>
      <c r="E6980" s="2">
        <v>15.9373</v>
      </c>
      <c r="F6980" s="2">
        <v>7.1592399999999996</v>
      </c>
      <c r="G6980" s="2">
        <v>10</v>
      </c>
      <c r="H6980" s="2">
        <v>20.7986</v>
      </c>
      <c r="I6980" s="2">
        <v>0</v>
      </c>
      <c r="J6980" s="2">
        <v>0</v>
      </c>
    </row>
    <row r="6981" spans="1:10">
      <c r="A6981" s="2" t="s">
        <v>148</v>
      </c>
      <c r="B6981" s="2" t="s">
        <v>101</v>
      </c>
      <c r="C6981" s="2">
        <v>1.88734</v>
      </c>
      <c r="D6981" s="60">
        <v>0</v>
      </c>
      <c r="E6981" s="2">
        <v>0.3</v>
      </c>
      <c r="F6981" s="2">
        <v>15.6373</v>
      </c>
      <c r="G6981" s="2">
        <v>20.7986</v>
      </c>
      <c r="H6981" s="2">
        <v>57.655999999999999</v>
      </c>
      <c r="I6981" s="2">
        <v>0</v>
      </c>
      <c r="J6981" s="2">
        <v>0</v>
      </c>
    </row>
    <row r="6982" spans="1:10">
      <c r="A6982" s="2" t="s">
        <v>140</v>
      </c>
      <c r="B6982" s="2">
        <v>1</v>
      </c>
      <c r="C6982" s="2">
        <v>33.301900000000003</v>
      </c>
      <c r="D6982" s="60">
        <v>28.5367</v>
      </c>
      <c r="E6982" s="2">
        <v>9.8000000000000007</v>
      </c>
    </row>
    <row r="6983" spans="1:10">
      <c r="A6983" s="2" t="s">
        <v>141</v>
      </c>
      <c r="B6983" s="2">
        <v>9.8000000000000007</v>
      </c>
      <c r="C6983" s="2">
        <v>10.1</v>
      </c>
      <c r="D6983" s="60" t="s">
        <v>153</v>
      </c>
    </row>
    <row r="6984" spans="1:10">
      <c r="A6984" s="2" t="s">
        <v>141</v>
      </c>
      <c r="B6984" s="2">
        <v>9.8000000000000007</v>
      </c>
      <c r="C6984" s="2">
        <v>12</v>
      </c>
      <c r="D6984" s="60" t="s">
        <v>161</v>
      </c>
    </row>
    <row r="6985" spans="1:10">
      <c r="A6985" s="2" t="s">
        <v>141</v>
      </c>
      <c r="B6985" s="2">
        <v>9.8000000000000007</v>
      </c>
      <c r="C6985" s="2">
        <v>22.226400000000002</v>
      </c>
      <c r="D6985" s="60" t="s">
        <v>144</v>
      </c>
    </row>
    <row r="6986" spans="1:10">
      <c r="A6986" s="2" t="s">
        <v>141</v>
      </c>
      <c r="B6986" s="2">
        <v>12</v>
      </c>
      <c r="C6986" s="2">
        <v>22.226400000000002</v>
      </c>
      <c r="D6986" s="60" t="s">
        <v>155</v>
      </c>
    </row>
    <row r="6987" spans="1:10">
      <c r="A6987" s="2" t="s">
        <v>148</v>
      </c>
      <c r="B6987" s="2" t="s">
        <v>100</v>
      </c>
      <c r="C6987" s="2">
        <v>2.1214500000000001E-2</v>
      </c>
      <c r="D6987" s="60">
        <v>0</v>
      </c>
      <c r="E6987" s="2">
        <v>21.695499999999999</v>
      </c>
      <c r="F6987" s="2">
        <v>6.84117</v>
      </c>
      <c r="G6987" s="2">
        <v>0</v>
      </c>
      <c r="H6987" s="2">
        <v>10</v>
      </c>
      <c r="I6987" s="2">
        <v>0</v>
      </c>
      <c r="J6987" s="2">
        <v>0</v>
      </c>
    </row>
    <row r="6988" spans="1:10">
      <c r="A6988" s="2" t="s">
        <v>148</v>
      </c>
      <c r="B6988" s="2" t="s">
        <v>98</v>
      </c>
      <c r="C6988" s="2">
        <v>0.186086</v>
      </c>
      <c r="D6988" s="60">
        <v>0</v>
      </c>
      <c r="E6988" s="2">
        <v>12.4595</v>
      </c>
      <c r="F6988" s="2">
        <v>9.2360299999999995</v>
      </c>
      <c r="G6988" s="2">
        <v>10</v>
      </c>
      <c r="H6988" s="2">
        <v>20.973600000000001</v>
      </c>
      <c r="I6988" s="2">
        <v>0</v>
      </c>
      <c r="J6988" s="2">
        <v>0</v>
      </c>
    </row>
    <row r="6989" spans="1:10">
      <c r="A6989" s="2" t="s">
        <v>148</v>
      </c>
      <c r="B6989" s="2" t="s">
        <v>101</v>
      </c>
      <c r="C6989" s="2">
        <v>0.103503</v>
      </c>
      <c r="D6989" s="60">
        <v>0</v>
      </c>
      <c r="E6989" s="2">
        <v>9.8000000000000007</v>
      </c>
      <c r="F6989" s="2">
        <v>2.6594899999999999</v>
      </c>
      <c r="G6989" s="2">
        <v>20.973600000000001</v>
      </c>
      <c r="H6989" s="2">
        <v>23.4602</v>
      </c>
      <c r="I6989" s="2">
        <v>0</v>
      </c>
      <c r="J6989" s="2">
        <v>0</v>
      </c>
    </row>
    <row r="6990" spans="1:10">
      <c r="A6990" s="2" t="s">
        <v>138</v>
      </c>
      <c r="B6990" s="2">
        <v>10</v>
      </c>
      <c r="C6990" s="2">
        <v>19.161799999999999</v>
      </c>
      <c r="D6990" s="60" t="s">
        <v>149</v>
      </c>
    </row>
    <row r="6991" spans="1:10">
      <c r="A6991" s="2" t="s">
        <v>140</v>
      </c>
      <c r="B6991" s="2">
        <v>0</v>
      </c>
      <c r="C6991" s="2">
        <v>46.862900000000003</v>
      </c>
      <c r="D6991" s="60">
        <v>26.810500000000001</v>
      </c>
    </row>
    <row r="6992" spans="1:10">
      <c r="A6992" s="2" t="s">
        <v>141</v>
      </c>
      <c r="B6992" s="2">
        <v>0</v>
      </c>
      <c r="C6992" s="2">
        <v>7.1</v>
      </c>
      <c r="D6992" s="60" t="s">
        <v>142</v>
      </c>
    </row>
    <row r="6993" spans="1:10">
      <c r="A6993" s="2" t="s">
        <v>141</v>
      </c>
      <c r="B6993" s="2">
        <v>0</v>
      </c>
      <c r="C6993" s="2">
        <v>14</v>
      </c>
      <c r="D6993" s="60" t="s">
        <v>158</v>
      </c>
    </row>
    <row r="6994" spans="1:10">
      <c r="A6994" s="2" t="s">
        <v>141</v>
      </c>
      <c r="B6994" s="2">
        <v>0</v>
      </c>
      <c r="C6994" s="2">
        <v>21.070599999999999</v>
      </c>
      <c r="D6994" s="60" t="s">
        <v>143</v>
      </c>
    </row>
    <row r="6995" spans="1:10">
      <c r="A6995" s="2" t="s">
        <v>141</v>
      </c>
      <c r="B6995" s="2">
        <v>7.1</v>
      </c>
      <c r="C6995" s="2">
        <v>21.070599999999999</v>
      </c>
      <c r="D6995" s="60" t="s">
        <v>144</v>
      </c>
    </row>
    <row r="6996" spans="1:10">
      <c r="A6996" s="2" t="s">
        <v>141</v>
      </c>
      <c r="B6996" s="2">
        <v>14</v>
      </c>
      <c r="C6996" s="2">
        <v>14.2</v>
      </c>
      <c r="D6996" s="60" t="s">
        <v>160</v>
      </c>
    </row>
    <row r="6997" spans="1:10">
      <c r="A6997" s="2" t="s">
        <v>148</v>
      </c>
      <c r="B6997" s="2" t="s">
        <v>99</v>
      </c>
      <c r="C6997" s="2">
        <v>5.3592800000000003E-2</v>
      </c>
      <c r="D6997" s="60">
        <v>0</v>
      </c>
      <c r="E6997" s="2">
        <v>0</v>
      </c>
      <c r="F6997" s="2">
        <v>0.3</v>
      </c>
      <c r="G6997" s="2">
        <v>46.5764</v>
      </c>
      <c r="H6997" s="2">
        <v>48.894500000000001</v>
      </c>
      <c r="I6997" s="2">
        <v>0</v>
      </c>
      <c r="J6997" s="2">
        <v>0</v>
      </c>
    </row>
    <row r="6998" spans="1:10">
      <c r="A6998" s="2" t="s">
        <v>148</v>
      </c>
      <c r="B6998" s="2" t="s">
        <v>100</v>
      </c>
      <c r="C6998" s="2">
        <v>1.47913E-2</v>
      </c>
      <c r="D6998" s="60">
        <v>0</v>
      </c>
      <c r="E6998" s="2">
        <v>22.3811</v>
      </c>
      <c r="F6998" s="2">
        <v>4.4294200000000004</v>
      </c>
      <c r="G6998" s="2">
        <v>0</v>
      </c>
      <c r="H6998" s="2">
        <v>10</v>
      </c>
      <c r="I6998" s="2">
        <v>0</v>
      </c>
      <c r="J6998" s="2">
        <v>0</v>
      </c>
    </row>
    <row r="6999" spans="1:10">
      <c r="A6999" s="2" t="s">
        <v>148</v>
      </c>
      <c r="B6999" s="2" t="s">
        <v>98</v>
      </c>
      <c r="C6999" s="2">
        <v>0.15804499999999999</v>
      </c>
      <c r="D6999" s="60">
        <v>0</v>
      </c>
      <c r="E6999" s="2">
        <v>15.2736</v>
      </c>
      <c r="F6999" s="2">
        <v>7.1075400000000002</v>
      </c>
      <c r="G6999" s="2">
        <v>10</v>
      </c>
      <c r="H6999" s="2">
        <v>22.782499999999999</v>
      </c>
      <c r="I6999" s="2">
        <v>0</v>
      </c>
      <c r="J6999" s="2">
        <v>0</v>
      </c>
    </row>
    <row r="7000" spans="1:10">
      <c r="A7000" s="2" t="s">
        <v>148</v>
      </c>
      <c r="B7000" s="2" t="s">
        <v>101</v>
      </c>
      <c r="C7000" s="2">
        <v>3.7979499999999999E-2</v>
      </c>
      <c r="D7000" s="60">
        <v>0</v>
      </c>
      <c r="E7000" s="2">
        <v>14.4</v>
      </c>
      <c r="F7000" s="2">
        <v>0.87358100000000005</v>
      </c>
      <c r="G7000" s="2">
        <v>22.782499999999999</v>
      </c>
      <c r="H7000" s="2">
        <v>24.257100000000001</v>
      </c>
      <c r="I7000" s="2">
        <v>0</v>
      </c>
      <c r="J7000" s="2">
        <v>0</v>
      </c>
    </row>
    <row r="7001" spans="1:10">
      <c r="A7001" s="2" t="s">
        <v>148</v>
      </c>
      <c r="B7001" s="2" t="s">
        <v>63</v>
      </c>
      <c r="C7001" s="2">
        <v>0.23646300000000001</v>
      </c>
      <c r="D7001" s="60">
        <v>16.552399999999999</v>
      </c>
      <c r="E7001" s="2">
        <v>10.4</v>
      </c>
      <c r="F7001" s="2">
        <v>4</v>
      </c>
      <c r="G7001" s="2">
        <v>24.257100000000001</v>
      </c>
      <c r="H7001" s="2">
        <v>30.290700000000001</v>
      </c>
      <c r="I7001" s="2">
        <v>0</v>
      </c>
      <c r="J7001" s="2">
        <v>0</v>
      </c>
    </row>
    <row r="7002" spans="1:10">
      <c r="A7002" s="2" t="s">
        <v>148</v>
      </c>
      <c r="B7002" s="2" t="s">
        <v>59</v>
      </c>
      <c r="C7002" s="2">
        <v>0.33793600000000001</v>
      </c>
      <c r="D7002" s="60">
        <v>33.793599999999998</v>
      </c>
      <c r="E7002" s="2">
        <v>6.4</v>
      </c>
      <c r="F7002" s="2">
        <v>4</v>
      </c>
      <c r="G7002" s="2">
        <v>30.290700000000001</v>
      </c>
      <c r="H7002" s="2">
        <v>35.052300000000002</v>
      </c>
      <c r="I7002" s="2">
        <v>0</v>
      </c>
      <c r="J7002" s="2">
        <v>0</v>
      </c>
    </row>
    <row r="7003" spans="1:10">
      <c r="A7003" s="2" t="s">
        <v>148</v>
      </c>
      <c r="B7003" s="2" t="s">
        <v>56</v>
      </c>
      <c r="C7003" s="2">
        <v>0.72848299999999999</v>
      </c>
      <c r="D7003" s="60">
        <v>101.988</v>
      </c>
      <c r="E7003" s="2">
        <v>0.3</v>
      </c>
      <c r="F7003" s="2">
        <v>6.1</v>
      </c>
      <c r="G7003" s="2">
        <v>35.052300000000002</v>
      </c>
      <c r="H7003" s="2">
        <v>46.5764</v>
      </c>
      <c r="I7003" s="2">
        <v>0</v>
      </c>
      <c r="J7003" s="2">
        <v>0</v>
      </c>
    </row>
    <row r="7004" spans="1:10">
      <c r="A7004" s="2" t="s">
        <v>138</v>
      </c>
      <c r="B7004" s="2">
        <v>11</v>
      </c>
      <c r="C7004" s="2">
        <v>19.432500000000001</v>
      </c>
      <c r="D7004" s="60" t="s">
        <v>149</v>
      </c>
    </row>
    <row r="7005" spans="1:10">
      <c r="A7005" s="2" t="s">
        <v>140</v>
      </c>
      <c r="B7005" s="2">
        <v>0</v>
      </c>
      <c r="C7005" s="2">
        <v>52.783000000000001</v>
      </c>
      <c r="D7005" s="60">
        <v>27.683</v>
      </c>
    </row>
    <row r="7006" spans="1:10">
      <c r="A7006" s="2" t="s">
        <v>141</v>
      </c>
      <c r="B7006" s="2">
        <v>0</v>
      </c>
      <c r="C7006" s="2">
        <v>6.7</v>
      </c>
      <c r="D7006" s="60" t="s">
        <v>142</v>
      </c>
    </row>
    <row r="7007" spans="1:10">
      <c r="A7007" s="2" t="s">
        <v>141</v>
      </c>
      <c r="B7007" s="2">
        <v>0</v>
      </c>
      <c r="C7007" s="2">
        <v>21.654800000000002</v>
      </c>
      <c r="D7007" s="60" t="s">
        <v>143</v>
      </c>
    </row>
    <row r="7008" spans="1:10">
      <c r="A7008" s="2" t="s">
        <v>141</v>
      </c>
      <c r="B7008" s="2">
        <v>6.7</v>
      </c>
      <c r="C7008" s="2">
        <v>21.654800000000002</v>
      </c>
      <c r="D7008" s="60" t="s">
        <v>144</v>
      </c>
    </row>
    <row r="7009" spans="1:10">
      <c r="A7009" s="2" t="s">
        <v>148</v>
      </c>
      <c r="B7009" s="2" t="s">
        <v>99</v>
      </c>
      <c r="C7009" s="2">
        <v>6.6448599999999997E-2</v>
      </c>
      <c r="D7009" s="60">
        <v>0</v>
      </c>
      <c r="E7009" s="2">
        <v>0</v>
      </c>
      <c r="F7009" s="2">
        <v>0.3</v>
      </c>
      <c r="G7009" s="2">
        <v>51.896799999999999</v>
      </c>
      <c r="H7009" s="2">
        <v>54.404200000000003</v>
      </c>
      <c r="I7009" s="2">
        <v>0</v>
      </c>
      <c r="J7009" s="2">
        <v>0</v>
      </c>
    </row>
    <row r="7010" spans="1:10">
      <c r="A7010" s="2" t="s">
        <v>148</v>
      </c>
      <c r="B7010" s="2" t="s">
        <v>100</v>
      </c>
      <c r="C7010" s="2">
        <v>1.36104E-2</v>
      </c>
      <c r="D7010" s="60">
        <v>0</v>
      </c>
      <c r="E7010" s="2">
        <v>23.7136</v>
      </c>
      <c r="F7010" s="2">
        <v>3.9694099999999999</v>
      </c>
      <c r="G7010" s="2">
        <v>0</v>
      </c>
      <c r="H7010" s="2">
        <v>10</v>
      </c>
      <c r="I7010" s="2">
        <v>0</v>
      </c>
      <c r="J7010" s="2">
        <v>0</v>
      </c>
    </row>
    <row r="7011" spans="1:10">
      <c r="A7011" s="2" t="s">
        <v>148</v>
      </c>
      <c r="B7011" s="2" t="s">
        <v>98</v>
      </c>
      <c r="C7011" s="2">
        <v>8.2675299999999993E-2</v>
      </c>
      <c r="D7011" s="60">
        <v>0</v>
      </c>
      <c r="E7011" s="2">
        <v>18.929400000000001</v>
      </c>
      <c r="F7011" s="2">
        <v>4.7842000000000002</v>
      </c>
      <c r="G7011" s="2">
        <v>10</v>
      </c>
      <c r="H7011" s="2">
        <v>19.2789</v>
      </c>
      <c r="I7011" s="2">
        <v>0</v>
      </c>
      <c r="J7011" s="2">
        <v>0</v>
      </c>
    </row>
    <row r="7012" spans="1:10">
      <c r="A7012" s="2" t="s">
        <v>148</v>
      </c>
      <c r="B7012" s="2" t="s">
        <v>101</v>
      </c>
      <c r="C7012" s="2">
        <v>1.6304800000000001E-2</v>
      </c>
      <c r="D7012" s="60">
        <v>0</v>
      </c>
      <c r="E7012" s="2">
        <v>18.399999999999999</v>
      </c>
      <c r="F7012" s="2">
        <v>0.52940799999999999</v>
      </c>
      <c r="G7012" s="2">
        <v>19.2789</v>
      </c>
      <c r="H7012" s="2">
        <v>20.320399999999999</v>
      </c>
      <c r="I7012" s="2">
        <v>0</v>
      </c>
      <c r="J7012" s="2">
        <v>0</v>
      </c>
    </row>
    <row r="7013" spans="1:10">
      <c r="A7013" s="2" t="s">
        <v>148</v>
      </c>
      <c r="B7013" s="2" t="s">
        <v>61</v>
      </c>
      <c r="C7013" s="2">
        <v>0.321629</v>
      </c>
      <c r="D7013" s="60">
        <v>27.3384</v>
      </c>
      <c r="E7013" s="2">
        <v>12.4</v>
      </c>
      <c r="F7013" s="2">
        <v>6</v>
      </c>
      <c r="G7013" s="2">
        <v>20.320399999999999</v>
      </c>
      <c r="H7013" s="2">
        <v>31.174399999999999</v>
      </c>
      <c r="I7013" s="2">
        <v>0</v>
      </c>
      <c r="J7013" s="2">
        <v>0</v>
      </c>
    </row>
    <row r="7014" spans="1:10">
      <c r="A7014" s="2" t="s">
        <v>148</v>
      </c>
      <c r="B7014" s="2" t="s">
        <v>59</v>
      </c>
      <c r="C7014" s="2">
        <v>0.59460100000000005</v>
      </c>
      <c r="D7014" s="60">
        <v>59.460099999999997</v>
      </c>
      <c r="E7014" s="2">
        <v>6.4</v>
      </c>
      <c r="F7014" s="2">
        <v>6</v>
      </c>
      <c r="G7014" s="2">
        <v>31.174399999999999</v>
      </c>
      <c r="H7014" s="2">
        <v>39.238599999999998</v>
      </c>
      <c r="I7014" s="2">
        <v>0</v>
      </c>
      <c r="J7014" s="2">
        <v>0</v>
      </c>
    </row>
    <row r="7015" spans="1:10">
      <c r="A7015" s="2" t="s">
        <v>148</v>
      </c>
      <c r="B7015" s="2" t="s">
        <v>56</v>
      </c>
      <c r="C7015" s="2">
        <v>0.90829099999999996</v>
      </c>
      <c r="D7015" s="60">
        <v>127.161</v>
      </c>
      <c r="E7015" s="2">
        <v>0.3</v>
      </c>
      <c r="F7015" s="2">
        <v>6.1</v>
      </c>
      <c r="G7015" s="2">
        <v>39.238599999999998</v>
      </c>
      <c r="H7015" s="2">
        <v>51.896799999999999</v>
      </c>
      <c r="I7015" s="2">
        <v>0</v>
      </c>
      <c r="J7015" s="2">
        <v>0</v>
      </c>
    </row>
    <row r="7016" spans="1:10">
      <c r="A7016" s="2" t="s">
        <v>138</v>
      </c>
      <c r="B7016" s="2">
        <v>12</v>
      </c>
      <c r="C7016" s="2">
        <v>19.7959</v>
      </c>
      <c r="D7016" s="60" t="s">
        <v>149</v>
      </c>
    </row>
    <row r="7017" spans="1:10">
      <c r="A7017" s="2" t="s">
        <v>140</v>
      </c>
      <c r="B7017" s="2">
        <v>0</v>
      </c>
      <c r="C7017" s="2">
        <v>71.298400000000001</v>
      </c>
      <c r="D7017" s="60">
        <v>29.877800000000001</v>
      </c>
    </row>
    <row r="7018" spans="1:10">
      <c r="A7018" s="2" t="s">
        <v>141</v>
      </c>
      <c r="B7018" s="2">
        <v>0</v>
      </c>
      <c r="C7018" s="2">
        <v>7.4</v>
      </c>
      <c r="D7018" s="60" t="s">
        <v>142</v>
      </c>
    </row>
    <row r="7019" spans="1:10">
      <c r="A7019" s="2" t="s">
        <v>141</v>
      </c>
      <c r="B7019" s="2">
        <v>0</v>
      </c>
      <c r="C7019" s="2">
        <v>7.9</v>
      </c>
      <c r="D7019" s="60" t="s">
        <v>143</v>
      </c>
    </row>
    <row r="7020" spans="1:10">
      <c r="A7020" s="2" t="s">
        <v>141</v>
      </c>
      <c r="B7020" s="2">
        <v>7.4</v>
      </c>
      <c r="C7020" s="2">
        <v>8.3000000000000007</v>
      </c>
      <c r="D7020" s="60" t="s">
        <v>151</v>
      </c>
    </row>
    <row r="7021" spans="1:10">
      <c r="A7021" s="2" t="s">
        <v>141</v>
      </c>
      <c r="B7021" s="2">
        <v>7.9</v>
      </c>
      <c r="C7021" s="2">
        <v>8</v>
      </c>
      <c r="D7021" s="60" t="s">
        <v>159</v>
      </c>
    </row>
    <row r="7022" spans="1:10">
      <c r="A7022" s="2" t="s">
        <v>141</v>
      </c>
      <c r="B7022" s="2">
        <v>8</v>
      </c>
      <c r="C7022" s="2">
        <v>23.124400000000001</v>
      </c>
      <c r="D7022" s="60" t="s">
        <v>143</v>
      </c>
    </row>
    <row r="7023" spans="1:10">
      <c r="A7023" s="2" t="s">
        <v>141</v>
      </c>
      <c r="B7023" s="2">
        <v>8.3000000000000007</v>
      </c>
      <c r="C7023" s="2">
        <v>13.3</v>
      </c>
      <c r="D7023" s="60" t="s">
        <v>147</v>
      </c>
    </row>
    <row r="7024" spans="1:10">
      <c r="A7024" s="2" t="s">
        <v>141</v>
      </c>
      <c r="B7024" s="2">
        <v>13.3</v>
      </c>
      <c r="C7024" s="2">
        <v>16.7</v>
      </c>
      <c r="D7024" s="60" t="s">
        <v>151</v>
      </c>
    </row>
    <row r="7025" spans="1:10">
      <c r="A7025" s="2" t="s">
        <v>141</v>
      </c>
      <c r="B7025" s="2">
        <v>16.7</v>
      </c>
      <c r="C7025" s="2">
        <v>23.4</v>
      </c>
      <c r="D7025" s="60" t="s">
        <v>145</v>
      </c>
    </row>
    <row r="7026" spans="1:10">
      <c r="A7026" s="2" t="s">
        <v>148</v>
      </c>
      <c r="B7026" s="2" t="s">
        <v>99</v>
      </c>
      <c r="C7026" s="2">
        <v>0.114398</v>
      </c>
      <c r="D7026" s="60">
        <v>0</v>
      </c>
      <c r="E7026" s="2">
        <v>0</v>
      </c>
      <c r="F7026" s="2">
        <v>0.3</v>
      </c>
      <c r="G7026" s="2">
        <v>68.195999999999998</v>
      </c>
      <c r="H7026" s="2">
        <v>71.265299999999996</v>
      </c>
      <c r="I7026" s="2">
        <v>0</v>
      </c>
      <c r="J7026" s="2">
        <v>0</v>
      </c>
    </row>
    <row r="7027" spans="1:10">
      <c r="A7027" s="2" t="s">
        <v>148</v>
      </c>
      <c r="B7027" s="2" t="s">
        <v>100</v>
      </c>
      <c r="C7027" s="2">
        <v>1.0511700000000001E-2</v>
      </c>
      <c r="D7027" s="60">
        <v>0</v>
      </c>
      <c r="E7027" s="2">
        <v>26.988800000000001</v>
      </c>
      <c r="F7027" s="2">
        <v>2.8889800000000001</v>
      </c>
      <c r="G7027" s="2">
        <v>0</v>
      </c>
      <c r="H7027" s="2">
        <v>10.0001</v>
      </c>
      <c r="I7027" s="2">
        <v>0</v>
      </c>
      <c r="J7027" s="2">
        <v>0</v>
      </c>
    </row>
    <row r="7028" spans="1:10">
      <c r="A7028" s="2" t="s">
        <v>148</v>
      </c>
      <c r="B7028" s="2" t="s">
        <v>98</v>
      </c>
      <c r="C7028" s="2">
        <v>3.88303E-3</v>
      </c>
      <c r="D7028" s="60">
        <v>0</v>
      </c>
      <c r="E7028" s="2">
        <v>26.540400000000002</v>
      </c>
      <c r="F7028" s="2">
        <v>0.44843899999999998</v>
      </c>
      <c r="G7028" s="2">
        <v>10.0001</v>
      </c>
      <c r="H7028" s="2">
        <v>10.991899999999999</v>
      </c>
      <c r="I7028" s="2">
        <v>0</v>
      </c>
      <c r="J7028" s="2">
        <v>0</v>
      </c>
    </row>
    <row r="7029" spans="1:10">
      <c r="A7029" s="2" t="s">
        <v>148</v>
      </c>
      <c r="B7029" s="2" t="s">
        <v>101</v>
      </c>
      <c r="C7029" s="2">
        <v>3.8645900000000002E-4</v>
      </c>
      <c r="D7029" s="60">
        <v>0</v>
      </c>
      <c r="E7029" s="2">
        <v>26.5</v>
      </c>
      <c r="F7029" s="2">
        <v>4.0396599999999998E-2</v>
      </c>
      <c r="G7029" s="2">
        <v>10.991899999999999</v>
      </c>
      <c r="H7029" s="2">
        <v>11.081200000000001</v>
      </c>
      <c r="I7029" s="2">
        <v>0</v>
      </c>
      <c r="J7029" s="2">
        <v>0</v>
      </c>
    </row>
    <row r="7030" spans="1:10">
      <c r="A7030" s="2" t="s">
        <v>148</v>
      </c>
      <c r="B7030" s="2" t="s">
        <v>64</v>
      </c>
      <c r="C7030" s="2">
        <v>8.5521600000000003E-2</v>
      </c>
      <c r="D7030" s="60">
        <v>2.5656500000000002</v>
      </c>
      <c r="E7030" s="2">
        <v>22.3</v>
      </c>
      <c r="F7030" s="2">
        <v>4.2</v>
      </c>
      <c r="G7030" s="2">
        <v>11.081200000000001</v>
      </c>
      <c r="H7030" s="2">
        <v>20.770299999999999</v>
      </c>
      <c r="I7030" s="2">
        <v>0</v>
      </c>
      <c r="J7030" s="2">
        <v>0</v>
      </c>
    </row>
    <row r="7031" spans="1:10">
      <c r="A7031" s="2" t="s">
        <v>148</v>
      </c>
      <c r="B7031" s="2" t="s">
        <v>61</v>
      </c>
      <c r="C7031" s="2">
        <v>0.207511</v>
      </c>
      <c r="D7031" s="60">
        <v>17.638400000000001</v>
      </c>
      <c r="E7031" s="2">
        <v>18.3</v>
      </c>
      <c r="F7031" s="2">
        <v>4</v>
      </c>
      <c r="G7031" s="2">
        <v>20.770299999999999</v>
      </c>
      <c r="H7031" s="2">
        <v>30.2865</v>
      </c>
      <c r="I7031" s="2">
        <v>0</v>
      </c>
      <c r="J7031" s="2">
        <v>0</v>
      </c>
    </row>
    <row r="7032" spans="1:10">
      <c r="A7032" s="2" t="s">
        <v>148</v>
      </c>
      <c r="B7032" s="2" t="s">
        <v>62</v>
      </c>
      <c r="C7032" s="2">
        <v>0.64545799999999998</v>
      </c>
      <c r="D7032" s="60">
        <v>51.636699999999998</v>
      </c>
      <c r="E7032" s="2">
        <v>12.3</v>
      </c>
      <c r="F7032" s="2">
        <v>6</v>
      </c>
      <c r="G7032" s="2">
        <v>30.2865</v>
      </c>
      <c r="H7032" s="2">
        <v>42.875100000000003</v>
      </c>
      <c r="I7032" s="2">
        <v>0</v>
      </c>
      <c r="J7032" s="2">
        <v>0</v>
      </c>
    </row>
    <row r="7033" spans="1:10">
      <c r="A7033" s="2" t="s">
        <v>148</v>
      </c>
      <c r="B7033" s="2" t="s">
        <v>58</v>
      </c>
      <c r="C7033" s="2">
        <v>0.67389500000000002</v>
      </c>
      <c r="D7033" s="60">
        <v>70.759</v>
      </c>
      <c r="E7033" s="2">
        <v>8.3000000000000007</v>
      </c>
      <c r="F7033" s="2">
        <v>4</v>
      </c>
      <c r="G7033" s="2">
        <v>42.875100000000003</v>
      </c>
      <c r="H7033" s="2">
        <v>49.430199999999999</v>
      </c>
      <c r="I7033" s="2">
        <v>0</v>
      </c>
      <c r="J7033" s="2">
        <v>0</v>
      </c>
    </row>
    <row r="7034" spans="1:10">
      <c r="A7034" s="2" t="s">
        <v>148</v>
      </c>
      <c r="B7034" s="2" t="s">
        <v>101</v>
      </c>
      <c r="C7034" s="2">
        <v>0.384851</v>
      </c>
      <c r="D7034" s="60">
        <v>0</v>
      </c>
      <c r="E7034" s="2">
        <v>6.4</v>
      </c>
      <c r="F7034" s="2">
        <v>1.9</v>
      </c>
      <c r="G7034" s="2">
        <v>49.430199999999999</v>
      </c>
      <c r="H7034" s="2">
        <v>52.089700000000001</v>
      </c>
      <c r="I7034" s="2">
        <v>0</v>
      </c>
      <c r="J7034" s="2">
        <v>0</v>
      </c>
    </row>
    <row r="7035" spans="1:10">
      <c r="A7035" s="2" t="s">
        <v>148</v>
      </c>
      <c r="B7035" s="2" t="s">
        <v>55</v>
      </c>
      <c r="C7035" s="2">
        <v>1.58405</v>
      </c>
      <c r="D7035" s="60">
        <v>229.68700000000001</v>
      </c>
      <c r="E7035" s="2">
        <v>0.3</v>
      </c>
      <c r="F7035" s="2">
        <v>6.1</v>
      </c>
      <c r="G7035" s="2">
        <v>52.089700000000001</v>
      </c>
      <c r="H7035" s="2">
        <v>68.195999999999998</v>
      </c>
      <c r="I7035" s="2">
        <v>0</v>
      </c>
      <c r="J7035" s="2">
        <v>0</v>
      </c>
    </row>
    <row r="7036" spans="1:10">
      <c r="A7036" s="2" t="s">
        <v>138</v>
      </c>
      <c r="B7036" s="2">
        <v>13</v>
      </c>
      <c r="C7036" s="2">
        <v>19.575099999999999</v>
      </c>
      <c r="D7036" s="60" t="s">
        <v>149</v>
      </c>
    </row>
    <row r="7037" spans="1:10">
      <c r="A7037" s="2" t="s">
        <v>140</v>
      </c>
      <c r="B7037" s="2">
        <v>0</v>
      </c>
      <c r="C7037" s="2">
        <v>57.550199999999997</v>
      </c>
      <c r="D7037" s="60">
        <v>28.320699999999999</v>
      </c>
    </row>
    <row r="7038" spans="1:10">
      <c r="A7038" s="2" t="s">
        <v>141</v>
      </c>
      <c r="B7038" s="2">
        <v>0</v>
      </c>
      <c r="C7038" s="2">
        <v>7.2</v>
      </c>
      <c r="D7038" s="60" t="s">
        <v>142</v>
      </c>
    </row>
    <row r="7039" spans="1:10">
      <c r="A7039" s="2" t="s">
        <v>141</v>
      </c>
      <c r="B7039" s="2">
        <v>0</v>
      </c>
      <c r="C7039" s="2">
        <v>11.5</v>
      </c>
      <c r="D7039" s="60" t="s">
        <v>150</v>
      </c>
    </row>
    <row r="7040" spans="1:10">
      <c r="A7040" s="2" t="s">
        <v>141</v>
      </c>
      <c r="B7040" s="2">
        <v>7.2</v>
      </c>
      <c r="C7040" s="2">
        <v>11.5</v>
      </c>
      <c r="D7040" s="60" t="s">
        <v>144</v>
      </c>
    </row>
    <row r="7041" spans="1:10">
      <c r="A7041" s="2" t="s">
        <v>141</v>
      </c>
      <c r="B7041" s="2">
        <v>11.5</v>
      </c>
      <c r="C7041" s="2">
        <v>15.3</v>
      </c>
      <c r="D7041" s="60" t="s">
        <v>145</v>
      </c>
    </row>
    <row r="7042" spans="1:10">
      <c r="A7042" s="2" t="s">
        <v>141</v>
      </c>
      <c r="B7042" s="2">
        <v>11.5</v>
      </c>
      <c r="C7042" s="2">
        <v>22.081800000000001</v>
      </c>
      <c r="D7042" s="60" t="s">
        <v>146</v>
      </c>
    </row>
    <row r="7043" spans="1:10">
      <c r="A7043" s="2" t="s">
        <v>141</v>
      </c>
      <c r="B7043" s="2">
        <v>15.3</v>
      </c>
      <c r="C7043" s="2">
        <v>18.600000000000001</v>
      </c>
      <c r="D7043" s="60" t="s">
        <v>147</v>
      </c>
    </row>
    <row r="7044" spans="1:10">
      <c r="A7044" s="2" t="s">
        <v>141</v>
      </c>
      <c r="B7044" s="2">
        <v>18.600000000000001</v>
      </c>
      <c r="C7044" s="2">
        <v>23.8</v>
      </c>
      <c r="D7044" s="60" t="s">
        <v>145</v>
      </c>
    </row>
    <row r="7045" spans="1:10">
      <c r="A7045" s="2" t="s">
        <v>148</v>
      </c>
      <c r="B7045" s="2" t="s">
        <v>99</v>
      </c>
      <c r="C7045" s="2">
        <v>7.7687400000000004E-2</v>
      </c>
      <c r="D7045" s="60">
        <v>0</v>
      </c>
      <c r="E7045" s="2">
        <v>0</v>
      </c>
      <c r="F7045" s="2">
        <v>0.3</v>
      </c>
      <c r="G7045" s="2">
        <v>56.139899999999997</v>
      </c>
      <c r="H7045" s="2">
        <v>58.7956</v>
      </c>
      <c r="I7045" s="2">
        <v>0</v>
      </c>
      <c r="J7045" s="2">
        <v>0</v>
      </c>
    </row>
    <row r="7046" spans="1:10">
      <c r="A7046" s="2" t="s">
        <v>148</v>
      </c>
      <c r="B7046" s="2" t="s">
        <v>100</v>
      </c>
      <c r="C7046" s="2">
        <v>1.27349E-2</v>
      </c>
      <c r="D7046" s="60">
        <v>0</v>
      </c>
      <c r="E7046" s="2">
        <v>24.674700000000001</v>
      </c>
      <c r="F7046" s="2">
        <v>3.6460400000000002</v>
      </c>
      <c r="G7046" s="2">
        <v>0</v>
      </c>
      <c r="H7046" s="2">
        <v>10</v>
      </c>
      <c r="I7046" s="2">
        <v>0</v>
      </c>
      <c r="J7046" s="2">
        <v>0</v>
      </c>
    </row>
    <row r="7047" spans="1:10">
      <c r="A7047" s="2" t="s">
        <v>148</v>
      </c>
      <c r="B7047" s="2" t="s">
        <v>98</v>
      </c>
      <c r="C7047" s="2">
        <v>0.13844400000000001</v>
      </c>
      <c r="D7047" s="60">
        <v>0</v>
      </c>
      <c r="E7047" s="2">
        <v>18.401299999999999</v>
      </c>
      <c r="F7047" s="2">
        <v>6.2733499999999998</v>
      </c>
      <c r="G7047" s="2">
        <v>10</v>
      </c>
      <c r="H7047" s="2">
        <v>22.8338</v>
      </c>
      <c r="I7047" s="2">
        <v>0</v>
      </c>
      <c r="J7047" s="2">
        <v>0</v>
      </c>
    </row>
    <row r="7048" spans="1:10">
      <c r="A7048" s="2" t="s">
        <v>148</v>
      </c>
      <c r="B7048" s="2" t="s">
        <v>63</v>
      </c>
      <c r="C7048" s="2">
        <v>0.22784699999999999</v>
      </c>
      <c r="D7048" s="60">
        <v>15.949299999999999</v>
      </c>
      <c r="E7048" s="2">
        <v>14.4</v>
      </c>
      <c r="F7048" s="2">
        <v>4</v>
      </c>
      <c r="G7048" s="2">
        <v>22.836500000000001</v>
      </c>
      <c r="H7048" s="2">
        <v>30.677399999999999</v>
      </c>
      <c r="I7048" s="2">
        <v>0</v>
      </c>
      <c r="J7048" s="2">
        <v>0</v>
      </c>
    </row>
    <row r="7049" spans="1:10">
      <c r="A7049" s="2" t="s">
        <v>148</v>
      </c>
      <c r="B7049" s="2" t="s">
        <v>59</v>
      </c>
      <c r="C7049" s="2">
        <v>0.36665799999999998</v>
      </c>
      <c r="D7049" s="60">
        <v>36.665799999999997</v>
      </c>
      <c r="E7049" s="2">
        <v>10.4</v>
      </c>
      <c r="F7049" s="2">
        <v>4</v>
      </c>
      <c r="G7049" s="2">
        <v>30.677399999999999</v>
      </c>
      <c r="H7049" s="2">
        <v>37.306399999999996</v>
      </c>
      <c r="I7049" s="2">
        <v>0</v>
      </c>
      <c r="J7049" s="2">
        <v>0</v>
      </c>
    </row>
    <row r="7050" spans="1:10">
      <c r="A7050" s="2" t="s">
        <v>148</v>
      </c>
      <c r="B7050" s="2" t="s">
        <v>59</v>
      </c>
      <c r="C7050" s="2">
        <v>0.50446100000000005</v>
      </c>
      <c r="D7050" s="60">
        <v>50.446100000000001</v>
      </c>
      <c r="E7050" s="2">
        <v>6.4</v>
      </c>
      <c r="F7050" s="2">
        <v>4</v>
      </c>
      <c r="G7050" s="2">
        <v>37.306399999999996</v>
      </c>
      <c r="H7050" s="2">
        <v>42.581400000000002</v>
      </c>
      <c r="I7050" s="2">
        <v>0</v>
      </c>
      <c r="J7050" s="2">
        <v>0</v>
      </c>
    </row>
    <row r="7051" spans="1:10">
      <c r="A7051" s="2" t="s">
        <v>148</v>
      </c>
      <c r="B7051" s="2" t="s">
        <v>55</v>
      </c>
      <c r="C7051" s="2">
        <v>1.0660799999999999</v>
      </c>
      <c r="D7051" s="60">
        <v>154.58099999999999</v>
      </c>
      <c r="E7051" s="2">
        <v>0.3</v>
      </c>
      <c r="F7051" s="2">
        <v>6.1</v>
      </c>
      <c r="G7051" s="2">
        <v>42.581400000000002</v>
      </c>
      <c r="H7051" s="2">
        <v>56.139899999999997</v>
      </c>
      <c r="I7051" s="2">
        <v>0</v>
      </c>
      <c r="J7051" s="2">
        <v>0</v>
      </c>
    </row>
    <row r="7052" spans="1:10">
      <c r="A7052" s="2" t="s">
        <v>138</v>
      </c>
      <c r="B7052" s="2">
        <v>14</v>
      </c>
      <c r="C7052" s="2">
        <v>19.195599999999999</v>
      </c>
      <c r="D7052" s="60" t="s">
        <v>149</v>
      </c>
    </row>
    <row r="7053" spans="1:10">
      <c r="A7053" s="2" t="s">
        <v>140</v>
      </c>
      <c r="B7053" s="2">
        <v>0</v>
      </c>
      <c r="C7053" s="2">
        <v>47.4634</v>
      </c>
      <c r="D7053" s="60">
        <v>26.903300000000002</v>
      </c>
    </row>
    <row r="7054" spans="1:10">
      <c r="A7054" s="2" t="s">
        <v>141</v>
      </c>
      <c r="B7054" s="2">
        <v>0</v>
      </c>
      <c r="C7054" s="2">
        <v>2.4</v>
      </c>
      <c r="D7054" s="60" t="s">
        <v>158</v>
      </c>
    </row>
    <row r="7055" spans="1:10">
      <c r="A7055" s="2" t="s">
        <v>141</v>
      </c>
      <c r="B7055" s="2">
        <v>0</v>
      </c>
      <c r="C7055" s="2">
        <v>7</v>
      </c>
      <c r="D7055" s="60" t="s">
        <v>142</v>
      </c>
    </row>
    <row r="7056" spans="1:10">
      <c r="A7056" s="2" t="s">
        <v>141</v>
      </c>
      <c r="B7056" s="2">
        <v>0</v>
      </c>
      <c r="C7056" s="2">
        <v>10.3</v>
      </c>
      <c r="D7056" s="60" t="s">
        <v>155</v>
      </c>
    </row>
    <row r="7057" spans="1:10">
      <c r="A7057" s="2" t="s">
        <v>141</v>
      </c>
      <c r="B7057" s="2">
        <v>2.4</v>
      </c>
      <c r="C7057" s="2">
        <v>2.9</v>
      </c>
      <c r="D7057" s="60" t="s">
        <v>231</v>
      </c>
    </row>
    <row r="7058" spans="1:10">
      <c r="A7058" s="2" t="s">
        <v>141</v>
      </c>
      <c r="B7058" s="2">
        <v>7</v>
      </c>
      <c r="C7058" s="2">
        <v>16</v>
      </c>
      <c r="D7058" s="60" t="s">
        <v>145</v>
      </c>
    </row>
    <row r="7059" spans="1:10">
      <c r="A7059" s="2" t="s">
        <v>141</v>
      </c>
      <c r="B7059" s="2">
        <v>10.3</v>
      </c>
      <c r="C7059" s="2">
        <v>21.1327</v>
      </c>
      <c r="D7059" s="60" t="s">
        <v>152</v>
      </c>
    </row>
    <row r="7060" spans="1:10">
      <c r="A7060" s="2" t="s">
        <v>141</v>
      </c>
      <c r="B7060" s="2">
        <v>16</v>
      </c>
      <c r="C7060" s="2">
        <v>16.2</v>
      </c>
      <c r="D7060" s="60" t="s">
        <v>147</v>
      </c>
    </row>
    <row r="7061" spans="1:10">
      <c r="A7061" s="2" t="s">
        <v>141</v>
      </c>
      <c r="B7061" s="2">
        <v>16.2</v>
      </c>
      <c r="C7061" s="2">
        <v>21.1327</v>
      </c>
      <c r="D7061" s="60" t="s">
        <v>144</v>
      </c>
    </row>
    <row r="7062" spans="1:10">
      <c r="A7062" s="2" t="s">
        <v>148</v>
      </c>
      <c r="B7062" s="2" t="s">
        <v>99</v>
      </c>
      <c r="C7062" s="2">
        <v>5.4840399999999997E-2</v>
      </c>
      <c r="D7062" s="60">
        <v>0</v>
      </c>
      <c r="E7062" s="2">
        <v>0</v>
      </c>
      <c r="F7062" s="2">
        <v>0.3</v>
      </c>
      <c r="G7062" s="2">
        <v>47.1188</v>
      </c>
      <c r="H7062" s="2">
        <v>49.456400000000002</v>
      </c>
      <c r="I7062" s="2">
        <v>0</v>
      </c>
      <c r="J7062" s="2">
        <v>0</v>
      </c>
    </row>
    <row r="7063" spans="1:10">
      <c r="A7063" s="2" t="s">
        <v>148</v>
      </c>
      <c r="B7063" s="2" t="s">
        <v>100</v>
      </c>
      <c r="C7063" s="2">
        <v>1.4666E-2</v>
      </c>
      <c r="D7063" s="60">
        <v>0</v>
      </c>
      <c r="E7063" s="2">
        <v>22.524000000000001</v>
      </c>
      <c r="F7063" s="2">
        <v>4.3793300000000004</v>
      </c>
      <c r="G7063" s="2">
        <v>0</v>
      </c>
      <c r="H7063" s="2">
        <v>10</v>
      </c>
      <c r="I7063" s="2">
        <v>0</v>
      </c>
      <c r="J7063" s="2">
        <v>0</v>
      </c>
    </row>
    <row r="7064" spans="1:10">
      <c r="A7064" s="2" t="s">
        <v>148</v>
      </c>
      <c r="B7064" s="2" t="s">
        <v>98</v>
      </c>
      <c r="C7064" s="2">
        <v>0.25203399999999998</v>
      </c>
      <c r="D7064" s="60">
        <v>0</v>
      </c>
      <c r="E7064" s="2">
        <v>13.454800000000001</v>
      </c>
      <c r="F7064" s="2">
        <v>9.0691600000000001</v>
      </c>
      <c r="G7064" s="2">
        <v>10</v>
      </c>
      <c r="H7064" s="2">
        <v>26.1662</v>
      </c>
      <c r="I7064" s="2">
        <v>0</v>
      </c>
      <c r="J7064" s="2">
        <v>0</v>
      </c>
    </row>
    <row r="7065" spans="1:10">
      <c r="A7065" s="2" t="s">
        <v>148</v>
      </c>
      <c r="B7065" s="2" t="s">
        <v>101</v>
      </c>
      <c r="C7065" s="2">
        <v>0.20258699999999999</v>
      </c>
      <c r="D7065" s="60">
        <v>0</v>
      </c>
      <c r="E7065" s="2">
        <v>10.3</v>
      </c>
      <c r="F7065" s="2">
        <v>3.1547900000000002</v>
      </c>
      <c r="G7065" s="2">
        <v>26.1662</v>
      </c>
      <c r="H7065" s="2">
        <v>30.822500000000002</v>
      </c>
      <c r="I7065" s="2">
        <v>0</v>
      </c>
      <c r="J7065" s="2">
        <v>0</v>
      </c>
    </row>
    <row r="7066" spans="1:10">
      <c r="A7066" s="2" t="s">
        <v>148</v>
      </c>
      <c r="B7066" s="2" t="s">
        <v>62</v>
      </c>
      <c r="C7066" s="2">
        <v>0.34896100000000002</v>
      </c>
      <c r="D7066" s="60">
        <v>27.916899999999998</v>
      </c>
      <c r="E7066" s="2">
        <v>6.3</v>
      </c>
      <c r="F7066" s="2">
        <v>4</v>
      </c>
      <c r="G7066" s="2">
        <v>30.822500000000002</v>
      </c>
      <c r="H7066" s="2">
        <v>35.585000000000001</v>
      </c>
      <c r="I7066" s="2">
        <v>0</v>
      </c>
      <c r="J7066" s="2">
        <v>0</v>
      </c>
    </row>
    <row r="7067" spans="1:10">
      <c r="A7067" s="2" t="s">
        <v>148</v>
      </c>
      <c r="B7067" s="2" t="s">
        <v>62</v>
      </c>
      <c r="C7067" s="2">
        <v>0.73597900000000005</v>
      </c>
      <c r="D7067" s="60">
        <v>58.878300000000003</v>
      </c>
      <c r="E7067" s="2">
        <v>0.3</v>
      </c>
      <c r="F7067" s="2">
        <v>6</v>
      </c>
      <c r="G7067" s="2">
        <v>35.585000000000001</v>
      </c>
      <c r="H7067" s="2">
        <v>47.1188</v>
      </c>
      <c r="I7067" s="2">
        <v>0</v>
      </c>
      <c r="J7067" s="2">
        <v>0</v>
      </c>
    </row>
    <row r="7068" spans="1:10">
      <c r="A7068" s="2" t="s">
        <v>138</v>
      </c>
      <c r="B7068" s="2">
        <v>15</v>
      </c>
      <c r="C7068" s="2">
        <v>19.250599999999999</v>
      </c>
      <c r="D7068" s="60" t="s">
        <v>149</v>
      </c>
    </row>
    <row r="7069" spans="1:10">
      <c r="A7069" s="2" t="s">
        <v>140</v>
      </c>
      <c r="B7069" s="2">
        <v>0</v>
      </c>
      <c r="C7069" s="2">
        <v>48.509399999999999</v>
      </c>
      <c r="D7069" s="60">
        <v>27.0625</v>
      </c>
    </row>
    <row r="7070" spans="1:10">
      <c r="A7070" s="2" t="s">
        <v>141</v>
      </c>
      <c r="B7070" s="2">
        <v>0</v>
      </c>
      <c r="C7070" s="2">
        <v>0.5</v>
      </c>
      <c r="D7070" s="60" t="s">
        <v>157</v>
      </c>
    </row>
    <row r="7071" spans="1:10">
      <c r="A7071" s="2" t="s">
        <v>141</v>
      </c>
      <c r="B7071" s="2">
        <v>0</v>
      </c>
      <c r="C7071" s="2">
        <v>6.6</v>
      </c>
      <c r="D7071" s="60" t="s">
        <v>142</v>
      </c>
    </row>
    <row r="7072" spans="1:10">
      <c r="A7072" s="2" t="s">
        <v>141</v>
      </c>
      <c r="B7072" s="2">
        <v>0</v>
      </c>
      <c r="C7072" s="2">
        <v>21.2393</v>
      </c>
      <c r="D7072" s="60" t="s">
        <v>143</v>
      </c>
    </row>
    <row r="7073" spans="1:10">
      <c r="A7073" s="2" t="s">
        <v>141</v>
      </c>
      <c r="B7073" s="2">
        <v>6.6</v>
      </c>
      <c r="C7073" s="2">
        <v>21.2393</v>
      </c>
      <c r="D7073" s="60" t="s">
        <v>144</v>
      </c>
    </row>
    <row r="7074" spans="1:10">
      <c r="A7074" s="2" t="s">
        <v>148</v>
      </c>
      <c r="B7074" s="2" t="s">
        <v>99</v>
      </c>
      <c r="C7074" s="2">
        <v>5.70441E-2</v>
      </c>
      <c r="D7074" s="60">
        <v>0</v>
      </c>
      <c r="E7074" s="2">
        <v>0</v>
      </c>
      <c r="F7074" s="2">
        <v>0.3</v>
      </c>
      <c r="G7074" s="2">
        <v>48.061999999999998</v>
      </c>
      <c r="H7074" s="2">
        <v>50.433500000000002</v>
      </c>
      <c r="I7074" s="2">
        <v>0</v>
      </c>
      <c r="J7074" s="2">
        <v>0</v>
      </c>
    </row>
    <row r="7075" spans="1:10">
      <c r="A7075" s="2" t="s">
        <v>148</v>
      </c>
      <c r="B7075" s="2" t="s">
        <v>100</v>
      </c>
      <c r="C7075" s="2">
        <v>1.4450899999999999E-2</v>
      </c>
      <c r="D7075" s="60">
        <v>0</v>
      </c>
      <c r="E7075" s="2">
        <v>22.7684</v>
      </c>
      <c r="F7075" s="2">
        <v>4.2940699999999996</v>
      </c>
      <c r="G7075" s="2">
        <v>0</v>
      </c>
      <c r="H7075" s="2">
        <v>10</v>
      </c>
      <c r="I7075" s="2">
        <v>0</v>
      </c>
      <c r="J7075" s="2">
        <v>0</v>
      </c>
    </row>
    <row r="7076" spans="1:10">
      <c r="A7076" s="2" t="s">
        <v>148</v>
      </c>
      <c r="B7076" s="2" t="s">
        <v>98</v>
      </c>
      <c r="C7076" s="2">
        <v>0.26760600000000001</v>
      </c>
      <c r="D7076" s="60">
        <v>0</v>
      </c>
      <c r="E7076" s="2">
        <v>13.4796</v>
      </c>
      <c r="F7076" s="2">
        <v>9.2887900000000005</v>
      </c>
      <c r="G7076" s="2">
        <v>10</v>
      </c>
      <c r="H7076" s="2">
        <v>26.771999999999998</v>
      </c>
      <c r="I7076" s="2">
        <v>0</v>
      </c>
      <c r="J7076" s="2">
        <v>0</v>
      </c>
    </row>
    <row r="7077" spans="1:10">
      <c r="A7077" s="2" t="s">
        <v>148</v>
      </c>
      <c r="B7077" s="2" t="s">
        <v>101</v>
      </c>
      <c r="C7077" s="2">
        <v>6.4760499999999999E-2</v>
      </c>
      <c r="D7077" s="60">
        <v>0</v>
      </c>
      <c r="E7077" s="2">
        <v>12.4</v>
      </c>
      <c r="F7077" s="2">
        <v>1.07962</v>
      </c>
      <c r="G7077" s="2">
        <v>26.771999999999998</v>
      </c>
      <c r="H7077" s="2">
        <v>28.4757</v>
      </c>
      <c r="I7077" s="2">
        <v>0</v>
      </c>
      <c r="J7077" s="2">
        <v>0</v>
      </c>
    </row>
    <row r="7078" spans="1:10">
      <c r="A7078" s="2" t="s">
        <v>148</v>
      </c>
      <c r="B7078" s="2" t="s">
        <v>60</v>
      </c>
      <c r="C7078" s="2">
        <v>0.502641</v>
      </c>
      <c r="D7078" s="60">
        <v>45.237699999999997</v>
      </c>
      <c r="E7078" s="2">
        <v>6.4</v>
      </c>
      <c r="F7078" s="2">
        <v>6</v>
      </c>
      <c r="G7078" s="2">
        <v>28.4757</v>
      </c>
      <c r="H7078" s="2">
        <v>36.220500000000001</v>
      </c>
      <c r="I7078" s="2">
        <v>0</v>
      </c>
      <c r="J7078" s="2">
        <v>0</v>
      </c>
    </row>
    <row r="7079" spans="1:10">
      <c r="A7079" s="2" t="s">
        <v>148</v>
      </c>
      <c r="B7079" s="2" t="s">
        <v>56</v>
      </c>
      <c r="C7079" s="2">
        <v>0.776671</v>
      </c>
      <c r="D7079" s="60">
        <v>108.73399999999999</v>
      </c>
      <c r="E7079" s="2">
        <v>0.3</v>
      </c>
      <c r="F7079" s="2">
        <v>6.1</v>
      </c>
      <c r="G7079" s="2">
        <v>36.220500000000001</v>
      </c>
      <c r="H7079" s="2">
        <v>48.061999999999998</v>
      </c>
      <c r="I7079" s="2">
        <v>0</v>
      </c>
      <c r="J7079" s="2">
        <v>0</v>
      </c>
    </row>
    <row r="7080" spans="1:10">
      <c r="A7080" s="2" t="s">
        <v>138</v>
      </c>
      <c r="B7080" s="2">
        <v>16</v>
      </c>
      <c r="C7080" s="2">
        <v>17.6999</v>
      </c>
      <c r="D7080" s="60" t="s">
        <v>149</v>
      </c>
    </row>
    <row r="7081" spans="1:10">
      <c r="A7081" s="2" t="s">
        <v>140</v>
      </c>
      <c r="B7081" s="2">
        <v>0</v>
      </c>
      <c r="C7081" s="2">
        <v>34.6631</v>
      </c>
      <c r="D7081" s="60">
        <v>24.445900000000002</v>
      </c>
    </row>
    <row r="7082" spans="1:10">
      <c r="A7082" s="2" t="s">
        <v>141</v>
      </c>
      <c r="B7082" s="2">
        <v>0</v>
      </c>
      <c r="C7082" s="2">
        <v>3</v>
      </c>
      <c r="D7082" s="60" t="s">
        <v>155</v>
      </c>
    </row>
    <row r="7083" spans="1:10">
      <c r="A7083" s="2" t="s">
        <v>141</v>
      </c>
      <c r="B7083" s="2">
        <v>0</v>
      </c>
      <c r="C7083" s="2">
        <v>7.1</v>
      </c>
      <c r="D7083" s="60" t="s">
        <v>142</v>
      </c>
    </row>
    <row r="7084" spans="1:10">
      <c r="A7084" s="2" t="s">
        <v>141</v>
      </c>
      <c r="B7084" s="2">
        <v>3</v>
      </c>
      <c r="C7084" s="2">
        <v>19.487300000000001</v>
      </c>
      <c r="D7084" s="60" t="s">
        <v>146</v>
      </c>
    </row>
    <row r="7085" spans="1:10">
      <c r="A7085" s="2" t="s">
        <v>141</v>
      </c>
      <c r="B7085" s="2">
        <v>7.1</v>
      </c>
      <c r="C7085" s="2">
        <v>19.487300000000001</v>
      </c>
      <c r="D7085" s="60" t="s">
        <v>144</v>
      </c>
    </row>
    <row r="7086" spans="1:10">
      <c r="A7086" s="2" t="s">
        <v>148</v>
      </c>
      <c r="B7086" s="2" t="s">
        <v>99</v>
      </c>
      <c r="C7086" s="2">
        <v>3.1057299999999999E-2</v>
      </c>
      <c r="D7086" s="60">
        <v>0</v>
      </c>
      <c r="E7086" s="2">
        <v>0</v>
      </c>
      <c r="F7086" s="2">
        <v>0.3</v>
      </c>
      <c r="G7086" s="2">
        <v>35.386299999999999</v>
      </c>
      <c r="H7086" s="2">
        <v>37.303800000000003</v>
      </c>
      <c r="I7086" s="2">
        <v>0</v>
      </c>
      <c r="J7086" s="2">
        <v>0</v>
      </c>
    </row>
    <row r="7087" spans="1:10">
      <c r="A7087" s="2" t="s">
        <v>148</v>
      </c>
      <c r="B7087" s="2" t="s">
        <v>100</v>
      </c>
      <c r="C7087" s="2">
        <v>1.75903E-2</v>
      </c>
      <c r="D7087" s="60">
        <v>0</v>
      </c>
      <c r="E7087" s="2">
        <v>18.817900000000002</v>
      </c>
      <c r="F7087" s="2">
        <v>5.6280299999999999</v>
      </c>
      <c r="G7087" s="2">
        <v>0</v>
      </c>
      <c r="H7087" s="2">
        <v>10</v>
      </c>
      <c r="I7087" s="2">
        <v>0</v>
      </c>
      <c r="J7087" s="2">
        <v>0</v>
      </c>
    </row>
    <row r="7088" spans="1:10">
      <c r="A7088" s="2" t="s">
        <v>148</v>
      </c>
      <c r="B7088" s="2" t="s">
        <v>98</v>
      </c>
      <c r="C7088" s="2">
        <v>8.0786700000000003E-2</v>
      </c>
      <c r="D7088" s="60">
        <v>0</v>
      </c>
      <c r="E7088" s="2">
        <v>13.652699999999999</v>
      </c>
      <c r="F7088" s="2">
        <v>5.1652199999999997</v>
      </c>
      <c r="G7088" s="2">
        <v>10</v>
      </c>
      <c r="H7088" s="2">
        <v>17.772600000000001</v>
      </c>
      <c r="I7088" s="2">
        <v>0</v>
      </c>
      <c r="J7088" s="2">
        <v>0</v>
      </c>
    </row>
    <row r="7089" spans="1:10">
      <c r="A7089" s="2" t="s">
        <v>148</v>
      </c>
      <c r="B7089" s="2" t="s">
        <v>101</v>
      </c>
      <c r="C7089" s="2">
        <v>3.7240099999999998E-2</v>
      </c>
      <c r="D7089" s="60">
        <v>0</v>
      </c>
      <c r="E7089" s="2">
        <v>12.3</v>
      </c>
      <c r="F7089" s="2">
        <v>1.3526800000000001</v>
      </c>
      <c r="G7089" s="2">
        <v>17.772600000000001</v>
      </c>
      <c r="H7089" s="2">
        <v>19.637699999999999</v>
      </c>
      <c r="I7089" s="2">
        <v>0</v>
      </c>
      <c r="J7089" s="2">
        <v>0</v>
      </c>
    </row>
    <row r="7090" spans="1:10">
      <c r="A7090" s="2" t="s">
        <v>148</v>
      </c>
      <c r="B7090" s="2" t="s">
        <v>61</v>
      </c>
      <c r="C7090" s="2">
        <v>0.154221</v>
      </c>
      <c r="D7090" s="60">
        <v>13.1088</v>
      </c>
      <c r="E7090" s="2">
        <v>8.3000000000000007</v>
      </c>
      <c r="F7090" s="2">
        <v>4</v>
      </c>
      <c r="G7090" s="2">
        <v>19.637699999999999</v>
      </c>
      <c r="H7090" s="2">
        <v>24.3887</v>
      </c>
      <c r="I7090" s="2">
        <v>0</v>
      </c>
      <c r="J7090" s="2">
        <v>0</v>
      </c>
    </row>
    <row r="7091" spans="1:10">
      <c r="A7091" s="2" t="s">
        <v>148</v>
      </c>
      <c r="B7091" s="2" t="s">
        <v>60</v>
      </c>
      <c r="C7091" s="2">
        <v>0.21753600000000001</v>
      </c>
      <c r="D7091" s="60">
        <v>19.578199999999999</v>
      </c>
      <c r="E7091" s="2">
        <v>4.3</v>
      </c>
      <c r="F7091" s="2">
        <v>4</v>
      </c>
      <c r="G7091" s="2">
        <v>24.3887</v>
      </c>
      <c r="H7091" s="2">
        <v>28.0685</v>
      </c>
      <c r="I7091" s="2">
        <v>0</v>
      </c>
      <c r="J7091" s="2">
        <v>0</v>
      </c>
    </row>
    <row r="7092" spans="1:10">
      <c r="A7092" s="2" t="s">
        <v>148</v>
      </c>
      <c r="B7092" s="2" t="s">
        <v>62</v>
      </c>
      <c r="C7092" s="2">
        <v>0.29340300000000002</v>
      </c>
      <c r="D7092" s="60">
        <v>23.472200000000001</v>
      </c>
      <c r="E7092" s="2">
        <v>0.3</v>
      </c>
      <c r="F7092" s="2">
        <v>4</v>
      </c>
      <c r="G7092" s="2">
        <v>28.0685</v>
      </c>
      <c r="H7092" s="2">
        <v>35.386299999999999</v>
      </c>
      <c r="I7092" s="2">
        <v>0</v>
      </c>
      <c r="J7092" s="2">
        <v>0</v>
      </c>
    </row>
    <row r="7093" spans="1:10">
      <c r="A7093" s="2" t="s">
        <v>138</v>
      </c>
      <c r="B7093" s="2">
        <v>17</v>
      </c>
      <c r="C7093" s="2">
        <v>19.847999999999999</v>
      </c>
      <c r="D7093" s="60" t="s">
        <v>175</v>
      </c>
    </row>
    <row r="7094" spans="1:10">
      <c r="A7094" s="2" t="s">
        <v>140</v>
      </c>
      <c r="B7094" s="2">
        <v>0</v>
      </c>
      <c r="C7094" s="2">
        <v>77.608099999999993</v>
      </c>
      <c r="D7094" s="60">
        <v>30.474</v>
      </c>
      <c r="E7094" s="2">
        <v>0</v>
      </c>
      <c r="F7094" s="2">
        <v>24.5</v>
      </c>
    </row>
    <row r="7095" spans="1:10">
      <c r="A7095" s="2" t="s">
        <v>141</v>
      </c>
      <c r="B7095" s="2">
        <v>0</v>
      </c>
      <c r="C7095" s="2">
        <v>6.9</v>
      </c>
      <c r="D7095" s="60" t="s">
        <v>142</v>
      </c>
    </row>
    <row r="7096" spans="1:10">
      <c r="A7096" s="2" t="s">
        <v>141</v>
      </c>
      <c r="B7096" s="2">
        <v>0</v>
      </c>
      <c r="C7096" s="2">
        <v>19.7</v>
      </c>
      <c r="D7096" s="60" t="s">
        <v>150</v>
      </c>
    </row>
    <row r="7097" spans="1:10">
      <c r="A7097" s="2" t="s">
        <v>141</v>
      </c>
      <c r="B7097" s="2">
        <v>6.9</v>
      </c>
      <c r="C7097" s="2">
        <v>11.6</v>
      </c>
      <c r="D7097" s="60" t="s">
        <v>147</v>
      </c>
    </row>
    <row r="7098" spans="1:10">
      <c r="A7098" s="2" t="s">
        <v>141</v>
      </c>
      <c r="B7098" s="2">
        <v>11.6</v>
      </c>
      <c r="C7098" s="2">
        <v>14.3</v>
      </c>
      <c r="D7098" s="60" t="s">
        <v>145</v>
      </c>
    </row>
    <row r="7099" spans="1:10">
      <c r="A7099" s="2" t="s">
        <v>141</v>
      </c>
      <c r="B7099" s="2">
        <v>14.3</v>
      </c>
      <c r="C7099" s="2">
        <v>20</v>
      </c>
      <c r="D7099" s="60" t="s">
        <v>147</v>
      </c>
    </row>
    <row r="7100" spans="1:10">
      <c r="A7100" s="2" t="s">
        <v>141</v>
      </c>
      <c r="B7100" s="2">
        <v>19.7</v>
      </c>
      <c r="C7100" s="2">
        <v>20</v>
      </c>
      <c r="D7100" s="60" t="s">
        <v>159</v>
      </c>
    </row>
    <row r="7101" spans="1:10">
      <c r="A7101" s="2" t="s">
        <v>141</v>
      </c>
      <c r="B7101" s="2">
        <v>20</v>
      </c>
      <c r="C7101" s="2">
        <v>23.523599999999998</v>
      </c>
      <c r="D7101" s="60" t="s">
        <v>144</v>
      </c>
    </row>
    <row r="7102" spans="1:10">
      <c r="A7102" s="2" t="s">
        <v>141</v>
      </c>
      <c r="B7102" s="2">
        <v>20</v>
      </c>
      <c r="C7102" s="2">
        <v>23.523599999999998</v>
      </c>
      <c r="D7102" s="60" t="s">
        <v>152</v>
      </c>
    </row>
    <row r="7103" spans="1:10">
      <c r="A7103" s="2" t="s">
        <v>148</v>
      </c>
      <c r="B7103" s="2" t="s">
        <v>99</v>
      </c>
      <c r="C7103" s="2">
        <v>0.133326</v>
      </c>
      <c r="D7103" s="60">
        <v>0</v>
      </c>
      <c r="E7103" s="2">
        <v>0</v>
      </c>
      <c r="F7103" s="2">
        <v>0.3</v>
      </c>
      <c r="G7103" s="2">
        <v>73.649600000000007</v>
      </c>
      <c r="H7103" s="2">
        <v>76.903700000000001</v>
      </c>
      <c r="I7103" s="2">
        <v>0</v>
      </c>
      <c r="J7103" s="2">
        <v>0</v>
      </c>
    </row>
    <row r="7104" spans="1:10">
      <c r="A7104" s="2" t="s">
        <v>148</v>
      </c>
      <c r="B7104" s="2" t="s">
        <v>98</v>
      </c>
      <c r="C7104" s="2">
        <v>8.2083400000000001E-2</v>
      </c>
      <c r="D7104" s="60">
        <v>0</v>
      </c>
      <c r="E7104" s="2">
        <v>22.139299999999999</v>
      </c>
      <c r="F7104" s="2">
        <v>2.3607300000000002</v>
      </c>
      <c r="G7104" s="2">
        <v>18.0213</v>
      </c>
      <c r="H7104" s="2">
        <v>23.949000000000002</v>
      </c>
      <c r="I7104" s="2">
        <v>0</v>
      </c>
      <c r="J7104" s="2">
        <v>0</v>
      </c>
    </row>
    <row r="7105" spans="1:10">
      <c r="A7105" s="2" t="s">
        <v>148</v>
      </c>
      <c r="B7105" s="2" t="s">
        <v>101</v>
      </c>
      <c r="C7105" s="2">
        <v>0.15518000000000001</v>
      </c>
      <c r="D7105" s="60">
        <v>0</v>
      </c>
      <c r="E7105" s="2">
        <v>19.5</v>
      </c>
      <c r="F7105" s="2">
        <v>2.6392699999999998</v>
      </c>
      <c r="G7105" s="2">
        <v>23.949000000000002</v>
      </c>
      <c r="H7105" s="2">
        <v>30.617000000000001</v>
      </c>
      <c r="I7105" s="2">
        <v>0</v>
      </c>
      <c r="J7105" s="2">
        <v>0</v>
      </c>
    </row>
    <row r="7106" spans="1:10">
      <c r="A7106" s="2" t="s">
        <v>148</v>
      </c>
      <c r="B7106" s="2" t="s">
        <v>59</v>
      </c>
      <c r="C7106" s="2">
        <v>0.397314</v>
      </c>
      <c r="D7106" s="60">
        <v>39.731400000000001</v>
      </c>
      <c r="E7106" s="2">
        <v>15.5</v>
      </c>
      <c r="F7106" s="2">
        <v>4</v>
      </c>
      <c r="G7106" s="2">
        <v>30.617000000000001</v>
      </c>
      <c r="H7106" s="2">
        <v>40.114100000000001</v>
      </c>
      <c r="I7106" s="2">
        <v>0</v>
      </c>
      <c r="J7106" s="2">
        <v>0</v>
      </c>
    </row>
    <row r="7107" spans="1:10">
      <c r="A7107" s="2" t="s">
        <v>148</v>
      </c>
      <c r="B7107" s="2" t="s">
        <v>58</v>
      </c>
      <c r="C7107" s="2">
        <v>0.61845499999999998</v>
      </c>
      <c r="D7107" s="60">
        <v>64.937700000000007</v>
      </c>
      <c r="E7107" s="2">
        <v>11.5</v>
      </c>
      <c r="F7107" s="2">
        <v>4</v>
      </c>
      <c r="G7107" s="2">
        <v>40.114100000000001</v>
      </c>
      <c r="H7107" s="2">
        <v>48.235300000000002</v>
      </c>
      <c r="I7107" s="2">
        <v>0</v>
      </c>
      <c r="J7107" s="2">
        <v>0</v>
      </c>
    </row>
    <row r="7108" spans="1:10">
      <c r="A7108" s="2" t="s">
        <v>148</v>
      </c>
      <c r="B7108" s="2" t="s">
        <v>58</v>
      </c>
      <c r="C7108" s="2">
        <v>1.3358000000000001</v>
      </c>
      <c r="D7108" s="60">
        <v>140.25899999999999</v>
      </c>
      <c r="E7108" s="2">
        <v>5.5</v>
      </c>
      <c r="F7108" s="2">
        <v>6</v>
      </c>
      <c r="G7108" s="2">
        <v>48.235300000000002</v>
      </c>
      <c r="H7108" s="2">
        <v>57.666899999999998</v>
      </c>
      <c r="I7108" s="2">
        <v>0</v>
      </c>
      <c r="J7108" s="2">
        <v>0</v>
      </c>
    </row>
    <row r="7109" spans="1:10">
      <c r="A7109" s="2" t="s">
        <v>148</v>
      </c>
      <c r="B7109" s="2" t="s">
        <v>55</v>
      </c>
      <c r="C7109" s="2">
        <v>1.62226</v>
      </c>
      <c r="D7109" s="60">
        <v>235.22800000000001</v>
      </c>
      <c r="E7109" s="2">
        <v>0.3</v>
      </c>
      <c r="F7109" s="2">
        <v>5.2</v>
      </c>
      <c r="G7109" s="2">
        <v>57.666899999999998</v>
      </c>
      <c r="H7109" s="2">
        <v>73.649600000000007</v>
      </c>
      <c r="I7109" s="2">
        <v>0</v>
      </c>
      <c r="J7109" s="2">
        <v>0</v>
      </c>
    </row>
    <row r="7110" spans="1:10">
      <c r="A7110" s="2" t="s">
        <v>138</v>
      </c>
      <c r="B7110" s="2">
        <v>18</v>
      </c>
      <c r="C7110" s="2">
        <v>19.680299999999999</v>
      </c>
      <c r="D7110" s="60" t="s">
        <v>139</v>
      </c>
    </row>
    <row r="7111" spans="1:10">
      <c r="A7111" s="2" t="s">
        <v>140</v>
      </c>
      <c r="B7111" s="2">
        <v>0</v>
      </c>
      <c r="C7111" s="2">
        <v>53.802</v>
      </c>
      <c r="D7111" s="60">
        <v>38.652799999999999</v>
      </c>
    </row>
    <row r="7112" spans="1:10">
      <c r="A7112" s="2" t="s">
        <v>141</v>
      </c>
      <c r="B7112" s="2">
        <v>0</v>
      </c>
      <c r="C7112" s="2">
        <v>1</v>
      </c>
      <c r="D7112" s="60" t="s">
        <v>157</v>
      </c>
    </row>
    <row r="7113" spans="1:10">
      <c r="A7113" s="2" t="s">
        <v>141</v>
      </c>
      <c r="B7113" s="2">
        <v>0</v>
      </c>
      <c r="C7113" s="2">
        <v>7.3</v>
      </c>
      <c r="D7113" s="60" t="s">
        <v>142</v>
      </c>
    </row>
    <row r="7114" spans="1:10">
      <c r="A7114" s="2" t="s">
        <v>141</v>
      </c>
      <c r="B7114" s="2">
        <v>0</v>
      </c>
      <c r="C7114" s="2">
        <v>7.7</v>
      </c>
      <c r="D7114" s="60" t="s">
        <v>146</v>
      </c>
    </row>
    <row r="7115" spans="1:10">
      <c r="A7115" s="2" t="s">
        <v>141</v>
      </c>
      <c r="B7115" s="2">
        <v>1</v>
      </c>
      <c r="C7115" s="2">
        <v>7.3</v>
      </c>
      <c r="D7115" s="60" t="s">
        <v>158</v>
      </c>
    </row>
    <row r="7116" spans="1:10">
      <c r="A7116" s="2" t="s">
        <v>141</v>
      </c>
      <c r="B7116" s="2">
        <v>7.3</v>
      </c>
      <c r="C7116" s="2">
        <v>7.6</v>
      </c>
      <c r="D7116" s="60" t="s">
        <v>160</v>
      </c>
    </row>
    <row r="7117" spans="1:10">
      <c r="A7117" s="2" t="s">
        <v>141</v>
      </c>
      <c r="B7117" s="2">
        <v>7.3</v>
      </c>
      <c r="C7117" s="2">
        <v>10.5</v>
      </c>
      <c r="D7117" s="60" t="s">
        <v>145</v>
      </c>
    </row>
    <row r="7118" spans="1:10">
      <c r="A7118" s="2" t="s">
        <v>141</v>
      </c>
      <c r="B7118" s="2">
        <v>7.7</v>
      </c>
      <c r="C7118" s="2">
        <v>9.1</v>
      </c>
      <c r="D7118" s="60" t="s">
        <v>155</v>
      </c>
    </row>
    <row r="7119" spans="1:10">
      <c r="A7119" s="2" t="s">
        <v>141</v>
      </c>
      <c r="B7119" s="2">
        <v>9.1</v>
      </c>
      <c r="C7119" s="2">
        <v>29</v>
      </c>
      <c r="D7119" s="60" t="s">
        <v>146</v>
      </c>
    </row>
    <row r="7120" spans="1:10">
      <c r="A7120" s="2" t="s">
        <v>141</v>
      </c>
      <c r="B7120" s="2">
        <v>10.5</v>
      </c>
      <c r="C7120" s="2">
        <v>20.100000000000001</v>
      </c>
      <c r="D7120" s="60" t="s">
        <v>147</v>
      </c>
    </row>
    <row r="7121" spans="1:10">
      <c r="A7121" s="2" t="s">
        <v>141</v>
      </c>
      <c r="B7121" s="2">
        <v>20.100000000000001</v>
      </c>
      <c r="C7121" s="2">
        <v>25.2</v>
      </c>
      <c r="D7121" s="60" t="s">
        <v>145</v>
      </c>
    </row>
    <row r="7122" spans="1:10">
      <c r="A7122" s="2" t="s">
        <v>141</v>
      </c>
      <c r="B7122" s="2">
        <v>25.2</v>
      </c>
      <c r="C7122" s="2">
        <v>29</v>
      </c>
      <c r="D7122" s="60" t="s">
        <v>144</v>
      </c>
    </row>
    <row r="7123" spans="1:10">
      <c r="A7123" s="2" t="s">
        <v>148</v>
      </c>
      <c r="B7123" s="2" t="s">
        <v>99</v>
      </c>
      <c r="C7123" s="2">
        <v>7.0281899999999994E-2</v>
      </c>
      <c r="D7123" s="60">
        <v>0</v>
      </c>
      <c r="E7123" s="2">
        <v>0</v>
      </c>
      <c r="F7123" s="2">
        <v>0.3</v>
      </c>
      <c r="G7123" s="2">
        <v>53.691800000000001</v>
      </c>
      <c r="H7123" s="2">
        <v>55.588200000000001</v>
      </c>
      <c r="I7123" s="2">
        <v>0</v>
      </c>
      <c r="J7123" s="2">
        <v>0</v>
      </c>
    </row>
    <row r="7124" spans="1:10">
      <c r="A7124" s="2" t="s">
        <v>148</v>
      </c>
      <c r="B7124" s="2" t="s">
        <v>100</v>
      </c>
      <c r="C7124" s="2">
        <v>1.85483E-2</v>
      </c>
      <c r="D7124" s="60">
        <v>0</v>
      </c>
      <c r="E7124" s="2">
        <v>33.2714</v>
      </c>
      <c r="F7124" s="2">
        <v>5.3814299999999999</v>
      </c>
      <c r="G7124" s="2">
        <v>0</v>
      </c>
      <c r="H7124" s="2">
        <v>10</v>
      </c>
      <c r="I7124" s="2">
        <v>0</v>
      </c>
      <c r="J7124" s="2">
        <v>0</v>
      </c>
    </row>
    <row r="7125" spans="1:10">
      <c r="A7125" s="2" t="s">
        <v>148</v>
      </c>
      <c r="B7125" s="2" t="s">
        <v>101</v>
      </c>
      <c r="C7125" s="2">
        <v>5.6610500000000002E-4</v>
      </c>
      <c r="D7125" s="60">
        <v>0</v>
      </c>
      <c r="E7125" s="2">
        <v>33.200000000000003</v>
      </c>
      <c r="F7125" s="2">
        <v>7.1387900000000004E-2</v>
      </c>
      <c r="G7125" s="2">
        <v>10</v>
      </c>
      <c r="H7125" s="2">
        <v>10.096500000000001</v>
      </c>
      <c r="I7125" s="2">
        <v>0</v>
      </c>
      <c r="J7125" s="2">
        <v>0</v>
      </c>
    </row>
    <row r="7126" spans="1:10">
      <c r="A7126" s="2" t="s">
        <v>148</v>
      </c>
      <c r="B7126" s="2" t="s">
        <v>64</v>
      </c>
      <c r="C7126" s="2">
        <v>6.9476800000000005E-2</v>
      </c>
      <c r="D7126" s="60">
        <v>2.0842999999999998</v>
      </c>
      <c r="E7126" s="2">
        <v>28.4</v>
      </c>
      <c r="F7126" s="2">
        <v>4.8</v>
      </c>
      <c r="G7126" s="2">
        <v>10.096500000000001</v>
      </c>
      <c r="H7126" s="2">
        <v>16.850000000000001</v>
      </c>
      <c r="I7126" s="2">
        <v>0</v>
      </c>
      <c r="J7126" s="2">
        <v>0</v>
      </c>
    </row>
    <row r="7127" spans="1:10">
      <c r="A7127" s="2" t="s">
        <v>148</v>
      </c>
      <c r="B7127" s="2" t="s">
        <v>61</v>
      </c>
      <c r="C7127" s="2">
        <v>0.123252</v>
      </c>
      <c r="D7127" s="60">
        <v>10.4764</v>
      </c>
      <c r="E7127" s="2">
        <v>24.4</v>
      </c>
      <c r="F7127" s="2">
        <v>4</v>
      </c>
      <c r="G7127" s="2">
        <v>16.850000000000001</v>
      </c>
      <c r="H7127" s="2">
        <v>22.6037</v>
      </c>
      <c r="I7127" s="2">
        <v>0</v>
      </c>
      <c r="J7127" s="2">
        <v>0</v>
      </c>
    </row>
    <row r="7128" spans="1:10">
      <c r="A7128" s="2" t="s">
        <v>148</v>
      </c>
      <c r="B7128" s="2" t="s">
        <v>60</v>
      </c>
      <c r="C7128" s="2">
        <v>0.202907</v>
      </c>
      <c r="D7128" s="60">
        <v>18.261600000000001</v>
      </c>
      <c r="E7128" s="2">
        <v>20.399999999999999</v>
      </c>
      <c r="F7128" s="2">
        <v>4</v>
      </c>
      <c r="G7128" s="2">
        <v>22.6037</v>
      </c>
      <c r="H7128" s="2">
        <v>28.0474</v>
      </c>
      <c r="I7128" s="2">
        <v>0</v>
      </c>
      <c r="J7128" s="2">
        <v>0</v>
      </c>
    </row>
    <row r="7129" spans="1:10">
      <c r="A7129" s="2" t="s">
        <v>148</v>
      </c>
      <c r="B7129" s="2" t="s">
        <v>62</v>
      </c>
      <c r="C7129" s="2">
        <v>0.29345300000000002</v>
      </c>
      <c r="D7129" s="60">
        <v>23.476199999999999</v>
      </c>
      <c r="E7129" s="2">
        <v>16.399999999999999</v>
      </c>
      <c r="F7129" s="2">
        <v>4</v>
      </c>
      <c r="G7129" s="2">
        <v>28.0474</v>
      </c>
      <c r="H7129" s="2">
        <v>32.900100000000002</v>
      </c>
      <c r="I7129" s="2">
        <v>0</v>
      </c>
      <c r="J7129" s="2">
        <v>0</v>
      </c>
    </row>
    <row r="7130" spans="1:10">
      <c r="A7130" s="2" t="s">
        <v>148</v>
      </c>
      <c r="B7130" s="2" t="s">
        <v>59</v>
      </c>
      <c r="C7130" s="2">
        <v>0.61230499999999999</v>
      </c>
      <c r="D7130" s="60">
        <v>61.230499999999999</v>
      </c>
      <c r="E7130" s="2">
        <v>10.4</v>
      </c>
      <c r="F7130" s="2">
        <v>6</v>
      </c>
      <c r="G7130" s="2">
        <v>32.900100000000002</v>
      </c>
      <c r="H7130" s="2">
        <v>38.8521</v>
      </c>
      <c r="I7130" s="2">
        <v>0</v>
      </c>
      <c r="J7130" s="2">
        <v>0</v>
      </c>
    </row>
    <row r="7131" spans="1:10">
      <c r="A7131" s="2" t="s">
        <v>148</v>
      </c>
      <c r="B7131" s="2" t="s">
        <v>62</v>
      </c>
      <c r="C7131" s="2">
        <v>0.51613200000000004</v>
      </c>
      <c r="D7131" s="60">
        <v>41.290599999999998</v>
      </c>
      <c r="E7131" s="2">
        <v>6.4</v>
      </c>
      <c r="F7131" s="2">
        <v>4</v>
      </c>
      <c r="G7131" s="2">
        <v>38.8521</v>
      </c>
      <c r="H7131" s="2">
        <v>42.1494</v>
      </c>
      <c r="I7131" s="2">
        <v>0</v>
      </c>
      <c r="J7131" s="2">
        <v>0</v>
      </c>
    </row>
    <row r="7132" spans="1:10">
      <c r="A7132" s="2" t="s">
        <v>148</v>
      </c>
      <c r="B7132" s="2" t="s">
        <v>55</v>
      </c>
      <c r="C7132" s="2">
        <v>1.01366</v>
      </c>
      <c r="D7132" s="60">
        <v>146.98099999999999</v>
      </c>
      <c r="E7132" s="2">
        <v>0.3</v>
      </c>
      <c r="F7132" s="2">
        <v>6.1</v>
      </c>
      <c r="G7132" s="2">
        <v>42.1494</v>
      </c>
      <c r="H7132" s="2">
        <v>53.691800000000001</v>
      </c>
      <c r="I7132" s="2">
        <v>0</v>
      </c>
      <c r="J7132" s="2">
        <v>0</v>
      </c>
    </row>
    <row r="7133" spans="1:10">
      <c r="A7133" s="2" t="s">
        <v>138</v>
      </c>
      <c r="B7133" s="2">
        <v>19</v>
      </c>
      <c r="C7133" s="2">
        <v>18.913799999999998</v>
      </c>
      <c r="D7133" s="60" t="s">
        <v>149</v>
      </c>
    </row>
    <row r="7134" spans="1:10">
      <c r="A7134" s="2" t="s">
        <v>140</v>
      </c>
      <c r="B7134" s="2">
        <v>0</v>
      </c>
      <c r="C7134" s="2">
        <v>43.211599999999997</v>
      </c>
      <c r="D7134" s="60">
        <v>26.2256</v>
      </c>
    </row>
    <row r="7135" spans="1:10">
      <c r="A7135" s="2" t="s">
        <v>141</v>
      </c>
      <c r="B7135" s="2">
        <v>0</v>
      </c>
      <c r="C7135" s="2">
        <v>6.6</v>
      </c>
      <c r="D7135" s="60" t="s">
        <v>142</v>
      </c>
    </row>
    <row r="7136" spans="1:10">
      <c r="A7136" s="2" t="s">
        <v>141</v>
      </c>
      <c r="B7136" s="2">
        <v>0</v>
      </c>
      <c r="C7136" s="2">
        <v>20.678899999999999</v>
      </c>
      <c r="D7136" s="60" t="s">
        <v>143</v>
      </c>
    </row>
    <row r="7137" spans="1:10">
      <c r="A7137" s="2" t="s">
        <v>141</v>
      </c>
      <c r="B7137" s="2">
        <v>6.6</v>
      </c>
      <c r="C7137" s="2">
        <v>20.678899999999999</v>
      </c>
      <c r="D7137" s="60" t="s">
        <v>144</v>
      </c>
    </row>
    <row r="7138" spans="1:10">
      <c r="A7138" s="2" t="s">
        <v>148</v>
      </c>
      <c r="B7138" s="2" t="s">
        <v>99</v>
      </c>
      <c r="C7138" s="2">
        <v>4.62843E-2</v>
      </c>
      <c r="D7138" s="60">
        <v>0</v>
      </c>
      <c r="E7138" s="2">
        <v>0</v>
      </c>
      <c r="F7138" s="2">
        <v>0.3</v>
      </c>
      <c r="G7138" s="2">
        <v>43.264200000000002</v>
      </c>
      <c r="H7138" s="2">
        <v>45.4619</v>
      </c>
      <c r="I7138" s="2">
        <v>0</v>
      </c>
      <c r="J7138" s="2">
        <v>0</v>
      </c>
    </row>
    <row r="7139" spans="1:10">
      <c r="A7139" s="2" t="s">
        <v>148</v>
      </c>
      <c r="B7139" s="2" t="s">
        <v>100</v>
      </c>
      <c r="C7139" s="2">
        <v>1.5586900000000001E-2</v>
      </c>
      <c r="D7139" s="60">
        <v>0</v>
      </c>
      <c r="E7139" s="2">
        <v>21.471900000000002</v>
      </c>
      <c r="F7139" s="2">
        <v>4.7536500000000004</v>
      </c>
      <c r="G7139" s="2">
        <v>0</v>
      </c>
      <c r="H7139" s="2">
        <v>10</v>
      </c>
      <c r="I7139" s="2">
        <v>0</v>
      </c>
      <c r="J7139" s="2">
        <v>0</v>
      </c>
    </row>
    <row r="7140" spans="1:10">
      <c r="A7140" s="2" t="s">
        <v>148</v>
      </c>
      <c r="B7140" s="2" t="s">
        <v>98</v>
      </c>
      <c r="C7140" s="2">
        <v>7.8547000000000006E-2</v>
      </c>
      <c r="D7140" s="60">
        <v>0</v>
      </c>
      <c r="E7140" s="2">
        <v>16.630299999999998</v>
      </c>
      <c r="F7140" s="2">
        <v>4.8416199999999998</v>
      </c>
      <c r="G7140" s="2">
        <v>10</v>
      </c>
      <c r="H7140" s="2">
        <v>18.357900000000001</v>
      </c>
      <c r="I7140" s="2">
        <v>0</v>
      </c>
      <c r="J7140" s="2">
        <v>0</v>
      </c>
    </row>
    <row r="7141" spans="1:10">
      <c r="A7141" s="2" t="s">
        <v>148</v>
      </c>
      <c r="B7141" s="2" t="s">
        <v>101</v>
      </c>
      <c r="C7141" s="2">
        <v>9.0127899999999997E-3</v>
      </c>
      <c r="D7141" s="60">
        <v>0</v>
      </c>
      <c r="E7141" s="2">
        <v>16.3</v>
      </c>
      <c r="F7141" s="2">
        <v>0.33028000000000002</v>
      </c>
      <c r="G7141" s="2">
        <v>18.357900000000001</v>
      </c>
      <c r="H7141" s="2">
        <v>18.919799999999999</v>
      </c>
      <c r="I7141" s="2">
        <v>0</v>
      </c>
      <c r="J7141" s="2">
        <v>0</v>
      </c>
    </row>
    <row r="7142" spans="1:10">
      <c r="A7142" s="2" t="s">
        <v>148</v>
      </c>
      <c r="B7142" s="2" t="s">
        <v>61</v>
      </c>
      <c r="C7142" s="2">
        <v>0.15551000000000001</v>
      </c>
      <c r="D7142" s="60">
        <v>13.218400000000001</v>
      </c>
      <c r="E7142" s="2">
        <v>12.3</v>
      </c>
      <c r="F7142" s="2">
        <v>4</v>
      </c>
      <c r="G7142" s="2">
        <v>18.919799999999999</v>
      </c>
      <c r="H7142" s="2">
        <v>25.2608</v>
      </c>
      <c r="I7142" s="2">
        <v>0</v>
      </c>
      <c r="J7142" s="2">
        <v>0</v>
      </c>
    </row>
    <row r="7143" spans="1:10">
      <c r="A7143" s="2" t="s">
        <v>148</v>
      </c>
      <c r="B7143" s="2" t="s">
        <v>60</v>
      </c>
      <c r="C7143" s="2">
        <v>0.24607299999999999</v>
      </c>
      <c r="D7143" s="60">
        <v>22.1465</v>
      </c>
      <c r="E7143" s="2">
        <v>8.3000000000000007</v>
      </c>
      <c r="F7143" s="2">
        <v>4</v>
      </c>
      <c r="G7143" s="2">
        <v>25.2608</v>
      </c>
      <c r="H7143" s="2">
        <v>30.420100000000001</v>
      </c>
      <c r="I7143" s="2">
        <v>0</v>
      </c>
      <c r="J7143" s="2">
        <v>0</v>
      </c>
    </row>
    <row r="7144" spans="1:10">
      <c r="A7144" s="2" t="s">
        <v>148</v>
      </c>
      <c r="B7144" s="2" t="s">
        <v>59</v>
      </c>
      <c r="C7144" s="2">
        <v>0.33271000000000001</v>
      </c>
      <c r="D7144" s="60">
        <v>33.271000000000001</v>
      </c>
      <c r="E7144" s="2">
        <v>4.3</v>
      </c>
      <c r="F7144" s="2">
        <v>4</v>
      </c>
      <c r="G7144" s="2">
        <v>30.420100000000001</v>
      </c>
      <c r="H7144" s="2">
        <v>34.512799999999999</v>
      </c>
      <c r="I7144" s="2">
        <v>0</v>
      </c>
      <c r="J7144" s="2">
        <v>0</v>
      </c>
    </row>
    <row r="7145" spans="1:10">
      <c r="A7145" s="2" t="s">
        <v>148</v>
      </c>
      <c r="B7145" s="2" t="s">
        <v>59</v>
      </c>
      <c r="C7145" s="2">
        <v>0.44166299999999997</v>
      </c>
      <c r="D7145" s="60">
        <v>44.1663</v>
      </c>
      <c r="E7145" s="2">
        <v>0.3</v>
      </c>
      <c r="F7145" s="2">
        <v>4</v>
      </c>
      <c r="G7145" s="2">
        <v>34.512799999999999</v>
      </c>
      <c r="H7145" s="2">
        <v>43.264200000000002</v>
      </c>
      <c r="I7145" s="2">
        <v>0</v>
      </c>
      <c r="J7145" s="2">
        <v>0</v>
      </c>
    </row>
    <row r="7146" spans="1:10">
      <c r="A7146" s="2" t="s">
        <v>138</v>
      </c>
      <c r="B7146" s="2">
        <v>20</v>
      </c>
      <c r="C7146" s="2">
        <v>19.709399999999999</v>
      </c>
      <c r="D7146" s="60" t="s">
        <v>149</v>
      </c>
    </row>
    <row r="7147" spans="1:10">
      <c r="A7147" s="2" t="s">
        <v>140</v>
      </c>
      <c r="B7147" s="2">
        <v>0</v>
      </c>
      <c r="C7147" s="2">
        <v>64.346900000000005</v>
      </c>
      <c r="D7147" s="60">
        <v>29.138999999999999</v>
      </c>
    </row>
    <row r="7148" spans="1:10">
      <c r="A7148" s="2" t="s">
        <v>141</v>
      </c>
      <c r="B7148" s="2">
        <v>0</v>
      </c>
      <c r="C7148" s="2">
        <v>6.8</v>
      </c>
      <c r="D7148" s="60" t="s">
        <v>142</v>
      </c>
    </row>
    <row r="7149" spans="1:10">
      <c r="A7149" s="2" t="s">
        <v>141</v>
      </c>
      <c r="B7149" s="2">
        <v>0</v>
      </c>
      <c r="C7149" s="2">
        <v>8</v>
      </c>
      <c r="D7149" s="60" t="s">
        <v>146</v>
      </c>
    </row>
    <row r="7150" spans="1:10">
      <c r="A7150" s="2" t="s">
        <v>141</v>
      </c>
      <c r="B7150" s="2">
        <v>6.8</v>
      </c>
      <c r="C7150" s="2">
        <v>13</v>
      </c>
      <c r="D7150" s="60" t="s">
        <v>145</v>
      </c>
    </row>
    <row r="7151" spans="1:10">
      <c r="A7151" s="2" t="s">
        <v>141</v>
      </c>
      <c r="B7151" s="2">
        <v>8</v>
      </c>
      <c r="C7151" s="2">
        <v>16.100000000000001</v>
      </c>
      <c r="D7151" s="60" t="s">
        <v>143</v>
      </c>
    </row>
    <row r="7152" spans="1:10">
      <c r="A7152" s="2" t="s">
        <v>141</v>
      </c>
      <c r="B7152" s="2">
        <v>13</v>
      </c>
      <c r="C7152" s="2">
        <v>16.899999999999999</v>
      </c>
      <c r="D7152" s="60" t="s">
        <v>147</v>
      </c>
    </row>
    <row r="7153" spans="1:10">
      <c r="A7153" s="2" t="s">
        <v>141</v>
      </c>
      <c r="B7153" s="2">
        <v>16.100000000000001</v>
      </c>
      <c r="C7153" s="2">
        <v>22.6297</v>
      </c>
      <c r="D7153" s="60" t="s">
        <v>146</v>
      </c>
    </row>
    <row r="7154" spans="1:10">
      <c r="A7154" s="2" t="s">
        <v>141</v>
      </c>
      <c r="B7154" s="2">
        <v>16.899999999999999</v>
      </c>
      <c r="C7154" s="2">
        <v>21.5</v>
      </c>
      <c r="D7154" s="60" t="s">
        <v>145</v>
      </c>
    </row>
    <row r="7155" spans="1:10">
      <c r="A7155" s="2" t="s">
        <v>141</v>
      </c>
      <c r="B7155" s="2">
        <v>21.5</v>
      </c>
      <c r="C7155" s="2">
        <v>22.6297</v>
      </c>
      <c r="D7155" s="60" t="s">
        <v>144</v>
      </c>
    </row>
    <row r="7156" spans="1:10">
      <c r="A7156" s="2" t="s">
        <v>148</v>
      </c>
      <c r="B7156" s="2" t="s">
        <v>99</v>
      </c>
      <c r="C7156" s="2">
        <v>9.5048599999999997E-2</v>
      </c>
      <c r="D7156" s="60">
        <v>0</v>
      </c>
      <c r="E7156" s="2">
        <v>0</v>
      </c>
      <c r="F7156" s="2">
        <v>0.3</v>
      </c>
      <c r="G7156" s="2">
        <v>62.131599999999999</v>
      </c>
      <c r="H7156" s="2">
        <v>64.993899999999996</v>
      </c>
      <c r="I7156" s="2">
        <v>0</v>
      </c>
      <c r="J7156" s="2">
        <v>0</v>
      </c>
    </row>
    <row r="7157" spans="1:10">
      <c r="A7157" s="2" t="s">
        <v>148</v>
      </c>
      <c r="B7157" s="2" t="s">
        <v>100</v>
      </c>
      <c r="C7157" s="2">
        <v>1.15844E-2</v>
      </c>
      <c r="D7157" s="60">
        <v>0</v>
      </c>
      <c r="E7157" s="2">
        <v>25.895800000000001</v>
      </c>
      <c r="F7157" s="2">
        <v>3.2431700000000001</v>
      </c>
      <c r="G7157" s="2">
        <v>0</v>
      </c>
      <c r="H7157" s="2">
        <v>10.000299999999999</v>
      </c>
      <c r="I7157" s="2">
        <v>0</v>
      </c>
      <c r="J7157" s="2">
        <v>0</v>
      </c>
    </row>
    <row r="7158" spans="1:10">
      <c r="A7158" s="2" t="s">
        <v>148</v>
      </c>
      <c r="B7158" s="2" t="s">
        <v>98</v>
      </c>
      <c r="C7158" s="2">
        <v>0.13503899999999999</v>
      </c>
      <c r="D7158" s="60">
        <v>0</v>
      </c>
      <c r="E7158" s="2">
        <v>19.877700000000001</v>
      </c>
      <c r="F7158" s="2">
        <v>6.0180999999999996</v>
      </c>
      <c r="G7158" s="2">
        <v>10.000299999999999</v>
      </c>
      <c r="H7158" s="2">
        <v>23.1373</v>
      </c>
      <c r="I7158" s="2">
        <v>0</v>
      </c>
      <c r="J7158" s="2">
        <v>0</v>
      </c>
    </row>
    <row r="7159" spans="1:10">
      <c r="A7159" s="2" t="s">
        <v>148</v>
      </c>
      <c r="B7159" s="2" t="s">
        <v>101</v>
      </c>
      <c r="C7159" s="2">
        <v>7.1381700000000006E-2</v>
      </c>
      <c r="D7159" s="60">
        <v>0</v>
      </c>
      <c r="E7159" s="2">
        <v>18.399999999999999</v>
      </c>
      <c r="F7159" s="2">
        <v>1.47773</v>
      </c>
      <c r="G7159" s="2">
        <v>23.1373</v>
      </c>
      <c r="H7159" s="2">
        <v>26.415800000000001</v>
      </c>
      <c r="I7159" s="2">
        <v>0</v>
      </c>
      <c r="J7159" s="2">
        <v>0</v>
      </c>
    </row>
    <row r="7160" spans="1:10">
      <c r="A7160" s="2" t="s">
        <v>148</v>
      </c>
      <c r="B7160" s="2" t="s">
        <v>62</v>
      </c>
      <c r="C7160" s="2">
        <v>0.29708600000000002</v>
      </c>
      <c r="D7160" s="60">
        <v>23.7669</v>
      </c>
      <c r="E7160" s="2">
        <v>14.4</v>
      </c>
      <c r="F7160" s="2">
        <v>4</v>
      </c>
      <c r="G7160" s="2">
        <v>26.415800000000001</v>
      </c>
      <c r="H7160" s="2">
        <v>34.721600000000002</v>
      </c>
      <c r="I7160" s="2">
        <v>0</v>
      </c>
      <c r="J7160" s="2">
        <v>0</v>
      </c>
    </row>
    <row r="7161" spans="1:10">
      <c r="A7161" s="2" t="s">
        <v>148</v>
      </c>
      <c r="B7161" s="2" t="s">
        <v>59</v>
      </c>
      <c r="C7161" s="2">
        <v>0.46310000000000001</v>
      </c>
      <c r="D7161" s="60">
        <v>46.31</v>
      </c>
      <c r="E7161" s="2">
        <v>10.4</v>
      </c>
      <c r="F7161" s="2">
        <v>4</v>
      </c>
      <c r="G7161" s="2">
        <v>34.721600000000002</v>
      </c>
      <c r="H7161" s="2">
        <v>41.712699999999998</v>
      </c>
      <c r="I7161" s="2">
        <v>0</v>
      </c>
      <c r="J7161" s="2">
        <v>0</v>
      </c>
    </row>
    <row r="7162" spans="1:10">
      <c r="A7162" s="2" t="s">
        <v>148</v>
      </c>
      <c r="B7162" s="2" t="s">
        <v>58</v>
      </c>
      <c r="C7162" s="2">
        <v>0.62597899999999995</v>
      </c>
      <c r="D7162" s="60">
        <v>65.727800000000002</v>
      </c>
      <c r="E7162" s="2">
        <v>6.4</v>
      </c>
      <c r="F7162" s="2">
        <v>4</v>
      </c>
      <c r="G7162" s="2">
        <v>41.712699999999998</v>
      </c>
      <c r="H7162" s="2">
        <v>47.305599999999998</v>
      </c>
      <c r="I7162" s="2">
        <v>0</v>
      </c>
      <c r="J7162" s="2">
        <v>0</v>
      </c>
    </row>
    <row r="7163" spans="1:10">
      <c r="A7163" s="2" t="s">
        <v>148</v>
      </c>
      <c r="B7163" s="2" t="s">
        <v>55</v>
      </c>
      <c r="C7163" s="2">
        <v>1.3106199999999999</v>
      </c>
      <c r="D7163" s="60">
        <v>190.041</v>
      </c>
      <c r="E7163" s="2">
        <v>0.3</v>
      </c>
      <c r="F7163" s="2">
        <v>6.1</v>
      </c>
      <c r="G7163" s="2">
        <v>47.305599999999998</v>
      </c>
      <c r="H7163" s="2">
        <v>62.131599999999999</v>
      </c>
      <c r="I7163" s="2">
        <v>0</v>
      </c>
      <c r="J7163" s="2">
        <v>0</v>
      </c>
    </row>
    <row r="7164" spans="1:10">
      <c r="A7164" s="2" t="s">
        <v>138</v>
      </c>
      <c r="B7164" s="2">
        <v>21</v>
      </c>
      <c r="C7164" s="2">
        <v>19.523099999999999</v>
      </c>
      <c r="D7164" s="60" t="s">
        <v>139</v>
      </c>
    </row>
    <row r="7165" spans="1:10">
      <c r="A7165" s="2" t="s">
        <v>140</v>
      </c>
      <c r="B7165" s="2">
        <v>0</v>
      </c>
      <c r="C7165" s="2">
        <v>47.762900000000002</v>
      </c>
      <c r="D7165" s="60">
        <v>37.308700000000002</v>
      </c>
    </row>
    <row r="7166" spans="1:10">
      <c r="A7166" s="2" t="s">
        <v>141</v>
      </c>
      <c r="B7166" s="2">
        <v>0</v>
      </c>
      <c r="C7166" s="2">
        <v>7</v>
      </c>
      <c r="D7166" s="60" t="s">
        <v>142</v>
      </c>
    </row>
    <row r="7167" spans="1:10">
      <c r="A7167" s="2" t="s">
        <v>141</v>
      </c>
      <c r="B7167" s="2">
        <v>0</v>
      </c>
      <c r="C7167" s="2">
        <v>23.3</v>
      </c>
      <c r="D7167" s="60" t="s">
        <v>143</v>
      </c>
    </row>
    <row r="7168" spans="1:10">
      <c r="A7168" s="2" t="s">
        <v>141</v>
      </c>
      <c r="B7168" s="2">
        <v>7</v>
      </c>
      <c r="C7168" s="2">
        <v>28.1</v>
      </c>
      <c r="D7168" s="60" t="s">
        <v>144</v>
      </c>
    </row>
    <row r="7169" spans="1:10">
      <c r="A7169" s="2" t="s">
        <v>141</v>
      </c>
      <c r="B7169" s="2">
        <v>23.3</v>
      </c>
      <c r="C7169" s="2">
        <v>28.1</v>
      </c>
      <c r="D7169" s="60" t="s">
        <v>146</v>
      </c>
    </row>
    <row r="7170" spans="1:10">
      <c r="A7170" s="2" t="s">
        <v>148</v>
      </c>
      <c r="B7170" s="2" t="s">
        <v>99</v>
      </c>
      <c r="C7170" s="2">
        <v>5.66515E-2</v>
      </c>
      <c r="D7170" s="60">
        <v>0</v>
      </c>
      <c r="E7170" s="2">
        <v>0</v>
      </c>
      <c r="F7170" s="2">
        <v>0.3</v>
      </c>
      <c r="G7170" s="2">
        <v>48.177999999999997</v>
      </c>
      <c r="H7170" s="2">
        <v>49.9377</v>
      </c>
      <c r="I7170" s="2">
        <v>0</v>
      </c>
      <c r="J7170" s="2">
        <v>0</v>
      </c>
    </row>
    <row r="7171" spans="1:10">
      <c r="A7171" s="2" t="s">
        <v>148</v>
      </c>
      <c r="B7171" s="2" t="s">
        <v>100</v>
      </c>
      <c r="C7171" s="2">
        <v>2.0131900000000001E-2</v>
      </c>
      <c r="D7171" s="60">
        <v>0</v>
      </c>
      <c r="E7171" s="2">
        <v>31.311800000000002</v>
      </c>
      <c r="F7171" s="2">
        <v>5.99695</v>
      </c>
      <c r="G7171" s="2">
        <v>0</v>
      </c>
      <c r="H7171" s="2">
        <v>10</v>
      </c>
      <c r="I7171" s="2">
        <v>0</v>
      </c>
      <c r="J7171" s="2">
        <v>0</v>
      </c>
    </row>
    <row r="7172" spans="1:10">
      <c r="A7172" s="2" t="s">
        <v>148</v>
      </c>
      <c r="B7172" s="2" t="s">
        <v>98</v>
      </c>
      <c r="C7172" s="2">
        <v>4.0428800000000001E-2</v>
      </c>
      <c r="D7172" s="60">
        <v>0</v>
      </c>
      <c r="E7172" s="2">
        <v>27.902999999999999</v>
      </c>
      <c r="F7172" s="2">
        <v>3.4087900000000002</v>
      </c>
      <c r="G7172" s="2">
        <v>10</v>
      </c>
      <c r="H7172" s="2">
        <v>14.478199999999999</v>
      </c>
      <c r="I7172" s="2">
        <v>0</v>
      </c>
      <c r="J7172" s="2">
        <v>0</v>
      </c>
    </row>
    <row r="7173" spans="1:10">
      <c r="A7173" s="2" t="s">
        <v>148</v>
      </c>
      <c r="B7173" s="2" t="s">
        <v>101</v>
      </c>
      <c r="C7173" s="2">
        <v>2.83098E-2</v>
      </c>
      <c r="D7173" s="60">
        <v>0</v>
      </c>
      <c r="E7173" s="2">
        <v>26.4</v>
      </c>
      <c r="F7173" s="2">
        <v>1.5</v>
      </c>
      <c r="G7173" s="2">
        <v>14.482200000000001</v>
      </c>
      <c r="H7173" s="2">
        <v>16.500499999999999</v>
      </c>
      <c r="I7173" s="2">
        <v>0</v>
      </c>
      <c r="J7173" s="2">
        <v>0</v>
      </c>
    </row>
    <row r="7174" spans="1:10">
      <c r="A7174" s="2" t="s">
        <v>148</v>
      </c>
      <c r="B7174" s="2" t="s">
        <v>61</v>
      </c>
      <c r="C7174" s="2">
        <v>0.19998299999999999</v>
      </c>
      <c r="D7174" s="60">
        <v>16.9985</v>
      </c>
      <c r="E7174" s="2">
        <v>20.399999999999999</v>
      </c>
      <c r="F7174" s="2">
        <v>6</v>
      </c>
      <c r="G7174" s="2">
        <v>16.500499999999999</v>
      </c>
      <c r="H7174" s="2">
        <v>24.332000000000001</v>
      </c>
      <c r="I7174" s="2">
        <v>0</v>
      </c>
      <c r="J7174" s="2">
        <v>0</v>
      </c>
    </row>
    <row r="7175" spans="1:10">
      <c r="A7175" s="2" t="s">
        <v>148</v>
      </c>
      <c r="B7175" s="2" t="s">
        <v>60</v>
      </c>
      <c r="C7175" s="2">
        <v>0.36580699999999999</v>
      </c>
      <c r="D7175" s="60">
        <v>32.922600000000003</v>
      </c>
      <c r="E7175" s="2">
        <v>14.4</v>
      </c>
      <c r="F7175" s="2">
        <v>6</v>
      </c>
      <c r="G7175" s="2">
        <v>24.332000000000001</v>
      </c>
      <c r="H7175" s="2">
        <v>31.008299999999998</v>
      </c>
      <c r="I7175" s="2">
        <v>0</v>
      </c>
      <c r="J7175" s="2">
        <v>0</v>
      </c>
    </row>
    <row r="7176" spans="1:10">
      <c r="A7176" s="2" t="s">
        <v>148</v>
      </c>
      <c r="B7176" s="2" t="s">
        <v>59</v>
      </c>
      <c r="C7176" s="2">
        <v>0.33961599999999997</v>
      </c>
      <c r="D7176" s="60">
        <v>33.961599999999997</v>
      </c>
      <c r="E7176" s="2">
        <v>10.4</v>
      </c>
      <c r="F7176" s="2">
        <v>4</v>
      </c>
      <c r="G7176" s="2">
        <v>31.008299999999998</v>
      </c>
      <c r="H7176" s="2">
        <v>34.607900000000001</v>
      </c>
      <c r="I7176" s="2">
        <v>0</v>
      </c>
      <c r="J7176" s="2">
        <v>0</v>
      </c>
    </row>
    <row r="7177" spans="1:10">
      <c r="A7177" s="2" t="s">
        <v>148</v>
      </c>
      <c r="B7177" s="2" t="s">
        <v>59</v>
      </c>
      <c r="C7177" s="2">
        <v>0.41141299999999997</v>
      </c>
      <c r="D7177" s="60">
        <v>41.141300000000001</v>
      </c>
      <c r="E7177" s="2">
        <v>6.4</v>
      </c>
      <c r="F7177" s="2">
        <v>4</v>
      </c>
      <c r="G7177" s="2">
        <v>34.607900000000001</v>
      </c>
      <c r="H7177" s="2">
        <v>37.696800000000003</v>
      </c>
      <c r="I7177" s="2">
        <v>0</v>
      </c>
      <c r="J7177" s="2">
        <v>0</v>
      </c>
    </row>
    <row r="7178" spans="1:10">
      <c r="A7178" s="2" t="s">
        <v>148</v>
      </c>
      <c r="B7178" s="2" t="s">
        <v>56</v>
      </c>
      <c r="C7178" s="2">
        <v>0.81265900000000002</v>
      </c>
      <c r="D7178" s="60">
        <v>113.77200000000001</v>
      </c>
      <c r="E7178" s="2">
        <v>0.3</v>
      </c>
      <c r="F7178" s="2">
        <v>6.1</v>
      </c>
      <c r="G7178" s="2">
        <v>37.696800000000003</v>
      </c>
      <c r="H7178" s="2">
        <v>48.177999999999997</v>
      </c>
      <c r="I7178" s="2">
        <v>0</v>
      </c>
      <c r="J7178" s="2">
        <v>0</v>
      </c>
    </row>
    <row r="7179" spans="1:10">
      <c r="A7179" s="2" t="s">
        <v>138</v>
      </c>
      <c r="B7179" s="2">
        <v>22</v>
      </c>
      <c r="C7179" s="2">
        <v>19.540900000000001</v>
      </c>
      <c r="D7179" s="60" t="s">
        <v>139</v>
      </c>
    </row>
    <row r="7180" spans="1:10">
      <c r="A7180" s="2" t="s">
        <v>140</v>
      </c>
      <c r="B7180" s="2">
        <v>0</v>
      </c>
      <c r="C7180" s="2">
        <v>48.509399999999999</v>
      </c>
      <c r="D7180" s="60">
        <v>37.159399999999998</v>
      </c>
    </row>
    <row r="7181" spans="1:10">
      <c r="A7181" s="2" t="s">
        <v>141</v>
      </c>
      <c r="B7181" s="2">
        <v>0</v>
      </c>
      <c r="C7181" s="2">
        <v>0.5</v>
      </c>
      <c r="D7181" s="60" t="s">
        <v>157</v>
      </c>
    </row>
    <row r="7182" spans="1:10">
      <c r="A7182" s="2" t="s">
        <v>141</v>
      </c>
      <c r="B7182" s="2">
        <v>0</v>
      </c>
      <c r="C7182" s="2">
        <v>6.9</v>
      </c>
      <c r="D7182" s="60" t="s">
        <v>142</v>
      </c>
    </row>
    <row r="7183" spans="1:10">
      <c r="A7183" s="2" t="s">
        <v>141</v>
      </c>
      <c r="B7183" s="2">
        <v>0</v>
      </c>
      <c r="C7183" s="2">
        <v>16</v>
      </c>
      <c r="D7183" s="60" t="s">
        <v>143</v>
      </c>
    </row>
    <row r="7184" spans="1:10">
      <c r="A7184" s="2" t="s">
        <v>141</v>
      </c>
      <c r="B7184" s="2">
        <v>6.9</v>
      </c>
      <c r="C7184" s="2">
        <v>16.399999999999999</v>
      </c>
      <c r="D7184" s="60" t="s">
        <v>144</v>
      </c>
    </row>
    <row r="7185" spans="1:10">
      <c r="A7185" s="2" t="s">
        <v>141</v>
      </c>
      <c r="B7185" s="2">
        <v>16</v>
      </c>
      <c r="C7185" s="2">
        <v>28</v>
      </c>
      <c r="D7185" s="60" t="s">
        <v>146</v>
      </c>
    </row>
    <row r="7186" spans="1:10">
      <c r="A7186" s="2" t="s">
        <v>141</v>
      </c>
      <c r="B7186" s="2">
        <v>16.399999999999999</v>
      </c>
      <c r="C7186" s="2">
        <v>19.8</v>
      </c>
      <c r="D7186" s="60" t="s">
        <v>145</v>
      </c>
    </row>
    <row r="7187" spans="1:10">
      <c r="A7187" s="2" t="s">
        <v>141</v>
      </c>
      <c r="B7187" s="2">
        <v>19.8</v>
      </c>
      <c r="C7187" s="2">
        <v>28</v>
      </c>
      <c r="D7187" s="60" t="s">
        <v>144</v>
      </c>
    </row>
    <row r="7188" spans="1:10">
      <c r="A7188" s="2" t="s">
        <v>148</v>
      </c>
      <c r="B7188" s="2" t="s">
        <v>99</v>
      </c>
      <c r="C7188" s="2">
        <v>5.8230999999999998E-2</v>
      </c>
      <c r="D7188" s="60">
        <v>0</v>
      </c>
      <c r="E7188" s="2">
        <v>0</v>
      </c>
      <c r="F7188" s="2">
        <v>0.3</v>
      </c>
      <c r="G7188" s="2">
        <v>48.841900000000003</v>
      </c>
      <c r="H7188" s="2">
        <v>50.632599999999996</v>
      </c>
      <c r="I7188" s="2">
        <v>0</v>
      </c>
      <c r="J7188" s="2">
        <v>0</v>
      </c>
    </row>
    <row r="7189" spans="1:10">
      <c r="A7189" s="2" t="s">
        <v>148</v>
      </c>
      <c r="B7189" s="2" t="s">
        <v>100</v>
      </c>
      <c r="C7189" s="2">
        <v>1.97594E-2</v>
      </c>
      <c r="D7189" s="60">
        <v>0</v>
      </c>
      <c r="E7189" s="2">
        <v>31.293600000000001</v>
      </c>
      <c r="F7189" s="2">
        <v>5.8657300000000001</v>
      </c>
      <c r="G7189" s="2">
        <v>0</v>
      </c>
      <c r="H7189" s="2">
        <v>10</v>
      </c>
      <c r="I7189" s="2">
        <v>0</v>
      </c>
      <c r="J7189" s="2">
        <v>0</v>
      </c>
    </row>
    <row r="7190" spans="1:10">
      <c r="A7190" s="2" t="s">
        <v>148</v>
      </c>
      <c r="B7190" s="2" t="s">
        <v>98</v>
      </c>
      <c r="C7190" s="2">
        <v>0.30120599999999997</v>
      </c>
      <c r="D7190" s="60">
        <v>0</v>
      </c>
      <c r="E7190" s="2">
        <v>19.805499999999999</v>
      </c>
      <c r="F7190" s="2">
        <v>11.488099999999999</v>
      </c>
      <c r="G7190" s="2">
        <v>10</v>
      </c>
      <c r="H7190" s="2">
        <v>25.308499999999999</v>
      </c>
      <c r="I7190" s="2">
        <v>0</v>
      </c>
      <c r="J7190" s="2">
        <v>0</v>
      </c>
    </row>
    <row r="7191" spans="1:10">
      <c r="A7191" s="2" t="s">
        <v>148</v>
      </c>
      <c r="B7191" s="2" t="s">
        <v>101</v>
      </c>
      <c r="C7191" s="2">
        <v>1.5597400000000001E-2</v>
      </c>
      <c r="D7191" s="60">
        <v>0</v>
      </c>
      <c r="E7191" s="2">
        <v>19.5</v>
      </c>
      <c r="F7191" s="2">
        <v>0.30548500000000001</v>
      </c>
      <c r="G7191" s="2">
        <v>25.308499999999999</v>
      </c>
      <c r="H7191" s="2">
        <v>25.684000000000001</v>
      </c>
      <c r="I7191" s="2">
        <v>0</v>
      </c>
      <c r="J7191" s="2">
        <v>0</v>
      </c>
    </row>
    <row r="7192" spans="1:10">
      <c r="A7192" s="2" t="s">
        <v>148</v>
      </c>
      <c r="B7192" s="2" t="s">
        <v>60</v>
      </c>
      <c r="C7192" s="2">
        <v>0.24725800000000001</v>
      </c>
      <c r="D7192" s="60">
        <v>22.253299999999999</v>
      </c>
      <c r="E7192" s="2">
        <v>15.5</v>
      </c>
      <c r="F7192" s="2">
        <v>4</v>
      </c>
      <c r="G7192" s="2">
        <v>25.684000000000001</v>
      </c>
      <c r="H7192" s="2">
        <v>30.249500000000001</v>
      </c>
      <c r="I7192" s="2">
        <v>0</v>
      </c>
      <c r="J7192" s="2">
        <v>0</v>
      </c>
    </row>
    <row r="7193" spans="1:10">
      <c r="A7193" s="2" t="s">
        <v>148</v>
      </c>
      <c r="B7193" s="2" t="s">
        <v>59</v>
      </c>
      <c r="C7193" s="2">
        <v>0.326903</v>
      </c>
      <c r="D7193" s="60">
        <v>32.690300000000001</v>
      </c>
      <c r="E7193" s="2">
        <v>11.5</v>
      </c>
      <c r="F7193" s="2">
        <v>4</v>
      </c>
      <c r="G7193" s="2">
        <v>30.249500000000001</v>
      </c>
      <c r="H7193" s="2">
        <v>34.110399999999998</v>
      </c>
      <c r="I7193" s="2">
        <v>0</v>
      </c>
      <c r="J7193" s="2">
        <v>0</v>
      </c>
    </row>
    <row r="7194" spans="1:10">
      <c r="A7194" s="2" t="s">
        <v>148</v>
      </c>
      <c r="B7194" s="2" t="s">
        <v>59</v>
      </c>
      <c r="C7194" s="2">
        <v>0.63073299999999999</v>
      </c>
      <c r="D7194" s="60">
        <v>63.073300000000003</v>
      </c>
      <c r="E7194" s="2">
        <v>5.5</v>
      </c>
      <c r="F7194" s="2">
        <v>6</v>
      </c>
      <c r="G7194" s="2">
        <v>34.110399999999998</v>
      </c>
      <c r="H7194" s="2">
        <v>38.902500000000003</v>
      </c>
      <c r="I7194" s="2">
        <v>0</v>
      </c>
      <c r="J7194" s="2">
        <v>0</v>
      </c>
    </row>
    <row r="7195" spans="1:10">
      <c r="A7195" s="2" t="s">
        <v>148</v>
      </c>
      <c r="B7195" s="2" t="s">
        <v>56</v>
      </c>
      <c r="C7195" s="2">
        <v>0.72975199999999996</v>
      </c>
      <c r="D7195" s="60">
        <v>102.16500000000001</v>
      </c>
      <c r="E7195" s="2">
        <v>0.3</v>
      </c>
      <c r="F7195" s="2">
        <v>5.2</v>
      </c>
      <c r="G7195" s="2">
        <v>38.902500000000003</v>
      </c>
      <c r="H7195" s="2">
        <v>48.841900000000003</v>
      </c>
      <c r="I7195" s="2">
        <v>0</v>
      </c>
      <c r="J7195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</dc:creator>
  <cp:keywords/>
  <dc:description/>
  <cp:lastModifiedBy>Guest User</cp:lastModifiedBy>
  <cp:revision/>
  <dcterms:created xsi:type="dcterms:W3CDTF">2014-05-17T02:52:00Z</dcterms:created>
  <dcterms:modified xsi:type="dcterms:W3CDTF">2026-09-02T20:25:48Z</dcterms:modified>
  <cp:category/>
  <cp:contentStatus/>
</cp:coreProperties>
</file>