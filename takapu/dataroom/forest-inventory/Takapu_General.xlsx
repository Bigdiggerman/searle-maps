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1"/>
  <workbookPr/>
  <mc:AlternateContent xmlns:mc="http://schemas.openxmlformats.org/markup-compatibility/2006">
    <mc:Choice Requires="x15">
      <x15ac:absPath xmlns:x15ac="http://schemas.microsoft.com/office/spreadsheetml/2010/11/ac" url="https://forestrysales-my.sharepoint.com/personal/warwick_forestrysales_co_nz/Documents/Properties/Takapu Forest/Dataroom/"/>
    </mc:Choice>
  </mc:AlternateContent>
  <xr:revisionPtr revIDLastSave="2" documentId="11_E30723E5FA1A1E1054644FA4D3AF3C2FD06A6032" xr6:coauthVersionLast="47" xr6:coauthVersionMax="47" xr10:uidLastSave="{0E23749E-0483-4E6A-9EC2-58342CF25752}"/>
  <bookViews>
    <workbookView xWindow="-120" yWindow="-120" windowWidth="29040" windowHeight="17520" xr2:uid="{00000000-000D-0000-FFFF-FFFF00000000}"/>
  </bookViews>
  <sheets>
    <sheet name="Rates" sheetId="1" r:id="rId1"/>
    <sheet name="ETS CAAs" sheetId="3" r:id="rId2"/>
    <sheet name="Area Table" sheetId="4" r:id="rId3"/>
  </sheets>
  <definedNames>
    <definedName name="_xlnm.Print_Area" localSheetId="1">'ETS CAAs'!$A$1:$D$15</definedName>
    <definedName name="_xlnm.Print_Area" localSheetId="0">Rates!$A$1:$G$14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F8" i="4"/>
  <c r="F9" i="4"/>
  <c r="F10" i="4"/>
  <c r="F6" i="4"/>
  <c r="E11" i="4"/>
  <c r="F11" i="4" s="1"/>
  <c r="E12" i="4"/>
  <c r="C12" i="4"/>
  <c r="F12" i="4" l="1"/>
  <c r="F13" i="1"/>
  <c r="E13" i="1"/>
  <c r="C13" i="1"/>
  <c r="C13" i="3" l="1"/>
  <c r="E11" i="1" l="1"/>
  <c r="D10" i="1"/>
  <c r="B7" i="1"/>
  <c r="B13" i="1" l="1"/>
  <c r="E8" i="1"/>
  <c r="D7" i="1"/>
  <c r="A2" i="4"/>
  <c r="A2" i="3"/>
  <c r="D13" i="1" l="1"/>
  <c r="E14" i="1"/>
  <c r="A1" i="1"/>
  <c r="A2" i="1"/>
  <c r="A1" i="3"/>
  <c r="A1" i="4"/>
</calcChain>
</file>

<file path=xl/sharedStrings.xml><?xml version="1.0" encoding="utf-8"?>
<sst xmlns="http://schemas.openxmlformats.org/spreadsheetml/2006/main" count="43" uniqueCount="37">
  <si>
    <t>Legal Description</t>
  </si>
  <si>
    <t>Ha</t>
  </si>
  <si>
    <t>Rates YE 30 June 2025</t>
  </si>
  <si>
    <t>Rates per Ha</t>
  </si>
  <si>
    <t>Land Value</t>
  </si>
  <si>
    <t>Capital Value</t>
  </si>
  <si>
    <t>Notes</t>
  </si>
  <si>
    <t>Lot 9 DP88281</t>
  </si>
  <si>
    <t>This area is across Takapu Road and was expected to be needed for logging trucks to access the main block.</t>
  </si>
  <si>
    <t>Lot 2 DP84654</t>
  </si>
  <si>
    <t>This area includes the clear land adjacent to Takapu Rd (east) of approx 7.5 ha that will be needed for access into the forest for harvesting. The land has potential for housing despite some issues (transmission lines, gas pipeline) and will be needed initially if/when harvesting occurs.</t>
  </si>
  <si>
    <t>Per ha</t>
  </si>
  <si>
    <t>Pt Sec 23 Secs 20 21 22 24 Horokiwi Dist Lot 4 DP50892 Subj to ESNTSDP 475638</t>
  </si>
  <si>
    <t>Overall the land value appears to be very optimistic.</t>
  </si>
  <si>
    <t>CAA</t>
  </si>
  <si>
    <t>Year</t>
  </si>
  <si>
    <t>Reg Ha</t>
  </si>
  <si>
    <t>FMA Plot Nos</t>
  </si>
  <si>
    <t>1,2,3</t>
  </si>
  <si>
    <t>4,5,6,7,8,9,10,11,12,13,14,15,16,17</t>
  </si>
  <si>
    <t>19,20,21,22,23,24,25,26,27,28,29,30</t>
  </si>
  <si>
    <t>31,32,33</t>
  </si>
  <si>
    <t>Stand</t>
  </si>
  <si>
    <t>Estabyr</t>
  </si>
  <si>
    <t>Nsa (ha)</t>
  </si>
  <si>
    <t>CAA1</t>
  </si>
  <si>
    <t>ETS Area</t>
  </si>
  <si>
    <t>Non-ETS Ha</t>
  </si>
  <si>
    <t>Tending</t>
  </si>
  <si>
    <t>Pruned and thinned</t>
  </si>
  <si>
    <t>CAA2</t>
  </si>
  <si>
    <t>CAA7</t>
  </si>
  <si>
    <t>Pre-1990</t>
  </si>
  <si>
    <t>Pruned variable old crop</t>
  </si>
  <si>
    <t>CAA6</t>
  </si>
  <si>
    <t>Unpruned, part-thinned, carbon forest</t>
  </si>
  <si>
    <t>CAA3,CAA4,CAA5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</si>
</sst>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
    <numFmt numFmtId="166" formatCode="0.0"/>
    <numFmt numFmtId="167" formatCode="#,##0.0"/>
  </numFmts>
  <fonts count="5">
    <font>
      <sz val="10"/>
      <name val="Arial"/>
    </font>
    <font>
      <sz val="11"/>
      <name val="Calibri"/>
      <family val="2"/>
      <scheme val="minor"/>
    </font>
    <font>
      <sz val="11"/>
      <name val="Verdana"/>
      <family val="2"/>
    </font>
    <font>
      <b/>
      <sz val="11"/>
      <name val="Verdana"/>
      <family val="2"/>
    </font>
    <font>
      <b/>
      <sz val="1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14" fontId="2" fillId="0" borderId="0" xfId="0" applyNumberFormat="1" applyFont="1"/>
    <xf numFmtId="0" fontId="2" fillId="0" borderId="1" xfId="0" applyFont="1" applyBorder="1"/>
    <xf numFmtId="0" fontId="2" fillId="0" borderId="1" xfId="0" applyFont="1" applyBorder="1" applyAlignment="1">
      <alignment wrapText="1"/>
    </xf>
    <xf numFmtId="164" fontId="2" fillId="0" borderId="1" xfId="0" applyNumberFormat="1" applyFont="1" applyBorder="1"/>
    <xf numFmtId="165" fontId="2" fillId="0" borderId="1" xfId="0" applyNumberFormat="1" applyFont="1" applyBorder="1"/>
    <xf numFmtId="0" fontId="3" fillId="2" borderId="1" xfId="0" applyFont="1" applyFill="1" applyBorder="1"/>
    <xf numFmtId="0" fontId="3" fillId="2" borderId="1" xfId="0" applyFont="1" applyFill="1" applyBorder="1" applyAlignment="1">
      <alignment wrapText="1"/>
    </xf>
    <xf numFmtId="0" fontId="2" fillId="0" borderId="0" xfId="0" applyFont="1" applyAlignment="1">
      <alignment horizontal="left"/>
    </xf>
    <xf numFmtId="14" fontId="2" fillId="0" borderId="0" xfId="0" applyNumberFormat="1" applyFont="1" applyAlignment="1">
      <alignment horizontal="left"/>
    </xf>
    <xf numFmtId="0" fontId="2" fillId="0" borderId="1" xfId="0" applyFont="1" applyBorder="1" applyAlignment="1">
      <alignment horizontal="left"/>
    </xf>
    <xf numFmtId="166" fontId="2" fillId="0" borderId="1" xfId="0" applyNumberFormat="1" applyFont="1" applyBorder="1"/>
    <xf numFmtId="0" fontId="3" fillId="2" borderId="1" xfId="0" applyFont="1" applyFill="1" applyBorder="1" applyAlignment="1">
      <alignment horizontal="left"/>
    </xf>
    <xf numFmtId="0" fontId="2" fillId="0" borderId="0" xfId="0" applyFont="1" applyAlignment="1">
      <alignment horizontal="center"/>
    </xf>
    <xf numFmtId="0" fontId="3" fillId="2" borderId="1" xfId="0" applyFont="1" applyFill="1" applyBorder="1" applyAlignment="1">
      <alignment horizontal="center"/>
    </xf>
    <xf numFmtId="0" fontId="2" fillId="0" borderId="1" xfId="0" applyFont="1" applyBorder="1" applyAlignment="1">
      <alignment horizontal="center"/>
    </xf>
    <xf numFmtId="0" fontId="3" fillId="2" borderId="1" xfId="0" applyFont="1" applyFill="1" applyBorder="1" applyAlignment="1">
      <alignment horizontal="center" wrapText="1"/>
    </xf>
    <xf numFmtId="0" fontId="1" fillId="0" borderId="0" xfId="0" applyFont="1" applyAlignment="1">
      <alignment horizontal="left"/>
    </xf>
    <xf numFmtId="14" fontId="1" fillId="0" borderId="0" xfId="0" applyNumberFormat="1" applyFont="1" applyAlignment="1">
      <alignment horizontal="left"/>
    </xf>
    <xf numFmtId="0" fontId="1" fillId="0" borderId="1" xfId="0" applyFont="1" applyBorder="1" applyAlignment="1">
      <alignment horizontal="left"/>
    </xf>
    <xf numFmtId="0" fontId="1" fillId="0" borderId="1" xfId="0" applyFont="1" applyBorder="1"/>
    <xf numFmtId="167" fontId="1" fillId="0" borderId="1" xfId="0" applyNumberFormat="1" applyFont="1" applyBorder="1"/>
    <xf numFmtId="0" fontId="4" fillId="2" borderId="1" xfId="0" applyFont="1" applyFill="1" applyBorder="1" applyAlignment="1">
      <alignment horizontal="left"/>
    </xf>
    <xf numFmtId="0" fontId="4" fillId="2" borderId="1" xfId="0" applyFont="1" applyFill="1" applyBorder="1"/>
    <xf numFmtId="0" fontId="4" fillId="2" borderId="1" xfId="0" applyFont="1" applyFill="1" applyBorder="1" applyAlignment="1">
      <alignment horizontal="center" wrapText="1"/>
    </xf>
    <xf numFmtId="14" fontId="2" fillId="0" borderId="0" xfId="0" applyNumberFormat="1" applyFont="1" applyAlignment="1">
      <alignment horizontal="left"/>
    </xf>
    <xf numFmtId="14"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5"/>
    <pageSetUpPr fitToPage="1"/>
  </sheetPr>
  <dimension ref="A1:G14"/>
  <sheetViews>
    <sheetView tabSelected="1" topLeftCell="A4" zoomScaleNormal="100" workbookViewId="0">
      <selection activeCell="B13" sqref="B13"/>
    </sheetView>
  </sheetViews>
  <sheetFormatPr defaultColWidth="11.5703125" defaultRowHeight="13.9" customHeight="1"/>
  <cols>
    <col min="1" max="1" width="20.5703125" style="2" customWidth="1"/>
    <col min="2" max="2" width="8.5703125" style="2" customWidth="1"/>
    <col min="3" max="3" width="15.140625" style="2" customWidth="1"/>
    <col min="4" max="4" width="10.140625" style="2" customWidth="1"/>
    <col min="5" max="5" width="14.28515625" style="2" customWidth="1"/>
    <col min="6" max="6" width="14.28515625" style="2" bestFit="1" customWidth="1"/>
    <col min="7" max="7" width="111.7109375" style="2" customWidth="1"/>
    <col min="8" max="16384" width="11.5703125" style="2"/>
  </cols>
  <sheetData>
    <row r="1" spans="1:7" ht="13.9" customHeight="1">
      <c r="A1" s="2" t="e">
        <f ca="1">CELL("filename",B1)</f>
        <v>#VALUE!</v>
      </c>
    </row>
    <row r="2" spans="1:7" ht="13.9" customHeight="1">
      <c r="A2" s="3">
        <f ca="1">NOW()</f>
        <v>46274.594616898146</v>
      </c>
    </row>
    <row r="4" spans="1:7" ht="46.15" customHeight="1">
      <c r="A4" s="8" t="s">
        <v>0</v>
      </c>
      <c r="B4" s="16" t="s">
        <v>1</v>
      </c>
      <c r="C4" s="18" t="s">
        <v>2</v>
      </c>
      <c r="D4" s="9" t="s">
        <v>3</v>
      </c>
      <c r="E4" s="8" t="s">
        <v>4</v>
      </c>
      <c r="F4" s="18" t="s">
        <v>5</v>
      </c>
      <c r="G4" s="18" t="s">
        <v>6</v>
      </c>
    </row>
    <row r="5" spans="1:7" ht="24" customHeight="1">
      <c r="A5" s="4" t="s">
        <v>7</v>
      </c>
      <c r="B5" s="4">
        <v>1.34</v>
      </c>
      <c r="C5" s="4"/>
      <c r="D5" s="4"/>
      <c r="E5" s="4"/>
      <c r="F5" s="4"/>
      <c r="G5" s="4" t="s">
        <v>8</v>
      </c>
    </row>
    <row r="6" spans="1:7" ht="53.45" customHeight="1">
      <c r="A6" s="4" t="s">
        <v>9</v>
      </c>
      <c r="B6" s="4">
        <v>36.44</v>
      </c>
      <c r="C6" s="4"/>
      <c r="D6" s="4"/>
      <c r="E6" s="4"/>
      <c r="F6" s="4"/>
      <c r="G6" s="5" t="s">
        <v>10</v>
      </c>
    </row>
    <row r="7" spans="1:7" ht="15" customHeight="1">
      <c r="A7" s="4"/>
      <c r="B7" s="4">
        <f>SUM(B5:B6)</f>
        <v>37.78</v>
      </c>
      <c r="C7" s="6">
        <v>5587.02</v>
      </c>
      <c r="D7" s="6">
        <f>C7/B7</f>
        <v>147.88300688194812</v>
      </c>
      <c r="E7" s="7">
        <v>1510000</v>
      </c>
      <c r="F7" s="7">
        <v>1540000</v>
      </c>
      <c r="G7" s="4"/>
    </row>
    <row r="8" spans="1:7" ht="15" customHeight="1">
      <c r="A8" s="4" t="s">
        <v>11</v>
      </c>
      <c r="B8" s="4"/>
      <c r="C8" s="4"/>
      <c r="D8" s="4"/>
      <c r="E8" s="6">
        <f>E7/B7</f>
        <v>39968.23716251985</v>
      </c>
      <c r="F8" s="4"/>
      <c r="G8" s="4"/>
    </row>
    <row r="9" spans="1:7" ht="13.9" customHeight="1">
      <c r="A9" s="4"/>
      <c r="B9" s="4"/>
      <c r="C9" s="4"/>
      <c r="D9" s="4"/>
      <c r="E9" s="4"/>
      <c r="F9" s="4"/>
      <c r="G9" s="4"/>
    </row>
    <row r="10" spans="1:7" ht="86.45" customHeight="1">
      <c r="A10" s="5" t="s">
        <v>12</v>
      </c>
      <c r="B10" s="4">
        <v>197.8416</v>
      </c>
      <c r="C10" s="6">
        <v>6952.43</v>
      </c>
      <c r="D10" s="6">
        <f>C10/B10</f>
        <v>35.141395945038859</v>
      </c>
      <c r="E10" s="7">
        <v>2280000</v>
      </c>
      <c r="F10" s="7">
        <v>2320000</v>
      </c>
      <c r="G10" s="4"/>
    </row>
    <row r="11" spans="1:7" ht="15" customHeight="1">
      <c r="A11" s="4" t="s">
        <v>11</v>
      </c>
      <c r="B11" s="4"/>
      <c r="C11" s="4"/>
      <c r="D11" s="4"/>
      <c r="E11" s="6">
        <f>E10/B10</f>
        <v>11524.371011961084</v>
      </c>
      <c r="F11" s="4"/>
      <c r="G11" s="4"/>
    </row>
    <row r="12" spans="1:7" ht="15" customHeight="1">
      <c r="A12" s="4"/>
      <c r="B12" s="4"/>
      <c r="C12" s="4"/>
      <c r="D12" s="4"/>
      <c r="E12" s="4"/>
      <c r="F12" s="4"/>
      <c r="G12" s="4"/>
    </row>
    <row r="13" spans="1:7" ht="15" customHeight="1">
      <c r="A13" s="4"/>
      <c r="B13" s="4">
        <f>B10+B7</f>
        <v>235.6216</v>
      </c>
      <c r="C13" s="6">
        <f>C10+C7</f>
        <v>12539.45</v>
      </c>
      <c r="D13" s="6">
        <f>C13/B13</f>
        <v>53.218592862454038</v>
      </c>
      <c r="E13" s="7">
        <f>E10+E7</f>
        <v>3790000</v>
      </c>
      <c r="F13" s="7">
        <f>F10+F7</f>
        <v>3860000</v>
      </c>
      <c r="G13" s="4"/>
    </row>
    <row r="14" spans="1:7" ht="21" customHeight="1">
      <c r="A14" s="4" t="s">
        <v>11</v>
      </c>
      <c r="B14" s="4"/>
      <c r="C14" s="4"/>
      <c r="D14" s="4"/>
      <c r="E14" s="6">
        <f>E13/B13</f>
        <v>16085.112740088345</v>
      </c>
      <c r="F14" s="4"/>
      <c r="G14" s="4" t="s">
        <v>13</v>
      </c>
    </row>
  </sheetData>
  <phoneticPr fontId="0" type="noConversion"/>
  <printOptions gridLines="1"/>
  <pageMargins left="0.78" right="0.74803149606299213" top="0.98425196850393704" bottom="0.98425196850393704" header="0.51181102362204722" footer="0.51181102362204722"/>
  <pageSetup paperSize="9" scale="69" orientation="landscape" r:id="rId1"/>
  <headerFooter alignWithMargins="0">
    <oddHeader>&amp;Z&amp;F&amp;RPage &amp;P</oddHeader>
    <oddFooter>&amp;L&amp;B Confidential&amp;B&amp;C&amp;D&amp;RPage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3"/>
    <pageSetUpPr fitToPage="1"/>
  </sheetPr>
  <dimension ref="A1:D13"/>
  <sheetViews>
    <sheetView zoomScaleNormal="100" workbookViewId="0"/>
  </sheetViews>
  <sheetFormatPr defaultColWidth="11.5703125" defaultRowHeight="13.9" customHeight="1"/>
  <cols>
    <col min="1" max="1" width="7.5703125" style="10" customWidth="1"/>
    <col min="2" max="2" width="7.7109375" style="15" customWidth="1"/>
    <col min="3" max="3" width="9.42578125" style="2" customWidth="1"/>
    <col min="4" max="4" width="39.7109375" style="2" customWidth="1"/>
    <col min="5" max="16384" width="11.5703125" style="2"/>
  </cols>
  <sheetData>
    <row r="1" spans="1:4" ht="13.9" customHeight="1">
      <c r="A1" s="10" t="e">
        <f ca="1">CELL("filename",B1)</f>
        <v>#VALUE!</v>
      </c>
    </row>
    <row r="2" spans="1:4" ht="13.9" customHeight="1">
      <c r="A2" s="27">
        <f ca="1">NOW()</f>
        <v>46274.594616898146</v>
      </c>
      <c r="B2" s="27"/>
    </row>
    <row r="3" spans="1:4" ht="13.9" customHeight="1">
      <c r="A3" s="11"/>
    </row>
    <row r="5" spans="1:4" ht="13.9" customHeight="1">
      <c r="A5" s="14" t="s">
        <v>14</v>
      </c>
      <c r="B5" s="16" t="s">
        <v>15</v>
      </c>
      <c r="C5" s="8" t="s">
        <v>16</v>
      </c>
      <c r="D5" s="8" t="s">
        <v>17</v>
      </c>
    </row>
    <row r="6" spans="1:4" ht="13.9" customHeight="1">
      <c r="A6" s="12">
        <v>1</v>
      </c>
      <c r="B6" s="17">
        <v>1995</v>
      </c>
      <c r="C6" s="13">
        <v>1</v>
      </c>
      <c r="D6" s="4"/>
    </row>
    <row r="7" spans="1:4" ht="13.9" customHeight="1">
      <c r="A7" s="12">
        <v>2</v>
      </c>
      <c r="B7" s="17">
        <v>1996</v>
      </c>
      <c r="C7" s="13">
        <v>13.2</v>
      </c>
      <c r="D7" s="4" t="s">
        <v>18</v>
      </c>
    </row>
    <row r="8" spans="1:4" ht="13.9" customHeight="1">
      <c r="A8" s="12">
        <v>3</v>
      </c>
      <c r="B8" s="17">
        <v>1994</v>
      </c>
      <c r="C8" s="13">
        <v>48.7</v>
      </c>
      <c r="D8" s="4" t="s">
        <v>19</v>
      </c>
    </row>
    <row r="9" spans="1:4" ht="13.9" customHeight="1">
      <c r="A9" s="12">
        <v>4</v>
      </c>
      <c r="B9" s="17">
        <v>1994</v>
      </c>
      <c r="C9" s="13">
        <v>9.6</v>
      </c>
      <c r="D9" s="12">
        <v>18</v>
      </c>
    </row>
    <row r="10" spans="1:4" ht="13.9" customHeight="1">
      <c r="A10" s="12">
        <v>5</v>
      </c>
      <c r="B10" s="17">
        <v>1994</v>
      </c>
      <c r="C10" s="13">
        <v>1.4</v>
      </c>
      <c r="D10" s="4"/>
    </row>
    <row r="11" spans="1:4" ht="13.9" customHeight="1">
      <c r="A11" s="12">
        <v>6</v>
      </c>
      <c r="B11" s="17">
        <v>1995</v>
      </c>
      <c r="C11" s="13">
        <v>49.9</v>
      </c>
      <c r="D11" s="4" t="s">
        <v>20</v>
      </c>
    </row>
    <row r="12" spans="1:4" ht="13.9" customHeight="1">
      <c r="A12" s="12">
        <v>7</v>
      </c>
      <c r="B12" s="17">
        <v>1995</v>
      </c>
      <c r="C12" s="13">
        <v>10</v>
      </c>
      <c r="D12" s="4" t="s">
        <v>21</v>
      </c>
    </row>
    <row r="13" spans="1:4" ht="13.9" customHeight="1">
      <c r="A13" s="12"/>
      <c r="B13" s="17"/>
      <c r="C13" s="13">
        <f>SUM(C6:C12)</f>
        <v>133.80000000000001</v>
      </c>
      <c r="D13" s="4"/>
    </row>
  </sheetData>
  <mergeCells count="1">
    <mergeCell ref="A2:B2"/>
  </mergeCells>
  <phoneticPr fontId="0" type="noConversion"/>
  <printOptions gridLines="1"/>
  <pageMargins left="0.9" right="0.74803149606299213" top="0.98425196850393704" bottom="0.98425196850393704" header="0.51181102362204722" footer="0.51181102362204722"/>
  <pageSetup paperSize="9" orientation="portrait" r:id="rId1"/>
  <headerFooter alignWithMargins="0">
    <oddHeader>&amp;Z&amp;F</oddHeader>
    <oddFooter>&amp;L&amp;B Confidential&amp;B&amp;C&amp;D&amp;RPage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33"/>
    <pageSetUpPr fitToPage="1"/>
  </sheetPr>
  <dimension ref="A1:G12"/>
  <sheetViews>
    <sheetView zoomScaleNormal="100" workbookViewId="0"/>
  </sheetViews>
  <sheetFormatPr defaultColWidth="11.5703125" defaultRowHeight="13.9" customHeight="1"/>
  <cols>
    <col min="1" max="1" width="7.5703125" style="19" customWidth="1"/>
    <col min="2" max="2" width="8" style="1" customWidth="1"/>
    <col min="3" max="3" width="8.7109375" style="1" customWidth="1"/>
    <col min="4" max="4" width="15.28515625" style="1" customWidth="1"/>
    <col min="5" max="5" width="7.5703125" style="1" customWidth="1"/>
    <col min="6" max="6" width="8.5703125" style="1" customWidth="1"/>
    <col min="7" max="7" width="32.7109375" style="1" customWidth="1"/>
    <col min="8" max="16384" width="11.5703125" style="1"/>
  </cols>
  <sheetData>
    <row r="1" spans="1:7" ht="13.9" customHeight="1">
      <c r="A1" s="19" t="e">
        <f ca="1">CELL("filename",B1)</f>
        <v>#VALUE!</v>
      </c>
    </row>
    <row r="2" spans="1:7" ht="13.9" customHeight="1">
      <c r="A2" s="28">
        <f ca="1">NOW()</f>
        <v>46274.594616898146</v>
      </c>
      <c r="B2" s="28"/>
    </row>
    <row r="3" spans="1:7" ht="13.9" customHeight="1">
      <c r="A3" s="20"/>
    </row>
    <row r="5" spans="1:7" ht="30">
      <c r="A5" s="24" t="s">
        <v>22</v>
      </c>
      <c r="B5" s="25" t="s">
        <v>23</v>
      </c>
      <c r="C5" s="25" t="s">
        <v>24</v>
      </c>
      <c r="D5" s="25" t="s">
        <v>25</v>
      </c>
      <c r="E5" s="26" t="s">
        <v>26</v>
      </c>
      <c r="F5" s="26" t="s">
        <v>27</v>
      </c>
      <c r="G5" s="25" t="s">
        <v>28</v>
      </c>
    </row>
    <row r="6" spans="1:7" ht="13.9" customHeight="1">
      <c r="A6" s="21">
        <v>951</v>
      </c>
      <c r="B6" s="22">
        <v>1995</v>
      </c>
      <c r="C6" s="23">
        <v>1.4</v>
      </c>
      <c r="D6" s="22" t="s">
        <v>25</v>
      </c>
      <c r="E6" s="23">
        <v>1</v>
      </c>
      <c r="F6" s="23">
        <f>C6-E6</f>
        <v>0.39999999999999991</v>
      </c>
      <c r="G6" s="22" t="s">
        <v>29</v>
      </c>
    </row>
    <row r="7" spans="1:7" ht="13.9" customHeight="1">
      <c r="A7" s="21">
        <v>961</v>
      </c>
      <c r="B7" s="22">
        <v>1996</v>
      </c>
      <c r="C7" s="23">
        <v>13.4</v>
      </c>
      <c r="D7" s="22" t="s">
        <v>30</v>
      </c>
      <c r="E7" s="23">
        <v>13.2</v>
      </c>
      <c r="F7" s="23">
        <f t="shared" ref="F7:F11" si="0">C7-E7</f>
        <v>0.20000000000000107</v>
      </c>
      <c r="G7" s="22" t="s">
        <v>29</v>
      </c>
    </row>
    <row r="8" spans="1:7" ht="13.9" customHeight="1">
      <c r="A8" s="21">
        <v>952</v>
      </c>
      <c r="B8" s="22">
        <v>1995</v>
      </c>
      <c r="C8" s="23">
        <v>12.2</v>
      </c>
      <c r="D8" s="22" t="s">
        <v>31</v>
      </c>
      <c r="E8" s="23">
        <v>10</v>
      </c>
      <c r="F8" s="23">
        <f t="shared" si="0"/>
        <v>2.1999999999999993</v>
      </c>
      <c r="G8" s="22" t="s">
        <v>29</v>
      </c>
    </row>
    <row r="9" spans="1:7" ht="13.9" customHeight="1">
      <c r="A9" s="21">
        <v>84</v>
      </c>
      <c r="B9" s="22">
        <v>1984</v>
      </c>
      <c r="C9" s="23">
        <v>25</v>
      </c>
      <c r="D9" s="22" t="s">
        <v>32</v>
      </c>
      <c r="E9" s="23">
        <v>0</v>
      </c>
      <c r="F9" s="23">
        <f t="shared" si="0"/>
        <v>25</v>
      </c>
      <c r="G9" s="22" t="s">
        <v>33</v>
      </c>
    </row>
    <row r="10" spans="1:7" ht="13.9" customHeight="1">
      <c r="A10" s="21">
        <v>953</v>
      </c>
      <c r="B10" s="22">
        <v>1995</v>
      </c>
      <c r="C10" s="23">
        <v>60.6</v>
      </c>
      <c r="D10" s="22" t="s">
        <v>34</v>
      </c>
      <c r="E10" s="23">
        <v>49.9</v>
      </c>
      <c r="F10" s="23">
        <f t="shared" si="0"/>
        <v>10.700000000000003</v>
      </c>
      <c r="G10" s="22" t="s">
        <v>35</v>
      </c>
    </row>
    <row r="11" spans="1:7" ht="13.9" customHeight="1">
      <c r="A11" s="21">
        <v>943</v>
      </c>
      <c r="B11" s="22">
        <v>1994</v>
      </c>
      <c r="C11" s="23">
        <v>62.1</v>
      </c>
      <c r="D11" s="22" t="s">
        <v>36</v>
      </c>
      <c r="E11" s="23">
        <f>48.7+9.6+1.4</f>
        <v>59.7</v>
      </c>
      <c r="F11" s="23">
        <f t="shared" si="0"/>
        <v>2.3999999999999986</v>
      </c>
      <c r="G11" s="22" t="s">
        <v>35</v>
      </c>
    </row>
    <row r="12" spans="1:7" ht="13.9" customHeight="1">
      <c r="A12" s="21"/>
      <c r="B12" s="22"/>
      <c r="C12" s="23">
        <f>SUM(C6:C11)</f>
        <v>174.7</v>
      </c>
      <c r="D12" s="22"/>
      <c r="E12" s="23">
        <f>SUM(E6:E11)</f>
        <v>133.80000000000001</v>
      </c>
      <c r="F12" s="23">
        <f>SUM(F6:F11)</f>
        <v>40.9</v>
      </c>
      <c r="G12" s="22"/>
    </row>
  </sheetData>
  <mergeCells count="1">
    <mergeCell ref="A2:B2"/>
  </mergeCells>
  <phoneticPr fontId="0" type="noConversion"/>
  <printOptions gridLines="1"/>
  <pageMargins left="1.1417322834645669" right="0.74803149606299213" top="0.98425196850393704" bottom="0.98425196850393704" header="0.51181102362204722" footer="0.51181102362204722"/>
  <pageSetup paperSize="9" orientation="portrait" r:id="rId1"/>
  <headerFooter alignWithMargins="0">
    <oddHeader>&amp;Z&amp;F&amp;RPage &amp;P</oddHeader>
    <oddFooter>&amp;L&amp;B Confidential&amp;B&amp;C&amp;D&amp;RPage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bellac@xtra.co.nz</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 Bell</dc:creator>
  <cp:keywords/>
  <dc:description/>
  <cp:lastModifiedBy>Guest User</cp:lastModifiedBy>
  <cp:revision/>
  <dcterms:created xsi:type="dcterms:W3CDTF">2004-01-29T20:14:00Z</dcterms:created>
  <dcterms:modified xsi:type="dcterms:W3CDTF">2026-09-09T02:19:08Z</dcterms:modified>
  <cp:category/>
  <cp:contentStatus/>
</cp:coreProperties>
</file>