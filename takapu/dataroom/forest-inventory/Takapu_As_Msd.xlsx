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EETS\"/>
    </mc:Choice>
  </mc:AlternateContent>
  <xr:revisionPtr revIDLastSave="0" documentId="11_F41329F51C4B46430394483F45D55A4B482EECA3" xr6:coauthVersionLast="47" xr6:coauthVersionMax="47" xr10:uidLastSave="{00000000-0000-0000-0000-000000000000}"/>
  <bookViews>
    <workbookView xWindow="-108" yWindow="-108" windowWidth="19416" windowHeight="10416" firstSheet="1" activeTab="1" xr2:uid="{00000000-000D-0000-FFFF-FFFF00000000}"/>
  </bookViews>
  <sheets>
    <sheet name="File Details &amp; Disclaimer" sheetId="10" r:id="rId1"/>
    <sheet name="All Plots" sheetId="8" r:id="rId2"/>
    <sheet name="YTGen Run Details" sheetId="9" r:id="rId3"/>
  </sheets>
  <definedNames>
    <definedName name="_xlnm._FilterDatabase" localSheetId="1" hidden="1">'All Plots'!$A$3:$AC$3</definedName>
    <definedName name="_xlnm._FilterDatabase" localSheetId="0" hidden="1">'File Details &amp; Disclaimer'!$A$1:$T$3818</definedName>
    <definedName name="_xlnm._FilterDatabase" localSheetId="2" hidden="1">'YTGen Run Details'!$A$1:$T$3808</definedName>
    <definedName name="BI_2001">'File Details &amp; Disclaimer'!$G$39</definedName>
    <definedName name="ExternalData_1" localSheetId="0" hidden="1">'File Details &amp; Disclaimer'!$A$102:$A$114</definedName>
    <definedName name="_xlnm.Print_Area" localSheetId="1">'All Plots'!$A$1:$AE$19</definedName>
    <definedName name="_xlnm.Print_Area" localSheetId="0">'File Details &amp; Disclaimer'!$A$1:$F$56</definedName>
    <definedName name="stan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0" l="1"/>
  <c r="B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ONTH" description="Connection to the 'MONTH' query in the workbook." type="5" refreshedVersion="6" background="1">
    <dbPr connection="Provider=Microsoft.Mashup.OleDb.1;Data Source=$Workbook$;Location=MONTH;Extended Properties=&quot;&quot;" command="SELECT * FROM [MONTH]"/>
  </connection>
  <connection id="2" xr16:uid="{00000000-0015-0000-FFFF-FFFF01000000}" keepAlive="1" name="Query - MONTH (2)" description="Connection to the 'MONTH (2)' query in the workbook." type="5" refreshedVersion="6" background="1" saveData="1">
    <dbPr connection="Provider=Microsoft.Mashup.OleDb.1;Data Source=$Workbook$;Location=&quot;MONTH (2)&quot;;Extended Properties=&quot;&quot;" command="SELECT * FROM [MONTH (2)]"/>
  </connection>
</connections>
</file>

<file path=xl/sharedStrings.xml><?xml version="1.0" encoding="utf-8"?>
<sst xmlns="http://schemas.openxmlformats.org/spreadsheetml/2006/main" count="650" uniqueCount="247">
  <si>
    <t>This file</t>
  </si>
  <si>
    <t>Processing Date</t>
  </si>
  <si>
    <t>FOREST</t>
  </si>
  <si>
    <t>Yield Request (.ytl)</t>
  </si>
  <si>
    <t>Plotsafe File (fi2)</t>
  </si>
  <si>
    <t>Marvl Data (.xlsx)</t>
  </si>
  <si>
    <t>Population/s (.ytf)</t>
  </si>
  <si>
    <t>Measurement Date</t>
  </si>
  <si>
    <t>Compt/Stand</t>
  </si>
  <si>
    <t>Stratum</t>
  </si>
  <si>
    <t>Estab Year</t>
  </si>
  <si>
    <t>Nsa (ha)</t>
  </si>
  <si>
    <t>No of Plots</t>
  </si>
  <si>
    <t>Plot Size (ha)</t>
  </si>
  <si>
    <t>Cut Plan (.yts)</t>
  </si>
  <si>
    <t>Domain Used</t>
  </si>
  <si>
    <t>Volume Table</t>
  </si>
  <si>
    <t>V182</t>
  </si>
  <si>
    <t>Growth Model</t>
  </si>
  <si>
    <t>Taper Table</t>
  </si>
  <si>
    <t>bi2001.p.radiata</t>
  </si>
  <si>
    <t>Drift Factor</t>
  </si>
  <si>
    <t>n/a</t>
  </si>
  <si>
    <t>Breakage Table</t>
  </si>
  <si>
    <t>B001</t>
  </si>
  <si>
    <t>Inventory Provider</t>
  </si>
  <si>
    <t>Processed By</t>
  </si>
  <si>
    <t>Alan Bell +64 27 444 7779  bellac@xtra.co.nz</t>
  </si>
  <si>
    <t>Backup Location</t>
  </si>
  <si>
    <t>Disclaimer</t>
  </si>
  <si>
    <t>These results have been derived from field measurements undertaken independently by an inventory provider.</t>
  </si>
  <si>
    <t>Alan Bell &amp; Associates has endeavoured to present the most appropriate and accurate analysis of this field</t>
  </si>
  <si>
    <t>data but does not guarantee that the results will necessarily be representative or achieveable. All inventory results</t>
  </si>
  <si>
    <t>have associated limits of error and you should ensure this is taken into account when using these results.</t>
  </si>
  <si>
    <t>Glossary</t>
  </si>
  <si>
    <t>Refers to Absolute Summary Tab</t>
  </si>
  <si>
    <t>*</t>
  </si>
  <si>
    <t>Refers to Stratum or Population Mean</t>
  </si>
  <si>
    <t>EP</t>
  </si>
  <si>
    <t>Refers to individual plot results</t>
  </si>
  <si>
    <t>EX</t>
  </si>
  <si>
    <t>Refers to Stratum level results</t>
  </si>
  <si>
    <t>EY</t>
  </si>
  <si>
    <t>Refers to Population results</t>
  </si>
  <si>
    <t>ID</t>
  </si>
  <si>
    <t>Identifier indicates whether the row refers to plot, stratum or population.</t>
  </si>
  <si>
    <t>Forest</t>
  </si>
  <si>
    <t>Name of Yield Request</t>
  </si>
  <si>
    <t>Name of Stratum or Population</t>
  </si>
  <si>
    <t>Numeric stratum number</t>
  </si>
  <si>
    <t>Plot</t>
  </si>
  <si>
    <t>Plot number</t>
  </si>
  <si>
    <t>Age</t>
  </si>
  <si>
    <t>Age in years when predicted/measured</t>
  </si>
  <si>
    <t>BA</t>
  </si>
  <si>
    <t>Basal Area m2/ha</t>
  </si>
  <si>
    <t>MTH</t>
  </si>
  <si>
    <t>Mean top height m</t>
  </si>
  <si>
    <t>SPH</t>
  </si>
  <si>
    <t>Stems/ha</t>
  </si>
  <si>
    <t>TSV</t>
  </si>
  <si>
    <t>Total stem volume m3/ha</t>
  </si>
  <si>
    <t>TRV</t>
  </si>
  <si>
    <t>Total Recoverable volume m3/ha</t>
  </si>
  <si>
    <t>SD TRV</t>
  </si>
  <si>
    <t>Standard Error of TRV at 95% confidence level</t>
  </si>
  <si>
    <t>Plots</t>
  </si>
  <si>
    <t>Number of plots.</t>
  </si>
  <si>
    <t>Stocked Plots</t>
  </si>
  <si>
    <t>Number of stocked plots.</t>
  </si>
  <si>
    <t>Priority</t>
  </si>
  <si>
    <t>Gross Revenue/ha based on $/m3 entered in log cutting strategy - only useful for comparison purposes.</t>
  </si>
  <si>
    <t>STD value</t>
  </si>
  <si>
    <t>Standard error of Value at 95% confidence level</t>
  </si>
  <si>
    <t>x</t>
  </si>
  <si>
    <t>Merch Stems</t>
  </si>
  <si>
    <t>Merch stems - each fork is a stem so may be higher than stems/ha</t>
  </si>
  <si>
    <t>CL on TRV</t>
  </si>
  <si>
    <t>95% confidence interval as a % of the mean for TRV</t>
  </si>
  <si>
    <t>Piece  m3</t>
  </si>
  <si>
    <t>Piece size = TRV divided by Merch stems</t>
  </si>
  <si>
    <t>Formula for Dbh (cm)</t>
  </si>
  <si>
    <t>Dbh = SQRT((BasalArea/(.00007854*stocking)))</t>
  </si>
  <si>
    <t>Insert this formula to the left of column H and copy down to show calculated Dbh.</t>
  </si>
  <si>
    <t>BA Formula</t>
  </si>
  <si>
    <t>Column1</t>
  </si>
  <si>
    <t>Data Validation</t>
  </si>
  <si>
    <t>FIL2000</t>
  </si>
  <si>
    <t>ISAAC FOREST INVENTORY</t>
  </si>
  <si>
    <t>PINETECH_PACIFIC</t>
  </si>
  <si>
    <t>FOREST &amp; WOODLOT</t>
  </si>
  <si>
    <t>LOGIC SOLUTIONS</t>
  </si>
  <si>
    <t>ABA</t>
  </si>
  <si>
    <t>SCOULSTON</t>
  </si>
  <si>
    <t>FMNZ</t>
  </si>
  <si>
    <t>INTERPINE</t>
  </si>
  <si>
    <t>BUCK FS</t>
  </si>
  <si>
    <t>EXOTIC FOREST ASSESSMENTS</t>
  </si>
  <si>
    <t>Tony Caird</t>
  </si>
  <si>
    <t>CASEY ROPER</t>
  </si>
  <si>
    <t>WOODNET</t>
  </si>
  <si>
    <t>FORESTRYCO</t>
  </si>
  <si>
    <t>RAD05</t>
  </si>
  <si>
    <t>RAD05A</t>
  </si>
  <si>
    <t>RAD06</t>
  </si>
  <si>
    <t>RAD06A</t>
  </si>
  <si>
    <t>ABA2004</t>
  </si>
  <si>
    <t>LENAH</t>
  </si>
  <si>
    <t>300Index</t>
  </si>
  <si>
    <t>No Growth</t>
  </si>
  <si>
    <t>ClaysFert</t>
  </si>
  <si>
    <t>Sands</t>
  </si>
  <si>
    <t>SIDFIR_S</t>
  </si>
  <si>
    <t>NapiRad</t>
  </si>
  <si>
    <t>TWC</t>
  </si>
  <si>
    <t>SGM3</t>
  </si>
  <si>
    <t>NM90</t>
  </si>
  <si>
    <t>South_I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</si>
  <si>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</si>
  <si>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</si>
  <si>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</si>
  <si>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</si>
  <si>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</si>
  <si>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</si>
  <si>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</si>
  <si>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</si>
  <si>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</si>
  <si>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</si>
  <si>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</si>
  <si>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</si>
  <si>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P40</t>
  </si>
  <si>
    <t>P30</t>
  </si>
  <si>
    <t>A40</t>
  </si>
  <si>
    <t>A30</t>
  </si>
  <si>
    <t>K</t>
  </si>
  <si>
    <t>KI</t>
  </si>
  <si>
    <t>KIS</t>
  </si>
  <si>
    <t>Pulp</t>
  </si>
  <si>
    <t xml:space="preserve">C:\SHEETS\[Takapu_As_Msd.xlsx]Imported </t>
  </si>
  <si>
    <t>Predicted Volumes By Log Grade (m3/ha)</t>
  </si>
  <si>
    <t>POP = overall Mean</t>
  </si>
  <si>
    <t>* = Mean</t>
  </si>
  <si>
    <t>Yrs</t>
  </si>
  <si>
    <t>m2/ha</t>
  </si>
  <si>
    <t xml:space="preserve">m </t>
  </si>
  <si>
    <t>sph</t>
  </si>
  <si>
    <t>m3/ha</t>
  </si>
  <si>
    <t>per ha</t>
  </si>
  <si>
    <t>%</t>
  </si>
  <si>
    <t>m3</t>
  </si>
  <si>
    <t>Inventory Run  .ytl</t>
  </si>
  <si>
    <t>Inventory File   .ytf</t>
  </si>
  <si>
    <t>SE TRV</t>
  </si>
  <si>
    <t>Cutting Priority</t>
  </si>
  <si>
    <t>Area</t>
  </si>
  <si>
    <t>Piece</t>
  </si>
  <si>
    <t>aP40</t>
  </si>
  <si>
    <t>bP30</t>
  </si>
  <si>
    <t>cA40</t>
  </si>
  <si>
    <t>dA30</t>
  </si>
  <si>
    <t>eK</t>
  </si>
  <si>
    <t>fKI</t>
  </si>
  <si>
    <t>gKIS</t>
  </si>
  <si>
    <t>hPulp</t>
  </si>
  <si>
    <t>Takapu_West</t>
  </si>
  <si>
    <t>Taka_west_9596</t>
  </si>
  <si>
    <t>S95.1</t>
  </si>
  <si>
    <t>W15</t>
  </si>
  <si>
    <t>1.79769e+308</t>
  </si>
  <si>
    <t>S95.2</t>
  </si>
  <si>
    <t>W10</t>
  </si>
  <si>
    <t>W11</t>
  </si>
  <si>
    <t>W17</t>
  </si>
  <si>
    <t>W18</t>
  </si>
  <si>
    <t>W19</t>
  </si>
  <si>
    <t>W20</t>
  </si>
  <si>
    <t>W25</t>
  </si>
  <si>
    <t>W9</t>
  </si>
  <si>
    <t>S96.1</t>
  </si>
  <si>
    <t>W1</t>
  </si>
  <si>
    <t>W12</t>
  </si>
  <si>
    <t>W13</t>
  </si>
  <si>
    <t>W14</t>
  </si>
  <si>
    <t>W2</t>
  </si>
  <si>
    <t>W3</t>
  </si>
  <si>
    <t>W4</t>
  </si>
  <si>
    <t>W6</t>
  </si>
  <si>
    <t>W7</t>
  </si>
  <si>
    <t>W8</t>
  </si>
  <si>
    <t>Taka_west_84CW</t>
  </si>
  <si>
    <t>S84</t>
  </si>
  <si>
    <t>W16</t>
  </si>
  <si>
    <t>W21</t>
  </si>
  <si>
    <t>W22</t>
  </si>
  <si>
    <t>W24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</si>
  <si>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</si>
  <si>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</si>
  <si>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</si>
  <si>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</si>
  <si>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</si>
  <si>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</si>
  <si>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</si>
  <si>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</si>
  <si>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</si>
  <si>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</si>
  <si>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</si>
  <si>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</si>
  <si>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W39</t>
  </si>
  <si>
    <t>W40</t>
  </si>
  <si>
    <t>Taka_West_95UT</t>
  </si>
  <si>
    <t>S95UT</t>
  </si>
  <si>
    <t>W38</t>
  </si>
  <si>
    <t>Taka_East_94T</t>
  </si>
  <si>
    <t>S94.3T</t>
  </si>
  <si>
    <t>E34</t>
  </si>
  <si>
    <t>E39</t>
  </si>
  <si>
    <t>E40</t>
  </si>
  <si>
    <t>Taka_East_9495</t>
  </si>
  <si>
    <t>S94.3</t>
  </si>
  <si>
    <t>E25</t>
  </si>
  <si>
    <t>E29</t>
  </si>
  <si>
    <t>E36</t>
  </si>
  <si>
    <t>E37</t>
  </si>
  <si>
    <t>E41</t>
  </si>
  <si>
    <t>E42</t>
  </si>
  <si>
    <t>E43</t>
  </si>
  <si>
    <t>E47</t>
  </si>
  <si>
    <t>E50</t>
  </si>
  <si>
    <t>E51</t>
  </si>
  <si>
    <t>E52</t>
  </si>
  <si>
    <t>E53</t>
  </si>
  <si>
    <t>E54</t>
  </si>
  <si>
    <t>E55</t>
  </si>
  <si>
    <t>E59</t>
  </si>
  <si>
    <t>S95.3</t>
  </si>
  <si>
    <t>E1</t>
  </si>
  <si>
    <t>E11</t>
  </si>
  <si>
    <t>E14</t>
  </si>
  <si>
    <t>E18</t>
  </si>
  <si>
    <t>E19</t>
  </si>
  <si>
    <t>E20</t>
  </si>
  <si>
    <t>E26</t>
  </si>
  <si>
    <t>E27</t>
  </si>
  <si>
    <t>E31</t>
  </si>
  <si>
    <t>E33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</si>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</sst>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%"/>
    <numFmt numFmtId="166" formatCode="0.0"/>
    <numFmt numFmtId="167" formatCode="0.000"/>
    <numFmt numFmtId="168" formatCode="_-* #,##0_-;\-* #,##0_-;_-* &quot;-&quot;??_-;_-@_-"/>
    <numFmt numFmtId="169" formatCode="0_ ;\-0\ "/>
  </numFmts>
  <fonts count="27">
    <font>
      <sz val="10"/>
      <color theme="1"/>
      <name val="Arial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2" applyNumberFormat="0" applyAlignment="0" applyProtection="0"/>
    <xf numFmtId="0" fontId="14" fillId="0" borderId="7" applyNumberFormat="0" applyFill="0" applyAlignment="0" applyProtection="0"/>
    <xf numFmtId="0" fontId="15" fillId="31" borderId="0" applyNumberFormat="0" applyBorder="0" applyAlignment="0" applyProtection="0"/>
    <xf numFmtId="0" fontId="3" fillId="32" borderId="8" applyNumberFormat="0" applyFont="0" applyAlignment="0" applyProtection="0"/>
    <xf numFmtId="0" fontId="16" fillId="2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94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left"/>
    </xf>
    <xf numFmtId="3" fontId="21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left"/>
    </xf>
    <xf numFmtId="0" fontId="22" fillId="0" borderId="1" xfId="0" applyFont="1" applyBorder="1"/>
    <xf numFmtId="0" fontId="23" fillId="0" borderId="1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0" fillId="0" borderId="17" xfId="0" applyBorder="1"/>
    <xf numFmtId="0" fontId="20" fillId="0" borderId="1" xfId="0" applyFont="1" applyBorder="1" applyAlignment="1">
      <alignment horizontal="center"/>
    </xf>
    <xf numFmtId="0" fontId="25" fillId="34" borderId="1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3" fillId="33" borderId="1" xfId="0" applyFont="1" applyFill="1" applyBorder="1" applyAlignment="1">
      <alignment horizontal="center" vertical="top"/>
    </xf>
    <xf numFmtId="0" fontId="24" fillId="33" borderId="1" xfId="0" applyFont="1" applyFill="1" applyBorder="1" applyAlignment="1">
      <alignment horizontal="left"/>
    </xf>
    <xf numFmtId="0" fontId="23" fillId="35" borderId="14" xfId="0" applyFont="1" applyFill="1" applyBorder="1" applyAlignment="1">
      <alignment horizontal="left"/>
    </xf>
    <xf numFmtId="0" fontId="23" fillId="35" borderId="15" xfId="0" applyFont="1" applyFill="1" applyBorder="1"/>
    <xf numFmtId="0" fontId="23" fillId="35" borderId="22" xfId="0" applyFont="1" applyFill="1" applyBorder="1"/>
    <xf numFmtId="3" fontId="23" fillId="35" borderId="22" xfId="0" applyNumberFormat="1" applyFont="1" applyFill="1" applyBorder="1" applyAlignment="1">
      <alignment horizontal="center"/>
    </xf>
    <xf numFmtId="0" fontId="23" fillId="35" borderId="13" xfId="0" applyFont="1" applyFill="1" applyBorder="1" applyAlignment="1">
      <alignment horizontal="left"/>
    </xf>
    <xf numFmtId="0" fontId="23" fillId="35" borderId="16" xfId="0" applyFont="1" applyFill="1" applyBorder="1"/>
    <xf numFmtId="0" fontId="23" fillId="35" borderId="0" xfId="0" applyFont="1" applyFill="1"/>
    <xf numFmtId="3" fontId="23" fillId="35" borderId="0" xfId="0" applyNumberFormat="1" applyFont="1" applyFill="1" applyAlignment="1">
      <alignment horizontal="center"/>
    </xf>
    <xf numFmtId="0" fontId="23" fillId="35" borderId="12" xfId="0" applyFont="1" applyFill="1" applyBorder="1" applyAlignment="1">
      <alignment horizontal="left"/>
    </xf>
    <xf numFmtId="0" fontId="23" fillId="35" borderId="11" xfId="0" applyFont="1" applyFill="1" applyBorder="1"/>
    <xf numFmtId="0" fontId="23" fillId="35" borderId="23" xfId="0" applyFont="1" applyFill="1" applyBorder="1"/>
    <xf numFmtId="3" fontId="23" fillId="35" borderId="23" xfId="0" applyNumberFormat="1" applyFont="1" applyFill="1" applyBorder="1" applyAlignment="1">
      <alignment horizontal="center"/>
    </xf>
    <xf numFmtId="0" fontId="23" fillId="0" borderId="17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left"/>
    </xf>
    <xf numFmtId="0" fontId="2" fillId="0" borderId="0" xfId="0" applyFont="1"/>
    <xf numFmtId="0" fontId="23" fillId="36" borderId="1" xfId="0" applyFont="1" applyFill="1" applyBorder="1" applyAlignment="1">
      <alignment horizontal="center" vertical="top"/>
    </xf>
    <xf numFmtId="0" fontId="23" fillId="36" borderId="1" xfId="0" applyFont="1" applyFill="1" applyBorder="1" applyAlignment="1">
      <alignment horizontal="center" vertical="top" wrapText="1"/>
    </xf>
    <xf numFmtId="166" fontId="23" fillId="36" borderId="1" xfId="0" applyNumberFormat="1" applyFont="1" applyFill="1" applyBorder="1" applyAlignment="1">
      <alignment horizontal="center" vertical="top"/>
    </xf>
    <xf numFmtId="1" fontId="23" fillId="36" borderId="1" xfId="0" applyNumberFormat="1" applyFont="1" applyFill="1" applyBorder="1" applyAlignment="1">
      <alignment horizontal="center" vertical="top"/>
    </xf>
    <xf numFmtId="1" fontId="23" fillId="36" borderId="1" xfId="0" applyNumberFormat="1" applyFont="1" applyFill="1" applyBorder="1" applyAlignment="1">
      <alignment horizontal="center" vertical="top" wrapText="1"/>
    </xf>
    <xf numFmtId="168" fontId="23" fillId="36" borderId="1" xfId="42" applyNumberFormat="1" applyFont="1" applyFill="1" applyBorder="1" applyAlignment="1">
      <alignment horizontal="center" vertical="top" wrapText="1"/>
    </xf>
    <xf numFmtId="0" fontId="23" fillId="34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9" fontId="2" fillId="0" borderId="18" xfId="42" applyNumberFormat="1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9" fontId="2" fillId="0" borderId="1" xfId="42" applyNumberFormat="1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19" xfId="0" applyFont="1" applyBorder="1"/>
    <xf numFmtId="0" fontId="2" fillId="0" borderId="23" xfId="0" applyFont="1" applyBorder="1"/>
    <xf numFmtId="3" fontId="2" fillId="0" borderId="23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20" xfId="0" applyFont="1" applyBorder="1"/>
    <xf numFmtId="3" fontId="2" fillId="0" borderId="20" xfId="0" applyNumberFormat="1" applyFont="1" applyBorder="1" applyAlignment="1">
      <alignment horizontal="center"/>
    </xf>
    <xf numFmtId="0" fontId="2" fillId="0" borderId="21" xfId="0" applyFont="1" applyBorder="1"/>
    <xf numFmtId="0" fontId="2" fillId="34" borderId="1" xfId="0" applyFont="1" applyFill="1" applyBorder="1"/>
    <xf numFmtId="0" fontId="2" fillId="34" borderId="20" xfId="0" applyFont="1" applyFill="1" applyBorder="1"/>
    <xf numFmtId="1" fontId="2" fillId="0" borderId="1" xfId="0" applyNumberFormat="1" applyFont="1" applyBorder="1" applyAlignment="1">
      <alignment horizontal="left"/>
    </xf>
    <xf numFmtId="0" fontId="2" fillId="0" borderId="18" xfId="0" applyFont="1" applyBorder="1"/>
    <xf numFmtId="0" fontId="2" fillId="0" borderId="17" xfId="0" applyFont="1" applyBorder="1"/>
    <xf numFmtId="0" fontId="2" fillId="0" borderId="22" xfId="0" applyFont="1" applyBorder="1"/>
    <xf numFmtId="3" fontId="2" fillId="0" borderId="22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18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0" fontId="2" fillId="0" borderId="14" xfId="0" applyFont="1" applyBorder="1"/>
    <xf numFmtId="0" fontId="2" fillId="0" borderId="12" xfId="0" applyFont="1" applyBorder="1"/>
    <xf numFmtId="0" fontId="2" fillId="0" borderId="23" xfId="0" applyFont="1" applyBorder="1" applyAlignment="1">
      <alignment horizontal="left"/>
    </xf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center"/>
    </xf>
    <xf numFmtId="1" fontId="2" fillId="0" borderId="0" xfId="0" applyNumberFormat="1" applyFont="1"/>
    <xf numFmtId="168" fontId="2" fillId="0" borderId="0" xfId="42" applyNumberFormat="1" applyFont="1"/>
    <xf numFmtId="1" fontId="2" fillId="0" borderId="1" xfId="0" applyNumberFormat="1" applyFont="1" applyBorder="1" applyAlignment="1">
      <alignment horizontal="center"/>
    </xf>
    <xf numFmtId="168" fontId="2" fillId="0" borderId="1" xfId="42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left"/>
    </xf>
    <xf numFmtId="166" fontId="2" fillId="36" borderId="1" xfId="0" applyNumberFormat="1" applyFont="1" applyFill="1" applyBorder="1" applyAlignment="1">
      <alignment horizontal="center"/>
    </xf>
    <xf numFmtId="1" fontId="2" fillId="36" borderId="1" xfId="0" applyNumberFormat="1" applyFont="1" applyFill="1" applyBorder="1" applyAlignment="1">
      <alignment horizontal="center"/>
    </xf>
    <xf numFmtId="168" fontId="2" fillId="36" borderId="1" xfId="42" applyNumberFormat="1" applyFont="1" applyFill="1" applyBorder="1" applyAlignment="1">
      <alignment horizontal="center"/>
    </xf>
    <xf numFmtId="165" fontId="2" fillId="36" borderId="1" xfId="0" applyNumberFormat="1" applyFont="1" applyFill="1" applyBorder="1" applyAlignment="1">
      <alignment horizontal="center"/>
    </xf>
    <xf numFmtId="167" fontId="2" fillId="36" borderId="1" xfId="0" applyNumberFormat="1" applyFont="1" applyFill="1" applyBorder="1" applyAlignment="1">
      <alignment horizontal="center"/>
    </xf>
    <xf numFmtId="3" fontId="2" fillId="36" borderId="1" xfId="0" applyNumberFormat="1" applyFont="1" applyFill="1" applyBorder="1" applyAlignment="1">
      <alignment horizontal="center"/>
    </xf>
    <xf numFmtId="0" fontId="26" fillId="36" borderId="24" xfId="0" applyFont="1" applyFill="1" applyBorder="1" applyAlignment="1">
      <alignment horizontal="center" vertical="center"/>
    </xf>
    <xf numFmtId="0" fontId="26" fillId="36" borderId="25" xfId="0" applyFont="1" applyFill="1" applyBorder="1" applyAlignment="1">
      <alignment horizontal="center" vertical="center"/>
    </xf>
    <xf numFmtId="0" fontId="26" fillId="36" borderId="26" xfId="0" applyFont="1" applyFill="1" applyBorder="1" applyAlignment="1">
      <alignment horizontal="center" vertical="center"/>
    </xf>
    <xf numFmtId="0" fontId="26" fillId="36" borderId="2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588264</xdr:colOff>
      <xdr:row>56</xdr:row>
      <xdr:rowOff>44434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3:A77" totalsRowShown="0" headerRowDxfId="15" dataDxfId="14" headerRowBorderDxfId="12" tableBorderDxfId="13" totalsRowBorderDxfId="11">
  <autoFilter ref="A63:A77" xr:uid="{00000000-0009-0000-0100-000001000000}"/>
  <tableColumns count="1">
    <tableColumn id="1" xr3:uid="{00000000-0010-0000-0000-000001000000}" name="Column1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9:A85" totalsRowShown="0" headerRowDxfId="9" dataDxfId="8" headerRowBorderDxfId="6" tableBorderDxfId="7" totalsRowBorderDxfId="5">
  <autoFilter ref="A79:A85" xr:uid="{00000000-0009-0000-0100-000002000000}"/>
  <tableColumns count="1">
    <tableColumn id="1" xr3:uid="{00000000-0010-0000-0100-000001000000}" name="Column1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89:A99" totalsRowShown="0" headerRowDxfId="3" dataDxfId="2">
  <autoFilter ref="A89:A99" xr:uid="{00000000-0009-0000-0100-000003000000}"/>
  <tableColumns count="1">
    <tableColumn id="1" xr3:uid="{00000000-0010-0000-0200-000001000000}" name="Column1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MONTH7" displayName="MONTH7" ref="A102:A114" tableType="queryTable" totalsRowShown="0">
  <autoFilter ref="A102:A114" xr:uid="{00000000-0009-0000-0100-000006000000}"/>
  <tableColumns count="1">
    <tableColumn id="2" xr3:uid="{00000000-0010-0000-0300-000002000000}" uniqueName="2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118"/>
  <sheetViews>
    <sheetView workbookViewId="0">
      <selection activeCell="E16" sqref="E16"/>
    </sheetView>
  </sheetViews>
  <sheetFormatPr defaultColWidth="8.85546875" defaultRowHeight="14.45"/>
  <cols>
    <col min="1" max="1" width="19.140625" style="2" customWidth="1"/>
    <col min="2" max="3" width="16.140625" style="1" customWidth="1"/>
    <col min="4" max="4" width="16.140625" style="3" customWidth="1"/>
    <col min="5" max="5" width="19.28515625" style="1" customWidth="1"/>
    <col min="6" max="6" width="8.7109375" style="1" customWidth="1"/>
    <col min="7" max="16384" width="8.85546875" style="1"/>
  </cols>
  <sheetData>
    <row r="1" spans="1:51" ht="15" thickBot="1">
      <c r="A1" s="4" t="s">
        <v>0</v>
      </c>
      <c r="B1" s="8" t="e">
        <f ca="1">LEFT(CELL("filename",A1),38)</f>
        <v>#VALUE!</v>
      </c>
      <c r="C1" s="43"/>
      <c r="D1" s="44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</row>
    <row r="2" spans="1:51">
      <c r="A2" s="7" t="s">
        <v>1</v>
      </c>
      <c r="B2" s="4"/>
      <c r="C2" s="32"/>
      <c r="D2" s="45">
        <v>2024</v>
      </c>
      <c r="E2" s="88" t="s">
        <v>2</v>
      </c>
      <c r="F2" s="89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</row>
    <row r="3" spans="1:51" ht="15" thickBot="1">
      <c r="A3" s="7" t="s">
        <v>3</v>
      </c>
      <c r="B3" s="4"/>
      <c r="C3" s="32"/>
      <c r="D3" s="46"/>
      <c r="E3" s="90"/>
      <c r="F3" s="91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</row>
    <row r="4" spans="1:51">
      <c r="A4" s="7" t="s">
        <v>4</v>
      </c>
      <c r="B4" s="4"/>
      <c r="C4" s="32"/>
      <c r="D4" s="47"/>
      <c r="E4" s="48"/>
      <c r="F4" s="48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</row>
    <row r="5" spans="1:51">
      <c r="A5" s="7" t="s">
        <v>5</v>
      </c>
      <c r="B5" s="4"/>
      <c r="C5" s="32"/>
      <c r="D5" s="47"/>
      <c r="E5" s="48"/>
      <c r="F5" s="48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</row>
    <row r="6" spans="1:51">
      <c r="A6" s="7" t="s">
        <v>6</v>
      </c>
      <c r="B6" s="4"/>
      <c r="C6" s="33"/>
      <c r="D6" s="47"/>
      <c r="E6" s="33"/>
      <c r="F6" s="33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</row>
    <row r="7" spans="1:51">
      <c r="A7" s="7" t="s">
        <v>7</v>
      </c>
      <c r="B7" s="4"/>
      <c r="C7" s="33"/>
      <c r="D7" s="49">
        <v>2024</v>
      </c>
      <c r="E7" s="33"/>
      <c r="F7" s="33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</row>
    <row r="8" spans="1:51">
      <c r="A8" s="7" t="s">
        <v>8</v>
      </c>
      <c r="B8" s="10"/>
      <c r="C8" s="32"/>
      <c r="D8" s="47"/>
      <c r="E8" s="32"/>
      <c r="F8" s="32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</row>
    <row r="9" spans="1:51">
      <c r="A9" s="7" t="s">
        <v>9</v>
      </c>
      <c r="B9" s="4"/>
      <c r="C9" s="32"/>
      <c r="D9" s="47"/>
      <c r="E9" s="32"/>
      <c r="F9" s="32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</row>
    <row r="10" spans="1:51">
      <c r="A10" s="7" t="s">
        <v>10</v>
      </c>
      <c r="B10" s="4"/>
      <c r="C10" s="32"/>
      <c r="D10" s="47"/>
      <c r="E10" s="32"/>
      <c r="F10" s="32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</row>
    <row r="11" spans="1:51">
      <c r="A11" s="7" t="s">
        <v>11</v>
      </c>
      <c r="B11" s="4"/>
      <c r="C11" s="32"/>
      <c r="D11" s="47"/>
      <c r="E11" s="32"/>
      <c r="F11" s="32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</row>
    <row r="12" spans="1:51">
      <c r="A12" s="7" t="s">
        <v>12</v>
      </c>
      <c r="B12" s="4"/>
      <c r="C12" s="32"/>
      <c r="D12" s="47"/>
      <c r="E12" s="32"/>
      <c r="F12" s="32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</row>
    <row r="13" spans="1:51">
      <c r="A13" s="7" t="s">
        <v>13</v>
      </c>
      <c r="B13" s="4"/>
      <c r="C13" s="32"/>
      <c r="D13" s="47"/>
      <c r="E13" s="32"/>
      <c r="F13" s="32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</row>
    <row r="14" spans="1:51">
      <c r="A14" s="7" t="s">
        <v>14</v>
      </c>
      <c r="B14" s="4"/>
      <c r="C14" s="32"/>
      <c r="D14" s="47"/>
      <c r="E14" s="32"/>
      <c r="F14" s="32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</row>
    <row r="15" spans="1:51">
      <c r="A15" s="7" t="s">
        <v>15</v>
      </c>
      <c r="B15" s="4"/>
      <c r="C15" s="33"/>
      <c r="D15" s="34" t="s">
        <v>16</v>
      </c>
      <c r="E15" s="33" t="s">
        <v>17</v>
      </c>
      <c r="F15" s="33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</row>
    <row r="16" spans="1:51">
      <c r="A16" s="7" t="s">
        <v>18</v>
      </c>
      <c r="B16" s="4"/>
      <c r="C16" s="33"/>
      <c r="D16" s="34" t="s">
        <v>19</v>
      </c>
      <c r="E16" s="33" t="s">
        <v>20</v>
      </c>
      <c r="F16" s="33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</row>
    <row r="17" spans="1:7">
      <c r="A17" s="7" t="s">
        <v>21</v>
      </c>
      <c r="B17" s="4" t="s">
        <v>22</v>
      </c>
      <c r="C17" s="33"/>
      <c r="D17" s="34" t="s">
        <v>23</v>
      </c>
      <c r="E17" s="33" t="s">
        <v>24</v>
      </c>
      <c r="F17" s="33"/>
      <c r="G17" s="35"/>
    </row>
    <row r="18" spans="1:7">
      <c r="A18" s="7" t="s">
        <v>25</v>
      </c>
      <c r="B18" s="4"/>
      <c r="C18" s="33"/>
      <c r="D18" s="47"/>
      <c r="E18" s="33"/>
      <c r="F18" s="33"/>
      <c r="G18" s="35"/>
    </row>
    <row r="19" spans="1:7">
      <c r="A19" s="7" t="s">
        <v>26</v>
      </c>
      <c r="B19" s="4" t="s">
        <v>27</v>
      </c>
      <c r="C19" s="33"/>
      <c r="D19" s="47"/>
      <c r="E19" s="33"/>
      <c r="F19" s="33"/>
      <c r="G19" s="35"/>
    </row>
    <row r="20" spans="1:7">
      <c r="A20" s="12" t="s">
        <v>28</v>
      </c>
      <c r="B20" s="4"/>
      <c r="C20" s="33"/>
      <c r="D20" s="47"/>
      <c r="E20" s="33"/>
      <c r="F20" s="33"/>
      <c r="G20" s="35"/>
    </row>
    <row r="21" spans="1:7">
      <c r="A21" s="18" t="s">
        <v>29</v>
      </c>
      <c r="B21" s="33"/>
      <c r="C21" s="33"/>
      <c r="D21" s="47"/>
      <c r="E21" s="33"/>
      <c r="F21" s="33"/>
      <c r="G21" s="35"/>
    </row>
    <row r="22" spans="1:7">
      <c r="A22" s="19" t="s">
        <v>30</v>
      </c>
      <c r="B22" s="20"/>
      <c r="C22" s="21"/>
      <c r="D22" s="22"/>
      <c r="E22" s="21"/>
      <c r="F22" s="20"/>
      <c r="G22" s="35"/>
    </row>
    <row r="23" spans="1:7">
      <c r="A23" s="23" t="s">
        <v>31</v>
      </c>
      <c r="B23" s="24"/>
      <c r="C23" s="25"/>
      <c r="D23" s="26"/>
      <c r="E23" s="25"/>
      <c r="F23" s="24"/>
      <c r="G23" s="35"/>
    </row>
    <row r="24" spans="1:7">
      <c r="A24" s="23" t="s">
        <v>32</v>
      </c>
      <c r="B24" s="24"/>
      <c r="C24" s="25"/>
      <c r="D24" s="26"/>
      <c r="E24" s="25"/>
      <c r="F24" s="24"/>
      <c r="G24" s="35"/>
    </row>
    <row r="25" spans="1:7">
      <c r="A25" s="27" t="s">
        <v>33</v>
      </c>
      <c r="B25" s="28"/>
      <c r="C25" s="29"/>
      <c r="D25" s="30"/>
      <c r="E25" s="29"/>
      <c r="F25" s="28"/>
      <c r="G25" s="35"/>
    </row>
    <row r="26" spans="1:7">
      <c r="A26" s="50"/>
      <c r="B26" s="51"/>
      <c r="C26" s="52"/>
      <c r="D26" s="53"/>
      <c r="E26" s="54"/>
      <c r="F26" s="35"/>
      <c r="G26" s="35"/>
    </row>
    <row r="27" spans="1:7">
      <c r="A27" s="6" t="s">
        <v>34</v>
      </c>
      <c r="B27" s="5" t="s">
        <v>35</v>
      </c>
      <c r="C27" s="55"/>
      <c r="D27" s="56"/>
      <c r="E27" s="57"/>
      <c r="F27" s="35"/>
      <c r="G27" s="33"/>
    </row>
    <row r="28" spans="1:7" ht="18" customHeight="1">
      <c r="A28" s="11" t="s">
        <v>36</v>
      </c>
      <c r="B28" s="58" t="s">
        <v>37</v>
      </c>
      <c r="C28" s="59"/>
      <c r="D28" s="56"/>
      <c r="E28" s="57"/>
      <c r="F28" s="35"/>
      <c r="G28" s="35"/>
    </row>
    <row r="29" spans="1:7">
      <c r="A29" s="13" t="s">
        <v>38</v>
      </c>
      <c r="B29" s="33" t="s">
        <v>39</v>
      </c>
      <c r="C29" s="55"/>
      <c r="D29" s="56"/>
      <c r="E29" s="57"/>
      <c r="F29" s="35"/>
      <c r="G29" s="35"/>
    </row>
    <row r="30" spans="1:7">
      <c r="A30" s="13" t="s">
        <v>40</v>
      </c>
      <c r="B30" s="33" t="s">
        <v>41</v>
      </c>
      <c r="C30" s="55"/>
      <c r="D30" s="56"/>
      <c r="E30" s="57"/>
      <c r="F30" s="35"/>
      <c r="G30" s="35"/>
    </row>
    <row r="31" spans="1:7">
      <c r="A31" s="13" t="s">
        <v>42</v>
      </c>
      <c r="B31" s="33" t="s">
        <v>43</v>
      </c>
      <c r="C31" s="55"/>
      <c r="D31" s="56"/>
      <c r="E31" s="57"/>
      <c r="F31" s="35"/>
      <c r="G31" s="35"/>
    </row>
    <row r="32" spans="1:7">
      <c r="A32" s="13" t="s">
        <v>44</v>
      </c>
      <c r="B32" s="33" t="s">
        <v>45</v>
      </c>
      <c r="C32" s="55"/>
      <c r="D32" s="56"/>
      <c r="E32" s="57"/>
      <c r="F32" s="35"/>
      <c r="G32" s="35"/>
    </row>
    <row r="33" spans="1:7">
      <c r="A33" s="13" t="s">
        <v>46</v>
      </c>
      <c r="B33" s="33" t="s">
        <v>47</v>
      </c>
      <c r="C33" s="55"/>
      <c r="D33" s="56"/>
      <c r="E33" s="57"/>
      <c r="F33" s="35"/>
      <c r="G33" s="35"/>
    </row>
    <row r="34" spans="1:7">
      <c r="A34" s="13" t="s">
        <v>46</v>
      </c>
      <c r="B34" s="33" t="s">
        <v>48</v>
      </c>
      <c r="C34" s="55"/>
      <c r="D34" s="56"/>
      <c r="E34" s="57"/>
      <c r="F34" s="35"/>
      <c r="G34" s="35"/>
    </row>
    <row r="35" spans="1:7">
      <c r="A35" s="14" t="s">
        <v>9</v>
      </c>
      <c r="B35" s="33" t="s">
        <v>49</v>
      </c>
      <c r="C35" s="55"/>
      <c r="D35" s="56"/>
      <c r="E35" s="57"/>
      <c r="F35" s="35"/>
      <c r="G35" s="35"/>
    </row>
    <row r="36" spans="1:7">
      <c r="A36" s="60" t="s">
        <v>50</v>
      </c>
      <c r="B36" s="61" t="s">
        <v>51</v>
      </c>
      <c r="C36" s="55"/>
      <c r="D36" s="56"/>
      <c r="E36" s="57"/>
      <c r="F36" s="35"/>
      <c r="G36" s="35"/>
    </row>
    <row r="37" spans="1:7">
      <c r="A37" s="13" t="s">
        <v>52</v>
      </c>
      <c r="B37" s="62" t="s">
        <v>53</v>
      </c>
      <c r="C37" s="63"/>
      <c r="D37" s="64"/>
      <c r="E37" s="65"/>
      <c r="F37" s="35"/>
      <c r="G37" s="35"/>
    </row>
    <row r="38" spans="1:7">
      <c r="A38" s="66" t="s">
        <v>54</v>
      </c>
      <c r="B38" s="61" t="s">
        <v>55</v>
      </c>
      <c r="C38" s="55"/>
      <c r="D38" s="56"/>
      <c r="E38" s="57"/>
      <c r="F38" s="35"/>
      <c r="G38" s="35"/>
    </row>
    <row r="39" spans="1:7">
      <c r="A39" s="13" t="s">
        <v>56</v>
      </c>
      <c r="B39" s="61" t="s">
        <v>57</v>
      </c>
      <c r="C39" s="55"/>
      <c r="D39" s="56"/>
      <c r="E39" s="57"/>
      <c r="F39" s="35"/>
      <c r="G39" s="33" t="s">
        <v>20</v>
      </c>
    </row>
    <row r="40" spans="1:7">
      <c r="A40" s="60" t="s">
        <v>58</v>
      </c>
      <c r="B40" s="61" t="s">
        <v>59</v>
      </c>
      <c r="C40" s="55"/>
      <c r="D40" s="56"/>
      <c r="E40" s="57"/>
      <c r="F40" s="35"/>
      <c r="G40" s="35"/>
    </row>
    <row r="41" spans="1:7">
      <c r="A41" s="13" t="s">
        <v>60</v>
      </c>
      <c r="B41" s="61" t="s">
        <v>61</v>
      </c>
      <c r="C41" s="55"/>
      <c r="D41" s="56"/>
      <c r="E41" s="57"/>
      <c r="F41" s="35"/>
      <c r="G41" s="35"/>
    </row>
    <row r="42" spans="1:7">
      <c r="A42" s="13" t="s">
        <v>62</v>
      </c>
      <c r="B42" s="61" t="s">
        <v>63</v>
      </c>
      <c r="C42" s="55"/>
      <c r="D42" s="56"/>
      <c r="E42" s="57"/>
      <c r="F42" s="35"/>
      <c r="G42" s="35"/>
    </row>
    <row r="43" spans="1:7">
      <c r="A43" s="13" t="s">
        <v>64</v>
      </c>
      <c r="B43" s="61" t="s">
        <v>65</v>
      </c>
      <c r="C43" s="55"/>
      <c r="D43" s="56"/>
      <c r="E43" s="57"/>
      <c r="F43" s="35"/>
      <c r="G43" s="35"/>
    </row>
    <row r="44" spans="1:7">
      <c r="A44" s="13" t="s">
        <v>66</v>
      </c>
      <c r="B44" s="61" t="s">
        <v>67</v>
      </c>
      <c r="C44" s="55"/>
      <c r="D44" s="56"/>
      <c r="E44" s="57"/>
      <c r="F44" s="35"/>
      <c r="G44" s="35"/>
    </row>
    <row r="45" spans="1:7">
      <c r="A45" s="67" t="s">
        <v>68</v>
      </c>
      <c r="B45" s="68" t="s">
        <v>69</v>
      </c>
      <c r="C45" s="63"/>
      <c r="D45" s="64"/>
      <c r="E45" s="65"/>
      <c r="F45" s="35"/>
      <c r="G45" s="35"/>
    </row>
    <row r="46" spans="1:7">
      <c r="A46" s="13" t="s">
        <v>70</v>
      </c>
      <c r="B46" s="61" t="s">
        <v>71</v>
      </c>
      <c r="C46" s="55"/>
      <c r="D46" s="56"/>
      <c r="E46" s="57"/>
      <c r="F46" s="57"/>
      <c r="G46" s="35"/>
    </row>
    <row r="47" spans="1:7">
      <c r="A47" s="67" t="s">
        <v>72</v>
      </c>
      <c r="B47" s="69" t="s">
        <v>73</v>
      </c>
      <c r="C47" s="52"/>
      <c r="D47" s="53"/>
      <c r="E47" s="54"/>
      <c r="F47" s="35"/>
      <c r="G47" s="35"/>
    </row>
    <row r="48" spans="1:7">
      <c r="A48" s="13" t="s">
        <v>74</v>
      </c>
      <c r="B48" s="61"/>
      <c r="C48" s="55"/>
      <c r="D48" s="56"/>
      <c r="E48" s="57"/>
      <c r="F48" s="35"/>
      <c r="G48" s="35"/>
    </row>
    <row r="49" spans="1:5">
      <c r="A49" s="67" t="s">
        <v>75</v>
      </c>
      <c r="B49" s="61" t="s">
        <v>76</v>
      </c>
      <c r="C49" s="55"/>
      <c r="D49" s="56"/>
      <c r="E49" s="57"/>
    </row>
    <row r="50" spans="1:5">
      <c r="A50" s="13" t="s">
        <v>74</v>
      </c>
      <c r="B50" s="61"/>
      <c r="C50" s="55"/>
      <c r="D50" s="56"/>
      <c r="E50" s="57"/>
    </row>
    <row r="51" spans="1:5">
      <c r="A51" s="67" t="s">
        <v>77</v>
      </c>
      <c r="B51" s="61" t="s">
        <v>78</v>
      </c>
      <c r="C51" s="55"/>
      <c r="D51" s="56"/>
      <c r="E51" s="57"/>
    </row>
    <row r="52" spans="1:5">
      <c r="A52" s="13" t="s">
        <v>79</v>
      </c>
      <c r="B52" s="61" t="s">
        <v>80</v>
      </c>
      <c r="C52" s="55"/>
      <c r="D52" s="56"/>
      <c r="E52" s="57"/>
    </row>
    <row r="53" spans="1:5">
      <c r="A53" s="13" t="s">
        <v>81</v>
      </c>
      <c r="B53" s="61" t="s">
        <v>82</v>
      </c>
      <c r="C53" s="55"/>
      <c r="D53" s="56"/>
      <c r="E53" s="57"/>
    </row>
    <row r="54" spans="1:5">
      <c r="A54" s="13"/>
      <c r="B54" s="61" t="s">
        <v>83</v>
      </c>
      <c r="C54" s="55"/>
      <c r="D54" s="56"/>
      <c r="E54" s="57"/>
    </row>
    <row r="55" spans="1:5">
      <c r="A55" s="13" t="s">
        <v>84</v>
      </c>
      <c r="B55" s="13" t="e">
        <f>SQRT((A55/(0.00007854*D55)))</f>
        <v>#VALUE!</v>
      </c>
      <c r="C55" s="35"/>
      <c r="D55" s="44"/>
      <c r="E55" s="35"/>
    </row>
    <row r="56" spans="1:5">
      <c r="A56" s="13"/>
      <c r="B56" s="33"/>
      <c r="C56" s="35"/>
      <c r="D56" s="44"/>
      <c r="E56" s="35"/>
    </row>
    <row r="57" spans="1:5">
      <c r="A57" s="13"/>
      <c r="B57" s="33"/>
      <c r="C57" s="35"/>
      <c r="D57" s="44"/>
      <c r="E57" s="35"/>
    </row>
    <row r="58" spans="1:5">
      <c r="A58" s="13"/>
      <c r="B58" s="33"/>
      <c r="C58" s="35"/>
      <c r="D58" s="44"/>
      <c r="E58" s="35"/>
    </row>
    <row r="59" spans="1:5">
      <c r="A59" s="13"/>
      <c r="B59" s="33"/>
      <c r="C59" s="35"/>
      <c r="D59" s="44"/>
      <c r="E59" s="35"/>
    </row>
    <row r="60" spans="1:5">
      <c r="A60" s="13"/>
      <c r="B60" s="33"/>
      <c r="C60" s="35"/>
      <c r="D60" s="44"/>
      <c r="E60" s="35"/>
    </row>
    <row r="61" spans="1:5">
      <c r="A61" s="13"/>
      <c r="B61" s="33"/>
      <c r="C61" s="35"/>
      <c r="D61" s="44"/>
      <c r="E61" s="35"/>
    </row>
    <row r="62" spans="1:5">
      <c r="A62" s="13"/>
      <c r="B62" s="33"/>
      <c r="C62" s="35"/>
      <c r="D62" s="44"/>
      <c r="E62" s="35"/>
    </row>
    <row r="63" spans="1:5">
      <c r="A63" s="70" t="s">
        <v>85</v>
      </c>
      <c r="B63" s="33"/>
      <c r="C63" s="35" t="s">
        <v>86</v>
      </c>
      <c r="D63" s="44"/>
      <c r="E63" s="35"/>
    </row>
    <row r="64" spans="1:5">
      <c r="A64" s="15" t="s">
        <v>87</v>
      </c>
      <c r="B64" s="33"/>
      <c r="C64" s="35"/>
      <c r="D64" s="44"/>
      <c r="E64" s="35"/>
    </row>
    <row r="65" spans="1:3">
      <c r="A65" s="15" t="s">
        <v>88</v>
      </c>
      <c r="B65" s="33"/>
      <c r="C65" s="35"/>
    </row>
    <row r="66" spans="1:3">
      <c r="A66" s="15" t="s">
        <v>89</v>
      </c>
      <c r="B66" s="33"/>
      <c r="C66" s="35"/>
    </row>
    <row r="67" spans="1:3">
      <c r="A67" s="15" t="s">
        <v>90</v>
      </c>
      <c r="B67" s="33"/>
      <c r="C67" s="35"/>
    </row>
    <row r="68" spans="1:3">
      <c r="A68" s="15" t="s">
        <v>91</v>
      </c>
      <c r="B68" s="33"/>
      <c r="C68" s="35"/>
    </row>
    <row r="69" spans="1:3">
      <c r="A69" s="15" t="s">
        <v>92</v>
      </c>
      <c r="B69" s="33"/>
      <c r="C69" s="35"/>
    </row>
    <row r="70" spans="1:3">
      <c r="A70" s="15" t="s">
        <v>93</v>
      </c>
      <c r="B70" s="33"/>
      <c r="C70" s="35"/>
    </row>
    <row r="71" spans="1:3">
      <c r="A71" s="15" t="s">
        <v>94</v>
      </c>
      <c r="B71" s="33"/>
      <c r="C71" s="35"/>
    </row>
    <row r="72" spans="1:3">
      <c r="A72" s="15" t="s">
        <v>95</v>
      </c>
      <c r="B72" s="33"/>
      <c r="C72" s="35"/>
    </row>
    <row r="73" spans="1:3">
      <c r="A73" s="15" t="s">
        <v>96</v>
      </c>
      <c r="B73" s="33"/>
      <c r="C73" s="35"/>
    </row>
    <row r="74" spans="1:3">
      <c r="A74" s="16" t="s">
        <v>97</v>
      </c>
      <c r="B74" s="33"/>
      <c r="C74" s="35" t="s">
        <v>98</v>
      </c>
    </row>
    <row r="75" spans="1:3">
      <c r="A75" s="92" t="s">
        <v>99</v>
      </c>
      <c r="B75" s="33"/>
      <c r="C75" s="35"/>
    </row>
    <row r="76" spans="1:3">
      <c r="A76" s="92" t="s">
        <v>100</v>
      </c>
      <c r="B76" s="33"/>
      <c r="C76" s="35"/>
    </row>
    <row r="77" spans="1:3">
      <c r="A77" s="92" t="s">
        <v>101</v>
      </c>
      <c r="B77" s="33"/>
      <c r="C77" s="35"/>
    </row>
    <row r="78" spans="1:3">
      <c r="A78" s="13"/>
      <c r="B78" s="33"/>
      <c r="C78" s="35"/>
    </row>
    <row r="79" spans="1:3">
      <c r="A79" s="70" t="s">
        <v>85</v>
      </c>
      <c r="B79" s="33"/>
      <c r="C79" s="35"/>
    </row>
    <row r="80" spans="1:3">
      <c r="A80" s="15" t="s">
        <v>102</v>
      </c>
      <c r="B80" s="33"/>
      <c r="C80" s="35"/>
    </row>
    <row r="81" spans="1:2">
      <c r="A81" s="15" t="s">
        <v>103</v>
      </c>
      <c r="B81" s="33"/>
    </row>
    <row r="82" spans="1:2">
      <c r="A82" s="15" t="s">
        <v>104</v>
      </c>
      <c r="B82" s="33"/>
    </row>
    <row r="83" spans="1:2">
      <c r="A83" s="15" t="s">
        <v>105</v>
      </c>
      <c r="B83" s="33"/>
    </row>
    <row r="84" spans="1:2">
      <c r="A84" s="16" t="s">
        <v>106</v>
      </c>
      <c r="B84" s="33"/>
    </row>
    <row r="85" spans="1:2">
      <c r="A85" s="92" t="s">
        <v>107</v>
      </c>
      <c r="B85" s="33"/>
    </row>
    <row r="86" spans="1:2">
      <c r="A86" s="13"/>
      <c r="B86" s="33"/>
    </row>
    <row r="87" spans="1:2">
      <c r="A87" s="13"/>
      <c r="B87" s="33"/>
    </row>
    <row r="89" spans="1:2">
      <c r="A89" s="71" t="s">
        <v>85</v>
      </c>
      <c r="B89" s="35"/>
    </row>
    <row r="90" spans="1:2">
      <c r="A90" s="71" t="s">
        <v>108</v>
      </c>
      <c r="B90" s="35"/>
    </row>
    <row r="91" spans="1:2">
      <c r="A91" s="93" t="s">
        <v>109</v>
      </c>
      <c r="B91" s="35"/>
    </row>
    <row r="92" spans="1:2">
      <c r="A92" s="71" t="s">
        <v>110</v>
      </c>
      <c r="B92" s="35"/>
    </row>
    <row r="93" spans="1:2">
      <c r="A93" s="71" t="s">
        <v>111</v>
      </c>
      <c r="B93" s="35"/>
    </row>
    <row r="94" spans="1:2">
      <c r="A94" s="71" t="s">
        <v>112</v>
      </c>
      <c r="B94" s="35"/>
    </row>
    <row r="95" spans="1:2">
      <c r="A95" s="71" t="s">
        <v>113</v>
      </c>
      <c r="B95" s="35"/>
    </row>
    <row r="96" spans="1:2">
      <c r="A96" s="71" t="s">
        <v>114</v>
      </c>
      <c r="B96" s="35"/>
    </row>
    <row r="97" spans="1:1">
      <c r="A97" s="71" t="s">
        <v>115</v>
      </c>
    </row>
    <row r="98" spans="1:1">
      <c r="A98" s="71" t="s">
        <v>116</v>
      </c>
    </row>
    <row r="99" spans="1:1">
      <c r="A99" s="71" t="s">
        <v>117</v>
      </c>
    </row>
    <row r="102" spans="1:1">
      <c r="A102" t="s">
        <v>85</v>
      </c>
    </row>
    <row r="103" spans="1:1">
      <c r="A103" t="s">
        <v>118</v>
      </c>
    </row>
    <row r="104" spans="1:1">
      <c r="A104" t="s">
        <v>119</v>
      </c>
    </row>
    <row r="105" spans="1:1">
      <c r="A105" t="s">
        <v>120</v>
      </c>
    </row>
    <row r="106" spans="1:1">
      <c r="A106" t="s">
        <v>121</v>
      </c>
    </row>
    <row r="107" spans="1:1">
      <c r="A107" t="s">
        <v>122</v>
      </c>
    </row>
    <row r="108" spans="1:1">
      <c r="A108" t="s">
        <v>123</v>
      </c>
    </row>
    <row r="109" spans="1:1">
      <c r="A109" t="s">
        <v>124</v>
      </c>
    </row>
    <row r="110" spans="1:1">
      <c r="A110" t="s">
        <v>125</v>
      </c>
    </row>
    <row r="111" spans="1:1">
      <c r="A111" t="s">
        <v>126</v>
      </c>
    </row>
    <row r="112" spans="1:1">
      <c r="A112" t="s">
        <v>127</v>
      </c>
    </row>
    <row r="113" spans="1:8">
      <c r="A113" t="s">
        <v>128</v>
      </c>
      <c r="B113" s="35"/>
      <c r="C113" s="35"/>
      <c r="D113" s="44"/>
      <c r="E113" s="35"/>
      <c r="F113" s="35"/>
      <c r="G113" s="35"/>
      <c r="H113" s="35"/>
    </row>
    <row r="114" spans="1:8">
      <c r="A114" t="s">
        <v>129</v>
      </c>
      <c r="B114" s="35"/>
      <c r="C114" s="35"/>
      <c r="D114" s="44"/>
      <c r="E114" s="35"/>
      <c r="F114" s="35"/>
      <c r="G114" s="35"/>
      <c r="H114" s="35"/>
    </row>
    <row r="115" spans="1:8">
      <c r="A115" s="71"/>
      <c r="B115" s="35"/>
      <c r="C115" s="35"/>
      <c r="D115" s="44"/>
      <c r="E115" s="35"/>
      <c r="F115" s="35"/>
      <c r="G115" s="35"/>
      <c r="H115" s="35"/>
    </row>
    <row r="116" spans="1:8">
      <c r="A116" s="71"/>
      <c r="B116" s="35"/>
      <c r="C116" s="35"/>
      <c r="D116" s="44"/>
      <c r="E116" s="35"/>
      <c r="F116" s="35"/>
      <c r="G116" s="35"/>
      <c r="H116" s="35"/>
    </row>
    <row r="117" spans="1:8">
      <c r="A117" s="71"/>
      <c r="B117" s="35"/>
      <c r="C117" s="35"/>
      <c r="D117" s="44"/>
      <c r="E117" s="35"/>
      <c r="F117" s="35"/>
      <c r="G117" s="35"/>
      <c r="H117" s="35"/>
    </row>
    <row r="118" spans="1:8">
      <c r="A118" s="17" t="s">
        <v>130</v>
      </c>
      <c r="B118" s="17" t="s">
        <v>131</v>
      </c>
      <c r="C118" s="17" t="s">
        <v>132</v>
      </c>
      <c r="D118" s="17" t="s">
        <v>133</v>
      </c>
      <c r="E118" s="17" t="s">
        <v>134</v>
      </c>
      <c r="F118" s="17" t="s">
        <v>135</v>
      </c>
      <c r="G118" s="17" t="s">
        <v>136</v>
      </c>
      <c r="H118" s="17" t="s">
        <v>137</v>
      </c>
    </row>
  </sheetData>
  <mergeCells count="1">
    <mergeCell ref="E2:F3"/>
  </mergeCells>
  <dataValidations count="4">
    <dataValidation type="list" allowBlank="1" showInputMessage="1" showErrorMessage="1" sqref="B18" xr:uid="{00000000-0002-0000-0000-000000000000}">
      <formula1>$A$64:$A$77</formula1>
    </dataValidation>
    <dataValidation type="list" allowBlank="1" showInputMessage="1" showErrorMessage="1" sqref="B15" xr:uid="{00000000-0002-0000-0000-000001000000}">
      <formula1>$A$80:$A$85</formula1>
    </dataValidation>
    <dataValidation type="list" allowBlank="1" showInputMessage="1" showErrorMessage="1" sqref="B16" xr:uid="{00000000-0002-0000-0000-000002000000}">
      <formula1>$A$90:$A$99</formula1>
    </dataValidation>
    <dataValidation type="list" allowBlank="1" showInputMessage="1" showErrorMessage="1" sqref="C2 C7" xr:uid="{00000000-0002-0000-0000-000003000000}">
      <formula1>$A$103:$A$114</formula1>
    </dataValidation>
  </dataValidations>
  <pageMargins left="0.70866141732283472" right="0.70866141732283472" top="0.74803149606299213" bottom="0.74803149606299213" header="0.31496062992125984" footer="0.31496062992125984"/>
  <pageSetup paperSize="9" scale="86" orientation="portrait" r:id="rId1"/>
  <headerFooter>
    <oddHeader>Page &amp;P&amp;R&amp;Z&amp;F</oddHeader>
    <oddFooter>Prepared by Alan &amp;D&amp;RPage &amp;P</oddFooter>
  </headerFooter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79"/>
  <sheetViews>
    <sheetView tabSelected="1" zoomScale="80" zoomScaleNormal="80" workbookViewId="0">
      <pane ySplit="3" topLeftCell="A25" activePane="bottomLeft" state="frozen"/>
      <selection pane="bottomLeft"/>
    </sheetView>
  </sheetViews>
  <sheetFormatPr defaultRowHeight="13.15"/>
  <cols>
    <col min="2" max="2" width="14.7109375" customWidth="1"/>
    <col min="3" max="3" width="17.7109375" customWidth="1"/>
    <col min="13" max="14" width="6.7109375" customWidth="1"/>
    <col min="17" max="17" width="4.5703125" customWidth="1"/>
    <col min="19" max="19" width="3.5703125" customWidth="1"/>
    <col min="22" max="31" width="6.85546875" customWidth="1"/>
  </cols>
  <sheetData>
    <row r="1" spans="1:36" ht="14.45">
      <c r="A1" s="35" t="s">
        <v>138</v>
      </c>
      <c r="B1" s="43"/>
      <c r="C1" s="71"/>
      <c r="D1" s="72"/>
      <c r="E1" s="73"/>
      <c r="F1" s="35"/>
      <c r="G1" s="35"/>
      <c r="H1" s="35"/>
      <c r="I1" s="73"/>
      <c r="J1" s="35"/>
      <c r="K1" s="35"/>
      <c r="L1" s="35"/>
      <c r="M1" s="35"/>
      <c r="N1" s="35"/>
      <c r="O1" s="74"/>
      <c r="P1" s="35"/>
      <c r="Q1" s="35"/>
      <c r="R1" s="73"/>
      <c r="S1" s="35"/>
      <c r="T1" s="35"/>
      <c r="U1" s="35"/>
      <c r="V1" s="31" t="s">
        <v>139</v>
      </c>
      <c r="W1" s="9"/>
      <c r="X1" s="9"/>
      <c r="Y1" s="9"/>
      <c r="Z1" s="9"/>
      <c r="AA1" s="9"/>
      <c r="AB1" s="9"/>
      <c r="AC1" s="9"/>
      <c r="AD1" s="32"/>
      <c r="AE1" s="32"/>
      <c r="AF1" s="32"/>
      <c r="AG1" s="32"/>
      <c r="AH1" s="32"/>
      <c r="AI1" s="32"/>
      <c r="AJ1" s="32"/>
    </row>
    <row r="2" spans="1:36" ht="14.45">
      <c r="A2" s="32"/>
      <c r="B2" s="13" t="s">
        <v>140</v>
      </c>
      <c r="C2" s="32"/>
      <c r="D2" s="14" t="s">
        <v>141</v>
      </c>
      <c r="E2" s="75"/>
      <c r="F2" s="32" t="s">
        <v>142</v>
      </c>
      <c r="G2" s="32" t="s">
        <v>143</v>
      </c>
      <c r="H2" s="32" t="s">
        <v>144</v>
      </c>
      <c r="I2" s="75" t="s">
        <v>145</v>
      </c>
      <c r="J2" s="32" t="s">
        <v>146</v>
      </c>
      <c r="K2" s="32" t="s">
        <v>146</v>
      </c>
      <c r="L2" s="32"/>
      <c r="M2" s="32"/>
      <c r="N2" s="32"/>
      <c r="O2" s="76" t="s">
        <v>70</v>
      </c>
      <c r="P2" s="32"/>
      <c r="Q2" s="32"/>
      <c r="R2" s="75" t="s">
        <v>147</v>
      </c>
      <c r="S2" s="32"/>
      <c r="T2" s="32" t="s">
        <v>148</v>
      </c>
      <c r="U2" s="32" t="s">
        <v>149</v>
      </c>
      <c r="V2" s="10" t="s">
        <v>146</v>
      </c>
      <c r="W2" s="10" t="s">
        <v>146</v>
      </c>
      <c r="X2" s="10" t="s">
        <v>146</v>
      </c>
      <c r="Y2" s="10" t="s">
        <v>146</v>
      </c>
      <c r="Z2" s="10" t="s">
        <v>146</v>
      </c>
      <c r="AA2" s="10" t="s">
        <v>146</v>
      </c>
      <c r="AB2" s="10" t="s">
        <v>146</v>
      </c>
      <c r="AC2" s="10" t="s">
        <v>146</v>
      </c>
      <c r="AD2" s="47"/>
      <c r="AE2" s="47"/>
      <c r="AF2" s="47"/>
      <c r="AG2" s="47"/>
      <c r="AH2" s="47"/>
      <c r="AI2" s="47"/>
      <c r="AJ2" s="47"/>
    </row>
    <row r="3" spans="1:36" ht="28.9">
      <c r="A3" s="36" t="s">
        <v>44</v>
      </c>
      <c r="B3" s="37" t="s">
        <v>150</v>
      </c>
      <c r="C3" s="37" t="s">
        <v>151</v>
      </c>
      <c r="D3" s="38" t="s">
        <v>9</v>
      </c>
      <c r="E3" s="39" t="s">
        <v>50</v>
      </c>
      <c r="F3" s="42" t="s">
        <v>52</v>
      </c>
      <c r="G3" s="36" t="s">
        <v>54</v>
      </c>
      <c r="H3" s="36" t="s">
        <v>56</v>
      </c>
      <c r="I3" s="39" t="s">
        <v>58</v>
      </c>
      <c r="J3" s="36" t="s">
        <v>60</v>
      </c>
      <c r="K3" s="36" t="s">
        <v>62</v>
      </c>
      <c r="L3" s="36" t="s">
        <v>152</v>
      </c>
      <c r="M3" s="36" t="s">
        <v>66</v>
      </c>
      <c r="N3" s="40" t="s">
        <v>68</v>
      </c>
      <c r="O3" s="41" t="s">
        <v>153</v>
      </c>
      <c r="P3" s="40" t="s">
        <v>72</v>
      </c>
      <c r="Q3" s="36" t="s">
        <v>154</v>
      </c>
      <c r="R3" s="40" t="s">
        <v>75</v>
      </c>
      <c r="S3" s="36" t="s">
        <v>74</v>
      </c>
      <c r="T3" s="40" t="s">
        <v>77</v>
      </c>
      <c r="U3" s="36" t="s">
        <v>155</v>
      </c>
      <c r="V3" s="42" t="s">
        <v>156</v>
      </c>
      <c r="W3" s="42" t="s">
        <v>157</v>
      </c>
      <c r="X3" s="42" t="s">
        <v>158</v>
      </c>
      <c r="Y3" s="42" t="s">
        <v>159</v>
      </c>
      <c r="Z3" s="42" t="s">
        <v>160</v>
      </c>
      <c r="AA3" s="42" t="s">
        <v>161</v>
      </c>
      <c r="AB3" s="42" t="s">
        <v>162</v>
      </c>
      <c r="AC3" s="42" t="s">
        <v>163</v>
      </c>
      <c r="AD3" s="47"/>
      <c r="AE3" s="47"/>
      <c r="AF3" s="47"/>
      <c r="AG3" s="47"/>
      <c r="AH3" s="47"/>
      <c r="AI3" s="47"/>
      <c r="AJ3" s="47"/>
    </row>
    <row r="4" spans="1:36" ht="14.45">
      <c r="A4" s="32" t="s">
        <v>38</v>
      </c>
      <c r="B4" s="32" t="s">
        <v>164</v>
      </c>
      <c r="C4" s="13" t="s">
        <v>165</v>
      </c>
      <c r="D4" s="77" t="s">
        <v>166</v>
      </c>
      <c r="E4" s="75" t="s">
        <v>167</v>
      </c>
      <c r="F4" s="77">
        <v>20.784099999999999</v>
      </c>
      <c r="G4" s="77">
        <v>61.4422</v>
      </c>
      <c r="H4" s="77">
        <v>30.3018</v>
      </c>
      <c r="I4" s="75">
        <v>320</v>
      </c>
      <c r="J4" s="77">
        <v>602.25099999999998</v>
      </c>
      <c r="K4" s="77">
        <v>513.85199999999998</v>
      </c>
      <c r="L4" s="32">
        <v>0</v>
      </c>
      <c r="M4" s="32">
        <v>1</v>
      </c>
      <c r="N4" s="32">
        <v>1</v>
      </c>
      <c r="O4" s="76">
        <v>55329.9</v>
      </c>
      <c r="P4" s="32">
        <v>0</v>
      </c>
      <c r="Q4" s="32">
        <v>0</v>
      </c>
      <c r="R4" s="75">
        <v>340</v>
      </c>
      <c r="S4" s="32">
        <v>0</v>
      </c>
      <c r="T4" s="78" t="s">
        <v>22</v>
      </c>
      <c r="U4" s="79">
        <v>1.5113294117647058</v>
      </c>
      <c r="V4" s="47">
        <v>147.40799999999999</v>
      </c>
      <c r="W4" s="47">
        <v>76.855500000000006</v>
      </c>
      <c r="X4" s="47">
        <v>48.359099999999998</v>
      </c>
      <c r="Y4" s="47">
        <v>85.406899999999993</v>
      </c>
      <c r="Z4" s="47">
        <v>70.580799999999996</v>
      </c>
      <c r="AA4" s="47">
        <v>35.262700000000002</v>
      </c>
      <c r="AB4" s="47">
        <v>36.357999999999997</v>
      </c>
      <c r="AC4" s="47">
        <v>13.6219</v>
      </c>
      <c r="AD4" s="47"/>
      <c r="AE4" s="47"/>
      <c r="AF4" s="47"/>
      <c r="AG4" s="47"/>
      <c r="AH4" s="47"/>
      <c r="AI4" s="47"/>
      <c r="AJ4" s="47"/>
    </row>
    <row r="5" spans="1:36" ht="14.45">
      <c r="A5" s="32" t="s">
        <v>40</v>
      </c>
      <c r="B5" s="32" t="s">
        <v>164</v>
      </c>
      <c r="C5" s="13" t="s">
        <v>165</v>
      </c>
      <c r="D5" s="77" t="s">
        <v>166</v>
      </c>
      <c r="E5" s="75" t="s">
        <v>36</v>
      </c>
      <c r="F5" s="77">
        <v>20.784099999999999</v>
      </c>
      <c r="G5" s="77">
        <v>61.4422</v>
      </c>
      <c r="H5" s="77">
        <v>30.3018</v>
      </c>
      <c r="I5" s="75">
        <v>320</v>
      </c>
      <c r="J5" s="77">
        <v>602.25099999999998</v>
      </c>
      <c r="K5" s="77">
        <v>513.85199999999998</v>
      </c>
      <c r="L5" s="32" t="s">
        <v>168</v>
      </c>
      <c r="M5" s="32">
        <v>1</v>
      </c>
      <c r="N5" s="32">
        <v>1</v>
      </c>
      <c r="O5" s="76">
        <v>55329.9</v>
      </c>
      <c r="P5" s="32" t="s">
        <v>168</v>
      </c>
      <c r="Q5" s="32">
        <v>1.4</v>
      </c>
      <c r="R5" s="75">
        <v>340</v>
      </c>
      <c r="S5" s="32">
        <v>0</v>
      </c>
      <c r="T5" s="78" t="s">
        <v>22</v>
      </c>
      <c r="U5" s="79">
        <v>1.5113294117647058</v>
      </c>
      <c r="V5" s="47">
        <v>147.40799999999999</v>
      </c>
      <c r="W5" s="47">
        <v>76.855500000000006</v>
      </c>
      <c r="X5" s="47">
        <v>48.359099999999998</v>
      </c>
      <c r="Y5" s="47">
        <v>85.406899999999993</v>
      </c>
      <c r="Z5" s="47">
        <v>70.580799999999996</v>
      </c>
      <c r="AA5" s="47">
        <v>35.262700000000002</v>
      </c>
      <c r="AB5" s="47">
        <v>36.357999999999997</v>
      </c>
      <c r="AC5" s="47">
        <v>13.6219</v>
      </c>
      <c r="AD5" s="47"/>
      <c r="AE5" s="47"/>
      <c r="AF5" s="47"/>
      <c r="AG5" s="47"/>
      <c r="AH5" s="47"/>
      <c r="AI5" s="47"/>
      <c r="AJ5" s="47"/>
    </row>
    <row r="6" spans="1:36" ht="14.45">
      <c r="A6" s="32" t="s">
        <v>38</v>
      </c>
      <c r="B6" s="32" t="s">
        <v>164</v>
      </c>
      <c r="C6" s="13" t="s">
        <v>165</v>
      </c>
      <c r="D6" s="77" t="s">
        <v>169</v>
      </c>
      <c r="E6" s="75" t="s">
        <v>170</v>
      </c>
      <c r="F6" s="77">
        <v>20.778300000000002</v>
      </c>
      <c r="G6" s="77">
        <v>58.175899999999999</v>
      </c>
      <c r="H6" s="77">
        <v>21.423100000000002</v>
      </c>
      <c r="I6" s="75">
        <v>420</v>
      </c>
      <c r="J6" s="77">
        <v>414.971</v>
      </c>
      <c r="K6" s="77">
        <v>320.99099999999999</v>
      </c>
      <c r="L6" s="32">
        <v>0</v>
      </c>
      <c r="M6" s="32">
        <v>1</v>
      </c>
      <c r="N6" s="32">
        <v>1</v>
      </c>
      <c r="O6" s="76">
        <v>31715.1</v>
      </c>
      <c r="P6" s="32">
        <v>0</v>
      </c>
      <c r="Q6" s="32">
        <v>0</v>
      </c>
      <c r="R6" s="75">
        <v>420</v>
      </c>
      <c r="S6" s="32">
        <v>0</v>
      </c>
      <c r="T6" s="78" t="s">
        <v>22</v>
      </c>
      <c r="U6" s="79">
        <v>0.76426428571428573</v>
      </c>
      <c r="V6" s="47">
        <v>28.908899999999999</v>
      </c>
      <c r="W6" s="47">
        <v>105.358</v>
      </c>
      <c r="X6" s="47">
        <v>0</v>
      </c>
      <c r="Y6" s="47">
        <v>23.8551</v>
      </c>
      <c r="Z6" s="47">
        <v>114.999</v>
      </c>
      <c r="AA6" s="47">
        <v>0</v>
      </c>
      <c r="AB6" s="47">
        <v>29.975899999999999</v>
      </c>
      <c r="AC6" s="47">
        <v>17.893799999999999</v>
      </c>
      <c r="AD6" s="47"/>
      <c r="AE6" s="47"/>
      <c r="AF6" s="47"/>
      <c r="AG6" s="47"/>
      <c r="AH6" s="47"/>
      <c r="AI6" s="47"/>
      <c r="AJ6" s="47"/>
    </row>
    <row r="7" spans="1:36" ht="14.45">
      <c r="A7" s="32" t="s">
        <v>38</v>
      </c>
      <c r="B7" s="32" t="s">
        <v>164</v>
      </c>
      <c r="C7" s="13" t="s">
        <v>165</v>
      </c>
      <c r="D7" s="77" t="s">
        <v>169</v>
      </c>
      <c r="E7" s="75" t="s">
        <v>171</v>
      </c>
      <c r="F7" s="77">
        <v>20.778400000000001</v>
      </c>
      <c r="G7" s="77">
        <v>64.031300000000002</v>
      </c>
      <c r="H7" s="77">
        <v>21.703499999999998</v>
      </c>
      <c r="I7" s="75">
        <v>400</v>
      </c>
      <c r="J7" s="77">
        <v>453.26900000000001</v>
      </c>
      <c r="K7" s="77">
        <v>329.16199999999998</v>
      </c>
      <c r="L7" s="32">
        <v>0</v>
      </c>
      <c r="M7" s="32">
        <v>1</v>
      </c>
      <c r="N7" s="32">
        <v>1</v>
      </c>
      <c r="O7" s="76">
        <v>28217.200000000001</v>
      </c>
      <c r="P7" s="32">
        <v>0</v>
      </c>
      <c r="Q7" s="32">
        <v>0</v>
      </c>
      <c r="R7" s="75">
        <v>480</v>
      </c>
      <c r="S7" s="32">
        <v>0</v>
      </c>
      <c r="T7" s="78" t="s">
        <v>22</v>
      </c>
      <c r="U7" s="79">
        <v>0.68575416666666666</v>
      </c>
      <c r="V7" s="47">
        <v>33.308100000000003</v>
      </c>
      <c r="W7" s="47">
        <v>58.474800000000002</v>
      </c>
      <c r="X7" s="47">
        <v>0</v>
      </c>
      <c r="Y7" s="47">
        <v>56.685099999999998</v>
      </c>
      <c r="Z7" s="47">
        <v>40.692300000000003</v>
      </c>
      <c r="AA7" s="47">
        <v>45.681800000000003</v>
      </c>
      <c r="AB7" s="47">
        <v>41.162999999999997</v>
      </c>
      <c r="AC7" s="47">
        <v>53.156500000000001</v>
      </c>
      <c r="AD7" s="47"/>
      <c r="AE7" s="47"/>
      <c r="AF7" s="47"/>
      <c r="AG7" s="47"/>
      <c r="AH7" s="47"/>
      <c r="AI7" s="47"/>
      <c r="AJ7" s="47"/>
    </row>
    <row r="8" spans="1:36" ht="14.45">
      <c r="A8" s="32" t="s">
        <v>38</v>
      </c>
      <c r="B8" s="32" t="s">
        <v>164</v>
      </c>
      <c r="C8" s="13" t="s">
        <v>165</v>
      </c>
      <c r="D8" s="77" t="s">
        <v>169</v>
      </c>
      <c r="E8" s="75" t="s">
        <v>172</v>
      </c>
      <c r="F8" s="77">
        <v>20.777799999999999</v>
      </c>
      <c r="G8" s="77">
        <v>54.9343</v>
      </c>
      <c r="H8" s="77">
        <v>22.061599999999999</v>
      </c>
      <c r="I8" s="75">
        <v>360</v>
      </c>
      <c r="J8" s="77">
        <v>401.07</v>
      </c>
      <c r="K8" s="77">
        <v>333.75299999999999</v>
      </c>
      <c r="L8" s="32">
        <v>0</v>
      </c>
      <c r="M8" s="32">
        <v>1</v>
      </c>
      <c r="N8" s="32">
        <v>1</v>
      </c>
      <c r="O8" s="76">
        <v>28176.5</v>
      </c>
      <c r="P8" s="32">
        <v>0</v>
      </c>
      <c r="Q8" s="32">
        <v>0</v>
      </c>
      <c r="R8" s="75">
        <v>420</v>
      </c>
      <c r="S8" s="32">
        <v>0</v>
      </c>
      <c r="T8" s="78" t="s">
        <v>22</v>
      </c>
      <c r="U8" s="79">
        <v>0.79464999999999997</v>
      </c>
      <c r="V8" s="47">
        <v>0</v>
      </c>
      <c r="W8" s="47">
        <v>78.573700000000002</v>
      </c>
      <c r="X8" s="47">
        <v>0</v>
      </c>
      <c r="Y8" s="47">
        <v>58.223399999999998</v>
      </c>
      <c r="Z8" s="47">
        <v>75.168300000000002</v>
      </c>
      <c r="AA8" s="47">
        <v>47.973500000000001</v>
      </c>
      <c r="AB8" s="47">
        <v>37.859499999999997</v>
      </c>
      <c r="AC8" s="47">
        <v>35.954999999999998</v>
      </c>
      <c r="AD8" s="47"/>
      <c r="AE8" s="47"/>
      <c r="AF8" s="47"/>
      <c r="AG8" s="47"/>
      <c r="AH8" s="47"/>
      <c r="AI8" s="47"/>
      <c r="AJ8" s="47"/>
    </row>
    <row r="9" spans="1:36" ht="14.45">
      <c r="A9" s="32" t="s">
        <v>38</v>
      </c>
      <c r="B9" s="32" t="s">
        <v>164</v>
      </c>
      <c r="C9" s="13" t="s">
        <v>165</v>
      </c>
      <c r="D9" s="77" t="s">
        <v>169</v>
      </c>
      <c r="E9" s="75" t="s">
        <v>173</v>
      </c>
      <c r="F9" s="77">
        <v>20.7697</v>
      </c>
      <c r="G9" s="77">
        <v>61.835700000000003</v>
      </c>
      <c r="H9" s="77">
        <v>22.265999999999998</v>
      </c>
      <c r="I9" s="75">
        <v>380</v>
      </c>
      <c r="J9" s="77">
        <v>448.02300000000002</v>
      </c>
      <c r="K9" s="77">
        <v>351.036</v>
      </c>
      <c r="L9" s="32">
        <v>0</v>
      </c>
      <c r="M9" s="32">
        <v>1</v>
      </c>
      <c r="N9" s="32">
        <v>1</v>
      </c>
      <c r="O9" s="76">
        <v>32914.1</v>
      </c>
      <c r="P9" s="32">
        <v>0</v>
      </c>
      <c r="Q9" s="32">
        <v>0</v>
      </c>
      <c r="R9" s="75">
        <v>400</v>
      </c>
      <c r="S9" s="32">
        <v>0</v>
      </c>
      <c r="T9" s="78" t="s">
        <v>22</v>
      </c>
      <c r="U9" s="79">
        <v>0.87758999999999998</v>
      </c>
      <c r="V9" s="47">
        <v>31.8064</v>
      </c>
      <c r="W9" s="47">
        <v>99.189499999999995</v>
      </c>
      <c r="X9" s="47">
        <v>0</v>
      </c>
      <c r="Y9" s="47">
        <v>56.199300000000001</v>
      </c>
      <c r="Z9" s="47">
        <v>79.25</v>
      </c>
      <c r="AA9" s="47">
        <v>23.1189</v>
      </c>
      <c r="AB9" s="47">
        <v>12.9376</v>
      </c>
      <c r="AC9" s="47">
        <v>48.533900000000003</v>
      </c>
      <c r="AD9" s="47"/>
      <c r="AE9" s="47"/>
      <c r="AF9" s="47"/>
      <c r="AG9" s="47"/>
      <c r="AH9" s="47"/>
      <c r="AI9" s="47"/>
      <c r="AJ9" s="47"/>
    </row>
    <row r="10" spans="1:36" ht="14.45">
      <c r="A10" s="32" t="s">
        <v>38</v>
      </c>
      <c r="B10" s="32" t="s">
        <v>164</v>
      </c>
      <c r="C10" s="13" t="s">
        <v>165</v>
      </c>
      <c r="D10" s="77" t="s">
        <v>169</v>
      </c>
      <c r="E10" s="75" t="s">
        <v>174</v>
      </c>
      <c r="F10" s="77">
        <v>20.77</v>
      </c>
      <c r="G10" s="77">
        <v>69.585400000000007</v>
      </c>
      <c r="H10" s="77">
        <v>21.630299999999998</v>
      </c>
      <c r="I10" s="75">
        <v>380</v>
      </c>
      <c r="J10" s="77">
        <v>492.43799999999999</v>
      </c>
      <c r="K10" s="77">
        <v>336.85700000000003</v>
      </c>
      <c r="L10" s="32">
        <v>0</v>
      </c>
      <c r="M10" s="32">
        <v>1</v>
      </c>
      <c r="N10" s="32">
        <v>1</v>
      </c>
      <c r="O10" s="76">
        <v>35626.5</v>
      </c>
      <c r="P10" s="32">
        <v>0</v>
      </c>
      <c r="Q10" s="32">
        <v>0</v>
      </c>
      <c r="R10" s="75">
        <v>380</v>
      </c>
      <c r="S10" s="32">
        <v>0</v>
      </c>
      <c r="T10" s="78" t="s">
        <v>22</v>
      </c>
      <c r="U10" s="79">
        <v>0.88646578947368426</v>
      </c>
      <c r="V10" s="47">
        <v>66.483900000000006</v>
      </c>
      <c r="W10" s="47">
        <v>130.04599999999999</v>
      </c>
      <c r="X10" s="47">
        <v>0</v>
      </c>
      <c r="Y10" s="47">
        <v>7.0496600000000003</v>
      </c>
      <c r="Z10" s="47">
        <v>12.3569</v>
      </c>
      <c r="AA10" s="47">
        <v>59.220799999999997</v>
      </c>
      <c r="AB10" s="47">
        <v>37.613500000000002</v>
      </c>
      <c r="AC10" s="47">
        <v>24.085899999999999</v>
      </c>
      <c r="AD10" s="47"/>
      <c r="AE10" s="47"/>
      <c r="AF10" s="47"/>
      <c r="AG10" s="47"/>
      <c r="AH10" s="47"/>
      <c r="AI10" s="47"/>
      <c r="AJ10" s="47"/>
    </row>
    <row r="11" spans="1:36" ht="14.45">
      <c r="A11" s="32" t="s">
        <v>38</v>
      </c>
      <c r="B11" s="32" t="s">
        <v>164</v>
      </c>
      <c r="C11" s="13" t="s">
        <v>165</v>
      </c>
      <c r="D11" s="77" t="s">
        <v>169</v>
      </c>
      <c r="E11" s="75" t="s">
        <v>175</v>
      </c>
      <c r="F11" s="77">
        <v>20.770199999999999</v>
      </c>
      <c r="G11" s="77">
        <v>67.546099999999996</v>
      </c>
      <c r="H11" s="77">
        <v>21.6051</v>
      </c>
      <c r="I11" s="75">
        <v>360</v>
      </c>
      <c r="J11" s="77">
        <v>507.25400000000002</v>
      </c>
      <c r="K11" s="77">
        <v>368.53399999999999</v>
      </c>
      <c r="L11" s="32">
        <v>0</v>
      </c>
      <c r="M11" s="32">
        <v>1</v>
      </c>
      <c r="N11" s="32">
        <v>1</v>
      </c>
      <c r="O11" s="76">
        <v>36525</v>
      </c>
      <c r="P11" s="32">
        <v>0</v>
      </c>
      <c r="Q11" s="32">
        <v>0</v>
      </c>
      <c r="R11" s="75">
        <v>400</v>
      </c>
      <c r="S11" s="32">
        <v>0</v>
      </c>
      <c r="T11" s="78" t="s">
        <v>22</v>
      </c>
      <c r="U11" s="79">
        <v>0.92133500000000002</v>
      </c>
      <c r="V11" s="47">
        <v>40.801900000000003</v>
      </c>
      <c r="W11" s="47">
        <v>118.268</v>
      </c>
      <c r="X11" s="47">
        <v>0</v>
      </c>
      <c r="Y11" s="47">
        <v>79.528300000000002</v>
      </c>
      <c r="Z11" s="47">
        <v>45.677199999999999</v>
      </c>
      <c r="AA11" s="47">
        <v>11.9992</v>
      </c>
      <c r="AB11" s="47">
        <v>40.349800000000002</v>
      </c>
      <c r="AC11" s="47">
        <v>31.909800000000001</v>
      </c>
      <c r="AD11" s="47"/>
      <c r="AE11" s="47"/>
      <c r="AF11" s="47"/>
      <c r="AG11" s="47"/>
      <c r="AH11" s="47"/>
      <c r="AI11" s="47"/>
      <c r="AJ11" s="47"/>
    </row>
    <row r="12" spans="1:36" ht="14.45">
      <c r="A12" s="32" t="s">
        <v>38</v>
      </c>
      <c r="B12" s="32" t="s">
        <v>164</v>
      </c>
      <c r="C12" s="13" t="s">
        <v>165</v>
      </c>
      <c r="D12" s="77" t="s">
        <v>169</v>
      </c>
      <c r="E12" s="75" t="s">
        <v>176</v>
      </c>
      <c r="F12" s="77">
        <v>20.7699</v>
      </c>
      <c r="G12" s="77">
        <v>63.319899999999997</v>
      </c>
      <c r="H12" s="77">
        <v>20.8127</v>
      </c>
      <c r="I12" s="75">
        <v>360</v>
      </c>
      <c r="J12" s="77">
        <v>436.50200000000001</v>
      </c>
      <c r="K12" s="77">
        <v>312.25099999999998</v>
      </c>
      <c r="L12" s="32">
        <v>0</v>
      </c>
      <c r="M12" s="32">
        <v>1</v>
      </c>
      <c r="N12" s="32">
        <v>1</v>
      </c>
      <c r="O12" s="76">
        <v>28518.9</v>
      </c>
      <c r="P12" s="32">
        <v>0</v>
      </c>
      <c r="Q12" s="32">
        <v>0</v>
      </c>
      <c r="R12" s="75">
        <v>420</v>
      </c>
      <c r="S12" s="32">
        <v>0</v>
      </c>
      <c r="T12" s="78" t="s">
        <v>22</v>
      </c>
      <c r="U12" s="79">
        <v>0.7434547619047619</v>
      </c>
      <c r="V12" s="47">
        <v>16.3979</v>
      </c>
      <c r="W12" s="47">
        <v>118.375</v>
      </c>
      <c r="X12" s="47">
        <v>0</v>
      </c>
      <c r="Y12" s="47">
        <v>16.5871</v>
      </c>
      <c r="Z12" s="47">
        <v>25.389299999999999</v>
      </c>
      <c r="AA12" s="47">
        <v>38.894799999999996</v>
      </c>
      <c r="AB12" s="47">
        <v>50.854900000000001</v>
      </c>
      <c r="AC12" s="47">
        <v>45.7517</v>
      </c>
      <c r="AD12" s="47"/>
      <c r="AE12" s="47"/>
      <c r="AF12" s="47"/>
      <c r="AG12" s="47"/>
      <c r="AH12" s="47"/>
      <c r="AI12" s="47"/>
      <c r="AJ12" s="47"/>
    </row>
    <row r="13" spans="1:36" ht="14.45">
      <c r="A13" s="32" t="s">
        <v>38</v>
      </c>
      <c r="B13" s="32" t="s">
        <v>164</v>
      </c>
      <c r="C13" s="13" t="s">
        <v>165</v>
      </c>
      <c r="D13" s="77" t="s">
        <v>169</v>
      </c>
      <c r="E13" s="75" t="s">
        <v>177</v>
      </c>
      <c r="F13" s="77">
        <v>20.777899999999999</v>
      </c>
      <c r="G13" s="77">
        <v>52.995899999999999</v>
      </c>
      <c r="H13" s="77">
        <v>21.267900000000001</v>
      </c>
      <c r="I13" s="75">
        <v>340</v>
      </c>
      <c r="J13" s="77">
        <v>369.59899999999999</v>
      </c>
      <c r="K13" s="77">
        <v>277.57</v>
      </c>
      <c r="L13" s="32">
        <v>0</v>
      </c>
      <c r="M13" s="32">
        <v>1</v>
      </c>
      <c r="N13" s="32">
        <v>1</v>
      </c>
      <c r="O13" s="76">
        <v>26968.5</v>
      </c>
      <c r="P13" s="32">
        <v>0</v>
      </c>
      <c r="Q13" s="32">
        <v>0</v>
      </c>
      <c r="R13" s="75">
        <v>380</v>
      </c>
      <c r="S13" s="32">
        <v>0</v>
      </c>
      <c r="T13" s="78" t="s">
        <v>22</v>
      </c>
      <c r="U13" s="79">
        <v>0.73044736842105262</v>
      </c>
      <c r="V13" s="47">
        <v>13.846</v>
      </c>
      <c r="W13" s="47">
        <v>91.082300000000004</v>
      </c>
      <c r="X13" s="47">
        <v>0</v>
      </c>
      <c r="Y13" s="47">
        <v>54.902099999999997</v>
      </c>
      <c r="Z13" s="47">
        <v>58.7254</v>
      </c>
      <c r="AA13" s="47">
        <v>21.3826</v>
      </c>
      <c r="AB13" s="47">
        <v>26.196999999999999</v>
      </c>
      <c r="AC13" s="47">
        <v>11.4344</v>
      </c>
      <c r="AD13" s="47"/>
      <c r="AE13" s="47"/>
      <c r="AF13" s="47"/>
      <c r="AG13" s="47"/>
      <c r="AH13" s="47"/>
      <c r="AI13" s="47"/>
      <c r="AJ13" s="47"/>
    </row>
    <row r="14" spans="1:36" ht="14.45">
      <c r="A14" s="32" t="s">
        <v>40</v>
      </c>
      <c r="B14" s="32" t="s">
        <v>164</v>
      </c>
      <c r="C14" s="13" t="s">
        <v>165</v>
      </c>
      <c r="D14" s="77" t="s">
        <v>169</v>
      </c>
      <c r="E14" s="75" t="s">
        <v>36</v>
      </c>
      <c r="F14" s="77">
        <v>20.774000000000001</v>
      </c>
      <c r="G14" s="77">
        <v>61.553100000000001</v>
      </c>
      <c r="H14" s="77">
        <v>21.596299999999999</v>
      </c>
      <c r="I14" s="75">
        <v>375</v>
      </c>
      <c r="J14" s="77">
        <v>440.39100000000002</v>
      </c>
      <c r="K14" s="77">
        <v>328.76900000000001</v>
      </c>
      <c r="L14" s="32">
        <v>9.5638400000000008</v>
      </c>
      <c r="M14" s="32">
        <v>8</v>
      </c>
      <c r="N14" s="32">
        <v>8</v>
      </c>
      <c r="O14" s="76">
        <v>31082.7</v>
      </c>
      <c r="P14" s="32">
        <v>1296.81</v>
      </c>
      <c r="Q14" s="32">
        <v>11.2</v>
      </c>
      <c r="R14" s="75">
        <v>412.5</v>
      </c>
      <c r="S14" s="32">
        <v>0</v>
      </c>
      <c r="T14" s="78">
        <v>6.8786558350553556E-2</v>
      </c>
      <c r="U14" s="79">
        <v>0.7970157575757576</v>
      </c>
      <c r="V14" s="47">
        <v>28.944099999999999</v>
      </c>
      <c r="W14" s="47">
        <v>99.920900000000003</v>
      </c>
      <c r="X14" s="47">
        <v>0</v>
      </c>
      <c r="Y14" s="47">
        <v>44.128700000000002</v>
      </c>
      <c r="Z14" s="47">
        <v>56.532299999999999</v>
      </c>
      <c r="AA14" s="47">
        <v>31.033899999999999</v>
      </c>
      <c r="AB14" s="47">
        <v>34.618899999999996</v>
      </c>
      <c r="AC14" s="47">
        <v>33.5901</v>
      </c>
      <c r="AD14" s="47"/>
      <c r="AE14" s="47"/>
      <c r="AF14" s="47"/>
      <c r="AG14" s="47"/>
      <c r="AH14" s="47"/>
      <c r="AI14" s="47"/>
      <c r="AJ14" s="47"/>
    </row>
    <row r="15" spans="1:36" ht="14.45">
      <c r="A15" s="32" t="s">
        <v>38</v>
      </c>
      <c r="B15" s="32" t="s">
        <v>164</v>
      </c>
      <c r="C15" s="13" t="s">
        <v>165</v>
      </c>
      <c r="D15" s="77" t="s">
        <v>178</v>
      </c>
      <c r="E15" s="75" t="s">
        <v>179</v>
      </c>
      <c r="F15" s="77">
        <v>19.780999999999999</v>
      </c>
      <c r="G15" s="77">
        <v>33.781700000000001</v>
      </c>
      <c r="H15" s="77">
        <v>20.880800000000001</v>
      </c>
      <c r="I15" s="75">
        <v>240</v>
      </c>
      <c r="J15" s="77">
        <v>209.11500000000001</v>
      </c>
      <c r="K15" s="77">
        <v>168.02099999999999</v>
      </c>
      <c r="L15" s="32">
        <v>0</v>
      </c>
      <c r="M15" s="32">
        <v>1</v>
      </c>
      <c r="N15" s="32">
        <v>1</v>
      </c>
      <c r="O15" s="76">
        <v>14577.2</v>
      </c>
      <c r="P15" s="32">
        <v>0</v>
      </c>
      <c r="Q15" s="32">
        <v>0</v>
      </c>
      <c r="R15" s="75">
        <v>220</v>
      </c>
      <c r="S15" s="32">
        <v>0</v>
      </c>
      <c r="T15" s="78" t="s">
        <v>22</v>
      </c>
      <c r="U15" s="79">
        <v>0.76373181818181812</v>
      </c>
      <c r="V15" s="47">
        <v>0</v>
      </c>
      <c r="W15" s="47">
        <v>56.396000000000001</v>
      </c>
      <c r="X15" s="47">
        <v>0</v>
      </c>
      <c r="Y15" s="47">
        <v>0</v>
      </c>
      <c r="Z15" s="47">
        <v>29.349299999999999</v>
      </c>
      <c r="AA15" s="47">
        <v>31.3066</v>
      </c>
      <c r="AB15" s="47">
        <v>39.241300000000003</v>
      </c>
      <c r="AC15" s="47">
        <v>11.727600000000001</v>
      </c>
      <c r="AD15" s="47"/>
      <c r="AE15" s="47"/>
      <c r="AF15" s="47"/>
      <c r="AG15" s="47"/>
      <c r="AH15" s="47"/>
      <c r="AI15" s="47"/>
      <c r="AJ15" s="47"/>
    </row>
    <row r="16" spans="1:36" ht="14.45">
      <c r="A16" s="32" t="s">
        <v>38</v>
      </c>
      <c r="B16" s="32" t="s">
        <v>164</v>
      </c>
      <c r="C16" s="13" t="s">
        <v>165</v>
      </c>
      <c r="D16" s="77" t="s">
        <v>178</v>
      </c>
      <c r="E16" s="75" t="s">
        <v>180</v>
      </c>
      <c r="F16" s="77">
        <v>19.778600000000001</v>
      </c>
      <c r="G16" s="77">
        <v>50.434399999999997</v>
      </c>
      <c r="H16" s="77">
        <v>22.668099999999999</v>
      </c>
      <c r="I16" s="75">
        <v>280</v>
      </c>
      <c r="J16" s="77">
        <v>370.56400000000002</v>
      </c>
      <c r="K16" s="77">
        <v>278.09199999999998</v>
      </c>
      <c r="L16" s="32">
        <v>0</v>
      </c>
      <c r="M16" s="32">
        <v>1</v>
      </c>
      <c r="N16" s="32">
        <v>1</v>
      </c>
      <c r="O16" s="76">
        <v>28770.9</v>
      </c>
      <c r="P16" s="32">
        <v>0</v>
      </c>
      <c r="Q16" s="32">
        <v>0</v>
      </c>
      <c r="R16" s="75">
        <v>300</v>
      </c>
      <c r="S16" s="32">
        <v>0</v>
      </c>
      <c r="T16" s="78" t="s">
        <v>22</v>
      </c>
      <c r="U16" s="79">
        <v>0.92697333333333332</v>
      </c>
      <c r="V16" s="47">
        <v>50.142299999999999</v>
      </c>
      <c r="W16" s="47">
        <v>68.571899999999999</v>
      </c>
      <c r="X16" s="47">
        <v>0</v>
      </c>
      <c r="Y16" s="47">
        <v>61.373899999999999</v>
      </c>
      <c r="Z16" s="47">
        <v>43.6967</v>
      </c>
      <c r="AA16" s="47">
        <v>27.7376</v>
      </c>
      <c r="AB16" s="47">
        <v>19.235800000000001</v>
      </c>
      <c r="AC16" s="47">
        <v>7.33432</v>
      </c>
      <c r="AD16" s="47"/>
      <c r="AE16" s="47"/>
      <c r="AF16" s="47"/>
      <c r="AG16" s="47"/>
      <c r="AH16" s="47"/>
      <c r="AI16" s="47"/>
      <c r="AJ16" s="47"/>
    </row>
    <row r="17" spans="1:36" ht="14.45">
      <c r="A17" s="32" t="s">
        <v>38</v>
      </c>
      <c r="B17" s="32" t="s">
        <v>164</v>
      </c>
      <c r="C17" s="13" t="s">
        <v>165</v>
      </c>
      <c r="D17" s="77" t="s">
        <v>178</v>
      </c>
      <c r="E17" s="75" t="s">
        <v>181</v>
      </c>
      <c r="F17" s="77">
        <v>19.778300000000002</v>
      </c>
      <c r="G17" s="77">
        <v>71.830399999999997</v>
      </c>
      <c r="H17" s="77">
        <v>23.1617</v>
      </c>
      <c r="I17" s="75">
        <v>400</v>
      </c>
      <c r="J17" s="77">
        <v>526.85799999999995</v>
      </c>
      <c r="K17" s="77">
        <v>358.31900000000002</v>
      </c>
      <c r="L17" s="32">
        <v>0</v>
      </c>
      <c r="M17" s="32">
        <v>1</v>
      </c>
      <c r="N17" s="32">
        <v>1</v>
      </c>
      <c r="O17" s="76">
        <v>31252.1</v>
      </c>
      <c r="P17" s="32">
        <v>0</v>
      </c>
      <c r="Q17" s="32">
        <v>0</v>
      </c>
      <c r="R17" s="75">
        <v>440</v>
      </c>
      <c r="S17" s="32">
        <v>0</v>
      </c>
      <c r="T17" s="78" t="s">
        <v>22</v>
      </c>
      <c r="U17" s="79">
        <v>0.81436136363636369</v>
      </c>
      <c r="V17" s="47">
        <v>20.019100000000002</v>
      </c>
      <c r="W17" s="47">
        <v>46.504899999999999</v>
      </c>
      <c r="X17" s="47">
        <v>43.3215</v>
      </c>
      <c r="Y17" s="47">
        <v>56.193300000000001</v>
      </c>
      <c r="Z17" s="47">
        <v>82.329700000000003</v>
      </c>
      <c r="AA17" s="47">
        <v>42.256599999999999</v>
      </c>
      <c r="AB17" s="47">
        <v>41.298099999999998</v>
      </c>
      <c r="AC17" s="47">
        <v>26.396100000000001</v>
      </c>
      <c r="AD17" s="47"/>
      <c r="AE17" s="47"/>
      <c r="AF17" s="47"/>
      <c r="AG17" s="47"/>
      <c r="AH17" s="47"/>
      <c r="AI17" s="47"/>
      <c r="AJ17" s="47"/>
    </row>
    <row r="18" spans="1:36" ht="14.45">
      <c r="A18" s="32" t="s">
        <v>38</v>
      </c>
      <c r="B18" s="32" t="s">
        <v>164</v>
      </c>
      <c r="C18" s="13" t="s">
        <v>165</v>
      </c>
      <c r="D18" s="77" t="s">
        <v>178</v>
      </c>
      <c r="E18" s="75" t="s">
        <v>182</v>
      </c>
      <c r="F18" s="77">
        <v>19.777899999999999</v>
      </c>
      <c r="G18" s="77">
        <v>64.631100000000004</v>
      </c>
      <c r="H18" s="77">
        <v>22.914300000000001</v>
      </c>
      <c r="I18" s="75">
        <v>480</v>
      </c>
      <c r="J18" s="77">
        <v>466.29</v>
      </c>
      <c r="K18" s="77">
        <v>377.947</v>
      </c>
      <c r="L18" s="32">
        <v>0</v>
      </c>
      <c r="M18" s="32">
        <v>1</v>
      </c>
      <c r="N18" s="32">
        <v>1</v>
      </c>
      <c r="O18" s="76">
        <v>37997.199999999997</v>
      </c>
      <c r="P18" s="32">
        <v>0</v>
      </c>
      <c r="Q18" s="32">
        <v>0</v>
      </c>
      <c r="R18" s="75">
        <v>480</v>
      </c>
      <c r="S18" s="32">
        <v>0</v>
      </c>
      <c r="T18" s="78" t="s">
        <v>22</v>
      </c>
      <c r="U18" s="79">
        <v>0.78738958333333331</v>
      </c>
      <c r="V18" s="47">
        <v>32.3215</v>
      </c>
      <c r="W18" s="47">
        <v>140.19999999999999</v>
      </c>
      <c r="X18" s="47">
        <v>0</v>
      </c>
      <c r="Y18" s="47">
        <v>33.482700000000001</v>
      </c>
      <c r="Z18" s="47">
        <v>84.654899999999998</v>
      </c>
      <c r="AA18" s="47">
        <v>21.2012</v>
      </c>
      <c r="AB18" s="47">
        <v>55.681800000000003</v>
      </c>
      <c r="AC18" s="47">
        <v>10.4048</v>
      </c>
      <c r="AD18" s="47"/>
      <c r="AE18" s="47"/>
      <c r="AF18" s="47"/>
      <c r="AG18" s="47"/>
      <c r="AH18" s="47"/>
      <c r="AI18" s="47"/>
      <c r="AJ18" s="47"/>
    </row>
    <row r="19" spans="1:36" ht="14.45">
      <c r="A19" s="32" t="s">
        <v>38</v>
      </c>
      <c r="B19" s="32" t="s">
        <v>164</v>
      </c>
      <c r="C19" s="13" t="s">
        <v>165</v>
      </c>
      <c r="D19" s="77" t="s">
        <v>178</v>
      </c>
      <c r="E19" s="75" t="s">
        <v>183</v>
      </c>
      <c r="F19" s="77">
        <v>19.780899999999999</v>
      </c>
      <c r="G19" s="77">
        <v>58.037300000000002</v>
      </c>
      <c r="H19" s="77">
        <v>21.7683</v>
      </c>
      <c r="I19" s="75">
        <v>340</v>
      </c>
      <c r="J19" s="77">
        <v>416.97800000000001</v>
      </c>
      <c r="K19" s="77">
        <v>322.077</v>
      </c>
      <c r="L19" s="32">
        <v>0</v>
      </c>
      <c r="M19" s="32">
        <v>1</v>
      </c>
      <c r="N19" s="32">
        <v>1</v>
      </c>
      <c r="O19" s="76">
        <v>29814.1</v>
      </c>
      <c r="P19" s="32">
        <v>0</v>
      </c>
      <c r="Q19" s="32">
        <v>0</v>
      </c>
      <c r="R19" s="75">
        <v>340</v>
      </c>
      <c r="S19" s="32">
        <v>0</v>
      </c>
      <c r="T19" s="78" t="s">
        <v>22</v>
      </c>
      <c r="U19" s="79">
        <v>0.94728529411764706</v>
      </c>
      <c r="V19" s="47">
        <v>0</v>
      </c>
      <c r="W19" s="47">
        <v>122.60299999999999</v>
      </c>
      <c r="X19" s="47">
        <v>0</v>
      </c>
      <c r="Y19" s="47">
        <v>21.096699999999998</v>
      </c>
      <c r="Z19" s="47">
        <v>19.182300000000001</v>
      </c>
      <c r="AA19" s="47">
        <v>119.161</v>
      </c>
      <c r="AB19" s="47">
        <v>30.003900000000002</v>
      </c>
      <c r="AC19" s="47">
        <v>10.029999999999999</v>
      </c>
      <c r="AD19" s="47"/>
      <c r="AE19" s="47"/>
      <c r="AF19" s="47"/>
      <c r="AG19" s="47"/>
      <c r="AH19" s="47"/>
      <c r="AI19" s="47"/>
      <c r="AJ19" s="47"/>
    </row>
    <row r="20" spans="1:36" ht="14.45">
      <c r="A20" s="32" t="s">
        <v>38</v>
      </c>
      <c r="B20" s="32" t="s">
        <v>164</v>
      </c>
      <c r="C20" s="13" t="s">
        <v>165</v>
      </c>
      <c r="D20" s="77" t="s">
        <v>178</v>
      </c>
      <c r="E20" s="75" t="s">
        <v>184</v>
      </c>
      <c r="F20" s="77">
        <v>19.781099999999999</v>
      </c>
      <c r="G20" s="77">
        <v>61.829700000000003</v>
      </c>
      <c r="H20" s="77">
        <v>23.837199999999999</v>
      </c>
      <c r="I20" s="75">
        <v>320</v>
      </c>
      <c r="J20" s="77">
        <v>463.19400000000002</v>
      </c>
      <c r="K20" s="77">
        <v>354.03500000000003</v>
      </c>
      <c r="L20" s="32">
        <v>0</v>
      </c>
      <c r="M20" s="32">
        <v>1</v>
      </c>
      <c r="N20" s="32">
        <v>1</v>
      </c>
      <c r="O20" s="76">
        <v>37066.400000000001</v>
      </c>
      <c r="P20" s="32">
        <v>0</v>
      </c>
      <c r="Q20" s="32">
        <v>0</v>
      </c>
      <c r="R20" s="75">
        <v>300</v>
      </c>
      <c r="S20" s="32">
        <v>0</v>
      </c>
      <c r="T20" s="78" t="s">
        <v>22</v>
      </c>
      <c r="U20" s="79">
        <v>1.1801166666666667</v>
      </c>
      <c r="V20" s="47">
        <v>48.424900000000001</v>
      </c>
      <c r="W20" s="47">
        <v>98.811499999999995</v>
      </c>
      <c r="X20" s="47">
        <v>23.265000000000001</v>
      </c>
      <c r="Y20" s="47">
        <v>83.272999999999996</v>
      </c>
      <c r="Z20" s="47">
        <v>38.578600000000002</v>
      </c>
      <c r="AA20" s="47">
        <v>39.805500000000002</v>
      </c>
      <c r="AB20" s="47">
        <v>20.237400000000001</v>
      </c>
      <c r="AC20" s="47">
        <v>1.63941</v>
      </c>
    </row>
    <row r="21" spans="1:36" ht="14.45">
      <c r="A21" s="32" t="s">
        <v>38</v>
      </c>
      <c r="B21" s="32" t="s">
        <v>164</v>
      </c>
      <c r="C21" s="13" t="s">
        <v>165</v>
      </c>
      <c r="D21" s="77" t="s">
        <v>178</v>
      </c>
      <c r="E21" s="75" t="s">
        <v>185</v>
      </c>
      <c r="F21" s="77">
        <v>19.781199999999998</v>
      </c>
      <c r="G21" s="77">
        <v>51.055799999999998</v>
      </c>
      <c r="H21" s="77">
        <v>24.760100000000001</v>
      </c>
      <c r="I21" s="75">
        <v>240</v>
      </c>
      <c r="J21" s="77">
        <v>401.17099999999999</v>
      </c>
      <c r="K21" s="77">
        <v>315.017</v>
      </c>
      <c r="L21" s="32">
        <v>0</v>
      </c>
      <c r="M21" s="32">
        <v>1</v>
      </c>
      <c r="N21" s="32">
        <v>1</v>
      </c>
      <c r="O21" s="76">
        <v>33806.5</v>
      </c>
      <c r="P21" s="32">
        <v>0</v>
      </c>
      <c r="Q21" s="32">
        <v>0</v>
      </c>
      <c r="R21" s="75">
        <v>240</v>
      </c>
      <c r="S21" s="32">
        <v>0</v>
      </c>
      <c r="T21" s="78" t="s">
        <v>22</v>
      </c>
      <c r="U21" s="79">
        <v>1.3125708333333332</v>
      </c>
      <c r="V21" s="47">
        <v>84.610100000000003</v>
      </c>
      <c r="W21" s="47">
        <v>59.838900000000002</v>
      </c>
      <c r="X21" s="47">
        <v>0</v>
      </c>
      <c r="Y21" s="47">
        <v>64.177199999999999</v>
      </c>
      <c r="Z21" s="47">
        <v>37.616300000000003</v>
      </c>
      <c r="AA21" s="47">
        <v>50.404200000000003</v>
      </c>
      <c r="AB21" s="47">
        <v>15.7082</v>
      </c>
      <c r="AC21" s="47">
        <v>2.6623700000000001</v>
      </c>
    </row>
    <row r="22" spans="1:36" ht="14.45">
      <c r="A22" s="32" t="s">
        <v>38</v>
      </c>
      <c r="B22" s="32" t="s">
        <v>164</v>
      </c>
      <c r="C22" s="13" t="s">
        <v>165</v>
      </c>
      <c r="D22" s="77" t="s">
        <v>178</v>
      </c>
      <c r="E22" s="75" t="s">
        <v>186</v>
      </c>
      <c r="F22" s="77">
        <v>19.778400000000001</v>
      </c>
      <c r="G22" s="77">
        <v>56.860500000000002</v>
      </c>
      <c r="H22" s="77">
        <v>21.549900000000001</v>
      </c>
      <c r="I22" s="75">
        <v>360</v>
      </c>
      <c r="J22" s="77">
        <v>403.25400000000002</v>
      </c>
      <c r="K22" s="77">
        <v>289.50599999999997</v>
      </c>
      <c r="L22" s="32">
        <v>0</v>
      </c>
      <c r="M22" s="32">
        <v>1</v>
      </c>
      <c r="N22" s="32">
        <v>1</v>
      </c>
      <c r="O22" s="76">
        <v>23930.5</v>
      </c>
      <c r="P22" s="32">
        <v>0</v>
      </c>
      <c r="Q22" s="32">
        <v>0</v>
      </c>
      <c r="R22" s="75">
        <v>400</v>
      </c>
      <c r="S22" s="32">
        <v>0</v>
      </c>
      <c r="T22" s="78" t="s">
        <v>22</v>
      </c>
      <c r="U22" s="79">
        <v>0.72376499999999988</v>
      </c>
      <c r="V22" s="47">
        <v>12.390700000000001</v>
      </c>
      <c r="W22" s="47">
        <v>52.337499999999999</v>
      </c>
      <c r="X22" s="47">
        <v>0</v>
      </c>
      <c r="Y22" s="47">
        <v>20.974499999999999</v>
      </c>
      <c r="Z22" s="47">
        <v>26.4572</v>
      </c>
      <c r="AA22" s="47">
        <v>122.988</v>
      </c>
      <c r="AB22" s="47">
        <v>34.128</v>
      </c>
      <c r="AC22" s="47">
        <v>20.229500000000002</v>
      </c>
    </row>
    <row r="23" spans="1:36" ht="14.45">
      <c r="A23" s="32" t="s">
        <v>38</v>
      </c>
      <c r="B23" s="32" t="s">
        <v>164</v>
      </c>
      <c r="C23" s="13" t="s">
        <v>165</v>
      </c>
      <c r="D23" s="77" t="s">
        <v>178</v>
      </c>
      <c r="E23" s="75" t="s">
        <v>187</v>
      </c>
      <c r="F23" s="77">
        <v>19.7807</v>
      </c>
      <c r="G23" s="77">
        <v>48.059600000000003</v>
      </c>
      <c r="H23" s="77">
        <v>21.479399999999998</v>
      </c>
      <c r="I23" s="75">
        <v>300</v>
      </c>
      <c r="J23" s="77">
        <v>340.25599999999997</v>
      </c>
      <c r="K23" s="77">
        <v>264.19799999999998</v>
      </c>
      <c r="L23" s="32">
        <v>0</v>
      </c>
      <c r="M23" s="32">
        <v>1</v>
      </c>
      <c r="N23" s="32">
        <v>1</v>
      </c>
      <c r="O23" s="76">
        <v>22761.200000000001</v>
      </c>
      <c r="P23" s="32">
        <v>0</v>
      </c>
      <c r="Q23" s="32">
        <v>0</v>
      </c>
      <c r="R23" s="75">
        <v>320</v>
      </c>
      <c r="S23" s="32">
        <v>0</v>
      </c>
      <c r="T23" s="78" t="s">
        <v>22</v>
      </c>
      <c r="U23" s="79">
        <v>0.82561874999999996</v>
      </c>
      <c r="V23" s="47">
        <v>0</v>
      </c>
      <c r="W23" s="47">
        <v>64.908100000000005</v>
      </c>
      <c r="X23" s="47">
        <v>0</v>
      </c>
      <c r="Y23" s="47">
        <v>40.436399999999999</v>
      </c>
      <c r="Z23" s="47">
        <v>47.1967</v>
      </c>
      <c r="AA23" s="47">
        <v>67.31</v>
      </c>
      <c r="AB23" s="47">
        <v>28.8691</v>
      </c>
      <c r="AC23" s="47">
        <v>15.477399999999999</v>
      </c>
    </row>
    <row r="24" spans="1:36" ht="14.45">
      <c r="A24" s="32" t="s">
        <v>38</v>
      </c>
      <c r="B24" s="32" t="s">
        <v>164</v>
      </c>
      <c r="C24" s="13" t="s">
        <v>165</v>
      </c>
      <c r="D24" s="77" t="s">
        <v>178</v>
      </c>
      <c r="E24" s="75" t="s">
        <v>188</v>
      </c>
      <c r="F24" s="77">
        <v>19.7837</v>
      </c>
      <c r="G24" s="77">
        <v>80.458799999999997</v>
      </c>
      <c r="H24" s="77">
        <v>25.382400000000001</v>
      </c>
      <c r="I24" s="75">
        <v>440</v>
      </c>
      <c r="J24" s="77">
        <v>643.94799999999998</v>
      </c>
      <c r="K24" s="77">
        <v>525.54499999999996</v>
      </c>
      <c r="L24" s="32">
        <v>0</v>
      </c>
      <c r="M24" s="32">
        <v>1</v>
      </c>
      <c r="N24" s="32">
        <v>1</v>
      </c>
      <c r="O24" s="76">
        <v>56286.5</v>
      </c>
      <c r="P24" s="32">
        <v>0</v>
      </c>
      <c r="Q24" s="32">
        <v>0</v>
      </c>
      <c r="R24" s="75">
        <v>420</v>
      </c>
      <c r="S24" s="32">
        <v>0</v>
      </c>
      <c r="T24" s="78" t="s">
        <v>22</v>
      </c>
      <c r="U24" s="79">
        <v>1.251297619047619</v>
      </c>
      <c r="V24" s="47">
        <v>109.345</v>
      </c>
      <c r="W24" s="47">
        <v>135.35300000000001</v>
      </c>
      <c r="X24" s="47">
        <v>34.166699999999999</v>
      </c>
      <c r="Y24" s="47">
        <v>64.703900000000004</v>
      </c>
      <c r="Z24" s="47">
        <v>103.304</v>
      </c>
      <c r="AA24" s="47">
        <v>29.936499999999999</v>
      </c>
      <c r="AB24" s="47">
        <v>40.8947</v>
      </c>
      <c r="AC24" s="47">
        <v>7.8402200000000004</v>
      </c>
    </row>
    <row r="25" spans="1:36" ht="14.45">
      <c r="A25" s="32" t="s">
        <v>40</v>
      </c>
      <c r="B25" s="32" t="s">
        <v>164</v>
      </c>
      <c r="C25" s="13" t="s">
        <v>165</v>
      </c>
      <c r="D25" s="77" t="s">
        <v>178</v>
      </c>
      <c r="E25" s="75" t="s">
        <v>36</v>
      </c>
      <c r="F25" s="77">
        <v>19.780200000000001</v>
      </c>
      <c r="G25" s="77">
        <v>57.697899999999997</v>
      </c>
      <c r="H25" s="77">
        <v>22.840199999999999</v>
      </c>
      <c r="I25" s="75">
        <v>340</v>
      </c>
      <c r="J25" s="77">
        <v>424.16300000000001</v>
      </c>
      <c r="K25" s="77">
        <v>325.27600000000001</v>
      </c>
      <c r="L25" s="32">
        <v>29.227399999999999</v>
      </c>
      <c r="M25" s="32">
        <v>10</v>
      </c>
      <c r="N25" s="32">
        <v>10</v>
      </c>
      <c r="O25" s="76">
        <v>31626.3</v>
      </c>
      <c r="P25" s="32">
        <v>3532.59</v>
      </c>
      <c r="Q25" s="32">
        <v>13.4</v>
      </c>
      <c r="R25" s="75">
        <v>346</v>
      </c>
      <c r="S25" s="32">
        <v>0</v>
      </c>
      <c r="T25" s="78">
        <v>0.20326421949350171</v>
      </c>
      <c r="U25" s="79">
        <v>0.94010404624277455</v>
      </c>
      <c r="V25" s="47">
        <v>35.7254</v>
      </c>
      <c r="W25" s="47">
        <v>84.552499999999995</v>
      </c>
      <c r="X25" s="47">
        <v>10.0753</v>
      </c>
      <c r="Y25" s="47">
        <v>44.571199999999997</v>
      </c>
      <c r="Z25" s="47">
        <v>51.236600000000003</v>
      </c>
      <c r="AA25" s="47">
        <v>55.210799999999999</v>
      </c>
      <c r="AB25" s="47">
        <v>32.529800000000002</v>
      </c>
      <c r="AC25" s="47">
        <v>11.3742</v>
      </c>
    </row>
    <row r="26" spans="1:36" ht="14.45">
      <c r="A26" s="32" t="s">
        <v>38</v>
      </c>
      <c r="B26" s="32" t="s">
        <v>164</v>
      </c>
      <c r="C26" s="13" t="s">
        <v>189</v>
      </c>
      <c r="D26" s="77" t="s">
        <v>190</v>
      </c>
      <c r="E26" s="75" t="s">
        <v>191</v>
      </c>
      <c r="F26" s="77">
        <v>31.783999999999999</v>
      </c>
      <c r="G26" s="77">
        <v>90.311199999999999</v>
      </c>
      <c r="H26" s="77">
        <v>34.602499999999999</v>
      </c>
      <c r="I26" s="75">
        <v>525</v>
      </c>
      <c r="J26" s="77">
        <v>918.97699999999998</v>
      </c>
      <c r="K26" s="77">
        <v>792.69200000000001</v>
      </c>
      <c r="L26" s="32">
        <v>0</v>
      </c>
      <c r="M26" s="32">
        <v>1</v>
      </c>
      <c r="N26" s="32">
        <v>1</v>
      </c>
      <c r="O26" s="76">
        <v>82828.2</v>
      </c>
      <c r="P26" s="32">
        <v>0</v>
      </c>
      <c r="Q26" s="32">
        <v>0</v>
      </c>
      <c r="R26" s="75">
        <v>525</v>
      </c>
      <c r="S26" s="32">
        <v>0</v>
      </c>
      <c r="T26" s="78" t="s">
        <v>22</v>
      </c>
      <c r="U26" s="79">
        <v>1.5098895238095238</v>
      </c>
      <c r="V26" s="47">
        <v>161.32900000000001</v>
      </c>
      <c r="W26" s="47">
        <v>116.50700000000001</v>
      </c>
      <c r="X26" s="47">
        <v>101.77200000000001</v>
      </c>
      <c r="Y26" s="47">
        <v>154.16499999999999</v>
      </c>
      <c r="Z26" s="47">
        <v>195.32300000000001</v>
      </c>
      <c r="AA26" s="47">
        <v>22.069600000000001</v>
      </c>
      <c r="AB26" s="47">
        <v>33.814</v>
      </c>
      <c r="AC26" s="47">
        <v>7.7117699999999996</v>
      </c>
    </row>
    <row r="27" spans="1:36" ht="14.45">
      <c r="A27" s="32" t="s">
        <v>38</v>
      </c>
      <c r="B27" s="32" t="s">
        <v>164</v>
      </c>
      <c r="C27" s="13" t="s">
        <v>189</v>
      </c>
      <c r="D27" s="77" t="s">
        <v>190</v>
      </c>
      <c r="E27" s="75" t="s">
        <v>192</v>
      </c>
      <c r="F27" s="77">
        <v>31.778099999999998</v>
      </c>
      <c r="G27" s="77">
        <v>93.320700000000002</v>
      </c>
      <c r="H27" s="77">
        <v>31.730499999999999</v>
      </c>
      <c r="I27" s="75">
        <v>400</v>
      </c>
      <c r="J27" s="77">
        <v>954.65099999999995</v>
      </c>
      <c r="K27" s="77">
        <v>758.90300000000002</v>
      </c>
      <c r="L27" s="32">
        <v>0</v>
      </c>
      <c r="M27" s="32">
        <v>1</v>
      </c>
      <c r="N27" s="32">
        <v>1</v>
      </c>
      <c r="O27" s="76">
        <v>76393.600000000006</v>
      </c>
      <c r="P27" s="32">
        <v>0</v>
      </c>
      <c r="Q27" s="32">
        <v>0</v>
      </c>
      <c r="R27" s="75">
        <v>500</v>
      </c>
      <c r="S27" s="32">
        <v>0</v>
      </c>
      <c r="T27" s="78" t="s">
        <v>22</v>
      </c>
      <c r="U27" s="79">
        <v>1.517806</v>
      </c>
      <c r="V27" s="47">
        <v>241.25</v>
      </c>
      <c r="W27" s="47">
        <v>26.461200000000002</v>
      </c>
      <c r="X27" s="47">
        <v>43.466299999999997</v>
      </c>
      <c r="Y27" s="47">
        <v>157.79300000000001</v>
      </c>
      <c r="Z27" s="47">
        <v>76.439400000000006</v>
      </c>
      <c r="AA27" s="47">
        <v>114.136</v>
      </c>
      <c r="AB27" s="47">
        <v>37.760100000000001</v>
      </c>
      <c r="AC27" s="47">
        <v>61.597700000000003</v>
      </c>
    </row>
    <row r="28" spans="1:36" ht="14.45">
      <c r="A28" s="32" t="s">
        <v>38</v>
      </c>
      <c r="B28" s="32" t="s">
        <v>164</v>
      </c>
      <c r="C28" s="13" t="s">
        <v>189</v>
      </c>
      <c r="D28" s="77" t="s">
        <v>190</v>
      </c>
      <c r="E28" s="75" t="s">
        <v>193</v>
      </c>
      <c r="F28" s="77">
        <v>31.777999999999999</v>
      </c>
      <c r="G28" s="77">
        <v>97.674800000000005</v>
      </c>
      <c r="H28" s="77">
        <v>34.3658</v>
      </c>
      <c r="I28" s="75">
        <v>525</v>
      </c>
      <c r="J28" s="77">
        <v>1033.8599999999999</v>
      </c>
      <c r="K28" s="77">
        <v>836.17200000000003</v>
      </c>
      <c r="L28" s="32">
        <v>0</v>
      </c>
      <c r="M28" s="32">
        <v>1</v>
      </c>
      <c r="N28" s="32">
        <v>1</v>
      </c>
      <c r="O28" s="76">
        <v>81716.399999999994</v>
      </c>
      <c r="P28" s="32">
        <v>0</v>
      </c>
      <c r="Q28" s="32">
        <v>0</v>
      </c>
      <c r="R28" s="75">
        <v>575</v>
      </c>
      <c r="S28" s="32">
        <v>0</v>
      </c>
      <c r="T28" s="78" t="s">
        <v>22</v>
      </c>
      <c r="U28" s="79">
        <v>1.4542121739130436</v>
      </c>
      <c r="V28" s="47">
        <v>133.38900000000001</v>
      </c>
      <c r="W28" s="47">
        <v>134.60499999999999</v>
      </c>
      <c r="X28" s="47">
        <v>98.125299999999996</v>
      </c>
      <c r="Y28" s="47">
        <v>137.97900000000001</v>
      </c>
      <c r="Z28" s="47">
        <v>147.66900000000001</v>
      </c>
      <c r="AA28" s="47">
        <v>68.727800000000002</v>
      </c>
      <c r="AB28" s="47">
        <v>62.799199999999999</v>
      </c>
      <c r="AC28" s="47">
        <v>52.877600000000001</v>
      </c>
    </row>
    <row r="29" spans="1:36" ht="14.45">
      <c r="A29" s="32" t="s">
        <v>38</v>
      </c>
      <c r="B29" s="32" t="s">
        <v>164</v>
      </c>
      <c r="C29" s="13" t="s">
        <v>189</v>
      </c>
      <c r="D29" s="77" t="s">
        <v>190</v>
      </c>
      <c r="E29" s="75" t="s">
        <v>194</v>
      </c>
      <c r="F29" s="77">
        <v>31.786899999999999</v>
      </c>
      <c r="G29" s="77">
        <v>59.351199999999999</v>
      </c>
      <c r="H29" s="77">
        <v>33.9</v>
      </c>
      <c r="I29" s="75">
        <v>375</v>
      </c>
      <c r="J29" s="77">
        <v>606.73</v>
      </c>
      <c r="K29" s="77">
        <v>474.6</v>
      </c>
      <c r="L29" s="32">
        <v>0</v>
      </c>
      <c r="M29" s="32">
        <v>1</v>
      </c>
      <c r="N29" s="32">
        <v>1</v>
      </c>
      <c r="O29" s="76">
        <v>42134.3</v>
      </c>
      <c r="P29" s="32">
        <v>0</v>
      </c>
      <c r="Q29" s="32">
        <v>0</v>
      </c>
      <c r="R29" s="75">
        <v>375</v>
      </c>
      <c r="S29" s="32">
        <v>0</v>
      </c>
      <c r="T29" s="78" t="s">
        <v>22</v>
      </c>
      <c r="U29" s="79">
        <v>1.2656000000000001</v>
      </c>
      <c r="V29" s="47">
        <v>0</v>
      </c>
      <c r="W29" s="47">
        <v>25.864100000000001</v>
      </c>
      <c r="X29" s="47">
        <v>142.80500000000001</v>
      </c>
      <c r="Y29" s="47">
        <v>149.654</v>
      </c>
      <c r="Z29" s="47">
        <v>92.905699999999996</v>
      </c>
      <c r="AA29" s="47">
        <v>20.498699999999999</v>
      </c>
      <c r="AB29" s="47">
        <v>28.9695</v>
      </c>
      <c r="AC29" s="47">
        <v>13.903</v>
      </c>
    </row>
    <row r="30" spans="1:36" ht="14.45">
      <c r="A30" s="32" t="s">
        <v>38</v>
      </c>
      <c r="B30" s="32" t="s">
        <v>164</v>
      </c>
      <c r="C30" s="13" t="s">
        <v>189</v>
      </c>
      <c r="D30" s="77" t="s">
        <v>190</v>
      </c>
      <c r="E30" s="75" t="s">
        <v>195</v>
      </c>
      <c r="F30" s="77">
        <v>31.7807</v>
      </c>
      <c r="G30" s="77">
        <v>93.035300000000007</v>
      </c>
      <c r="H30" s="77">
        <v>32.706200000000003</v>
      </c>
      <c r="I30" s="75">
        <v>350</v>
      </c>
      <c r="J30" s="77">
        <v>963.524</v>
      </c>
      <c r="K30" s="77">
        <v>621.87300000000005</v>
      </c>
      <c r="L30" s="32">
        <v>0</v>
      </c>
      <c r="M30" s="32">
        <v>1</v>
      </c>
      <c r="N30" s="32">
        <v>1</v>
      </c>
      <c r="O30" s="76">
        <v>60557.4</v>
      </c>
      <c r="P30" s="32">
        <v>0</v>
      </c>
      <c r="Q30" s="32">
        <v>0</v>
      </c>
      <c r="R30" s="75">
        <v>575</v>
      </c>
      <c r="S30" s="32">
        <v>0</v>
      </c>
      <c r="T30" s="78" t="s">
        <v>22</v>
      </c>
      <c r="U30" s="79">
        <v>1.0815182608695653</v>
      </c>
      <c r="V30" s="47">
        <v>169.15199999999999</v>
      </c>
      <c r="W30" s="47">
        <v>39.584299999999999</v>
      </c>
      <c r="X30" s="47">
        <v>78.156400000000005</v>
      </c>
      <c r="Y30" s="47">
        <v>87.595799999999997</v>
      </c>
      <c r="Z30" s="47">
        <v>43.209800000000001</v>
      </c>
      <c r="AA30" s="47">
        <v>94.459400000000002</v>
      </c>
      <c r="AB30" s="47">
        <v>32.629600000000003</v>
      </c>
      <c r="AC30" s="47">
        <v>77.084999999999994</v>
      </c>
    </row>
    <row r="31" spans="1:36" ht="14.45">
      <c r="A31" s="32" t="s">
        <v>38</v>
      </c>
      <c r="B31" s="32" t="s">
        <v>164</v>
      </c>
      <c r="C31" s="13" t="s">
        <v>189</v>
      </c>
      <c r="D31" s="77" t="s">
        <v>190</v>
      </c>
      <c r="E31" s="75" t="s">
        <v>196</v>
      </c>
      <c r="F31" s="77">
        <v>31.781099999999999</v>
      </c>
      <c r="G31" s="77">
        <v>87.765799999999999</v>
      </c>
      <c r="H31" s="77">
        <v>30.498799999999999</v>
      </c>
      <c r="I31" s="75">
        <v>525</v>
      </c>
      <c r="J31" s="77">
        <v>883.96500000000003</v>
      </c>
      <c r="K31" s="77">
        <v>717.67200000000003</v>
      </c>
      <c r="L31" s="32">
        <v>0</v>
      </c>
      <c r="M31" s="32">
        <v>1</v>
      </c>
      <c r="N31" s="32">
        <v>1</v>
      </c>
      <c r="O31" s="76">
        <v>62250.9</v>
      </c>
      <c r="P31" s="32">
        <v>0</v>
      </c>
      <c r="Q31" s="32">
        <v>0</v>
      </c>
      <c r="R31" s="75">
        <v>550</v>
      </c>
      <c r="S31" s="32">
        <v>0</v>
      </c>
      <c r="T31" s="78" t="s">
        <v>22</v>
      </c>
      <c r="U31" s="79">
        <v>1.3048581818181819</v>
      </c>
      <c r="V31" s="47">
        <v>36.209899999999998</v>
      </c>
      <c r="W31" s="47">
        <v>38.042900000000003</v>
      </c>
      <c r="X31" s="47">
        <v>150.66499999999999</v>
      </c>
      <c r="Y31" s="47">
        <v>184.65600000000001</v>
      </c>
      <c r="Z31" s="47">
        <v>144.84399999999999</v>
      </c>
      <c r="AA31" s="47">
        <v>66.258200000000002</v>
      </c>
      <c r="AB31" s="47">
        <v>35.096499999999999</v>
      </c>
      <c r="AC31" s="47">
        <v>61.900599999999997</v>
      </c>
    </row>
    <row r="32" spans="1:36" ht="14.45">
      <c r="A32" s="32" t="s">
        <v>38</v>
      </c>
      <c r="B32" s="32" t="s">
        <v>164</v>
      </c>
      <c r="C32" s="13" t="s">
        <v>189</v>
      </c>
      <c r="D32" s="77" t="s">
        <v>190</v>
      </c>
      <c r="E32" s="75" t="s">
        <v>197</v>
      </c>
      <c r="F32" s="77">
        <v>31.7866</v>
      </c>
      <c r="G32" s="77">
        <v>84.851200000000006</v>
      </c>
      <c r="H32" s="77">
        <v>30.385300000000001</v>
      </c>
      <c r="I32" s="75">
        <v>500</v>
      </c>
      <c r="J32" s="77">
        <v>819.76700000000005</v>
      </c>
      <c r="K32" s="77">
        <v>558.97</v>
      </c>
      <c r="L32" s="32">
        <v>0</v>
      </c>
      <c r="M32" s="32">
        <v>1</v>
      </c>
      <c r="N32" s="32">
        <v>1</v>
      </c>
      <c r="O32" s="76">
        <v>40162.699999999997</v>
      </c>
      <c r="P32" s="32">
        <v>0</v>
      </c>
      <c r="Q32" s="32">
        <v>0</v>
      </c>
      <c r="R32" s="75">
        <v>550</v>
      </c>
      <c r="S32" s="32">
        <v>0</v>
      </c>
      <c r="T32" s="78" t="s">
        <v>22</v>
      </c>
      <c r="U32" s="79">
        <v>1.0163090909090911</v>
      </c>
      <c r="V32" s="47">
        <v>0</v>
      </c>
      <c r="W32" s="47">
        <v>0</v>
      </c>
      <c r="X32" s="47">
        <v>57.850900000000003</v>
      </c>
      <c r="Y32" s="47">
        <v>109.214</v>
      </c>
      <c r="Z32" s="47">
        <v>56.006799999999998</v>
      </c>
      <c r="AA32" s="47">
        <v>208.01300000000001</v>
      </c>
      <c r="AB32" s="47">
        <v>55.679000000000002</v>
      </c>
      <c r="AC32" s="47">
        <v>72.206500000000005</v>
      </c>
    </row>
    <row r="33" spans="1:29" ht="14.45">
      <c r="A33" s="32" t="s">
        <v>38</v>
      </c>
      <c r="B33" s="32" t="s">
        <v>164</v>
      </c>
      <c r="C33" s="13" t="s">
        <v>189</v>
      </c>
      <c r="D33" s="77" t="s">
        <v>190</v>
      </c>
      <c r="E33" s="75" t="s">
        <v>198</v>
      </c>
      <c r="F33" s="77">
        <v>31.7864</v>
      </c>
      <c r="G33" s="77">
        <v>118.569</v>
      </c>
      <c r="H33" s="77">
        <v>32.618299999999998</v>
      </c>
      <c r="I33" s="75">
        <v>475</v>
      </c>
      <c r="J33" s="77">
        <v>1145.57</v>
      </c>
      <c r="K33" s="77">
        <v>826.327</v>
      </c>
      <c r="L33" s="32">
        <v>0</v>
      </c>
      <c r="M33" s="32">
        <v>1</v>
      </c>
      <c r="N33" s="32">
        <v>1</v>
      </c>
      <c r="O33" s="76">
        <v>71460</v>
      </c>
      <c r="P33" s="32">
        <v>0</v>
      </c>
      <c r="Q33" s="32">
        <v>0</v>
      </c>
      <c r="R33" s="75">
        <v>625</v>
      </c>
      <c r="S33" s="32">
        <v>0</v>
      </c>
      <c r="T33" s="78" t="s">
        <v>22</v>
      </c>
      <c r="U33" s="79">
        <v>1.3221232000000001</v>
      </c>
      <c r="V33" s="47">
        <v>95.391400000000004</v>
      </c>
      <c r="W33" s="47">
        <v>9.0366900000000001</v>
      </c>
      <c r="X33" s="47">
        <v>235.91900000000001</v>
      </c>
      <c r="Y33" s="47">
        <v>187.541</v>
      </c>
      <c r="Z33" s="47">
        <v>25.442299999999999</v>
      </c>
      <c r="AA33" s="47">
        <v>74.840800000000002</v>
      </c>
      <c r="AB33" s="47">
        <v>76.236099999999993</v>
      </c>
      <c r="AC33" s="47">
        <v>121.92</v>
      </c>
    </row>
    <row r="34" spans="1:29" ht="14.45">
      <c r="A34" s="32" t="s">
        <v>38</v>
      </c>
      <c r="B34" s="32" t="s">
        <v>164</v>
      </c>
      <c r="C34" s="13" t="s">
        <v>189</v>
      </c>
      <c r="D34" s="77" t="s">
        <v>190</v>
      </c>
      <c r="E34" s="75" t="s">
        <v>199</v>
      </c>
      <c r="F34" s="77">
        <v>31.786799999999999</v>
      </c>
      <c r="G34" s="77">
        <v>70.608400000000003</v>
      </c>
      <c r="H34" s="77">
        <v>33.017499999999998</v>
      </c>
      <c r="I34" s="75">
        <v>375</v>
      </c>
      <c r="J34" s="77">
        <v>730.71</v>
      </c>
      <c r="K34" s="77">
        <v>640.45399999999995</v>
      </c>
      <c r="L34" s="32">
        <v>0</v>
      </c>
      <c r="M34" s="32">
        <v>1</v>
      </c>
      <c r="N34" s="32">
        <v>1</v>
      </c>
      <c r="O34" s="76">
        <v>63147.199999999997</v>
      </c>
      <c r="P34" s="32">
        <v>0</v>
      </c>
      <c r="Q34" s="32">
        <v>0</v>
      </c>
      <c r="R34" s="75">
        <v>375</v>
      </c>
      <c r="S34" s="32">
        <v>0</v>
      </c>
      <c r="T34" s="78" t="s">
        <v>22</v>
      </c>
      <c r="U34" s="79">
        <v>1.7078773333333332</v>
      </c>
      <c r="V34" s="47">
        <v>77.031400000000005</v>
      </c>
      <c r="W34" s="47">
        <v>77.754599999999996</v>
      </c>
      <c r="X34" s="47">
        <v>67.641099999999994</v>
      </c>
      <c r="Y34" s="47">
        <v>239.63200000000001</v>
      </c>
      <c r="Z34" s="47">
        <v>113.072</v>
      </c>
      <c r="AA34" s="47">
        <v>34.687800000000003</v>
      </c>
      <c r="AB34" s="47">
        <v>25.3492</v>
      </c>
      <c r="AC34" s="47">
        <v>5.2860899999999997</v>
      </c>
    </row>
    <row r="35" spans="1:29" ht="14.45">
      <c r="A35" s="32" t="s">
        <v>38</v>
      </c>
      <c r="B35" s="32" t="s">
        <v>164</v>
      </c>
      <c r="C35" s="13" t="s">
        <v>189</v>
      </c>
      <c r="D35" s="77" t="s">
        <v>190</v>
      </c>
      <c r="E35" s="75" t="s">
        <v>200</v>
      </c>
      <c r="F35" s="77">
        <v>31.7864</v>
      </c>
      <c r="G35" s="77">
        <v>72.209400000000002</v>
      </c>
      <c r="H35" s="77">
        <v>30.373200000000001</v>
      </c>
      <c r="I35" s="75">
        <v>475</v>
      </c>
      <c r="J35" s="77">
        <v>682.07299999999998</v>
      </c>
      <c r="K35" s="77">
        <v>494.81599999999997</v>
      </c>
      <c r="L35" s="32">
        <v>0</v>
      </c>
      <c r="M35" s="32">
        <v>1</v>
      </c>
      <c r="N35" s="32">
        <v>1</v>
      </c>
      <c r="O35" s="76">
        <v>36363.199999999997</v>
      </c>
      <c r="P35" s="32">
        <v>0</v>
      </c>
      <c r="Q35" s="32">
        <v>0</v>
      </c>
      <c r="R35" s="75">
        <v>525</v>
      </c>
      <c r="S35" s="32">
        <v>0</v>
      </c>
      <c r="T35" s="78" t="s">
        <v>22</v>
      </c>
      <c r="U35" s="79">
        <v>0.9425066666666666</v>
      </c>
      <c r="V35" s="47">
        <v>0</v>
      </c>
      <c r="W35" s="47">
        <v>0</v>
      </c>
      <c r="X35" s="47">
        <v>54.820500000000003</v>
      </c>
      <c r="Y35" s="47">
        <v>130.60400000000001</v>
      </c>
      <c r="Z35" s="47">
        <v>105.646</v>
      </c>
      <c r="AA35" s="47">
        <v>82.821200000000005</v>
      </c>
      <c r="AB35" s="47">
        <v>41.664900000000003</v>
      </c>
      <c r="AC35" s="47">
        <v>79.259399999999999</v>
      </c>
    </row>
    <row r="36" spans="1:29" ht="14.45">
      <c r="A36" s="32" t="s">
        <v>38</v>
      </c>
      <c r="B36" s="32" t="s">
        <v>164</v>
      </c>
      <c r="C36" s="13" t="s">
        <v>189</v>
      </c>
      <c r="D36" s="77" t="s">
        <v>190</v>
      </c>
      <c r="E36" s="75" t="s">
        <v>201</v>
      </c>
      <c r="F36" s="77">
        <v>31.786100000000001</v>
      </c>
      <c r="G36" s="77">
        <v>124.749</v>
      </c>
      <c r="H36" s="77">
        <v>31.8262</v>
      </c>
      <c r="I36" s="75">
        <v>700</v>
      </c>
      <c r="J36" s="77">
        <v>1154.3699999999999</v>
      </c>
      <c r="K36" s="77">
        <v>805.54399999999998</v>
      </c>
      <c r="L36" s="32">
        <v>0</v>
      </c>
      <c r="M36" s="32">
        <v>1</v>
      </c>
      <c r="N36" s="32">
        <v>1</v>
      </c>
      <c r="O36" s="76">
        <v>60209.599999999999</v>
      </c>
      <c r="P36" s="32">
        <v>0</v>
      </c>
      <c r="Q36" s="32">
        <v>0</v>
      </c>
      <c r="R36" s="75">
        <v>800</v>
      </c>
      <c r="S36" s="32">
        <v>0</v>
      </c>
      <c r="T36" s="78" t="s">
        <v>22</v>
      </c>
      <c r="U36" s="79">
        <v>1.0069299999999999</v>
      </c>
      <c r="V36" s="47">
        <v>0</v>
      </c>
      <c r="W36" s="47">
        <v>0</v>
      </c>
      <c r="X36" s="47">
        <v>131.077</v>
      </c>
      <c r="Y36" s="47">
        <v>257.23200000000003</v>
      </c>
      <c r="Z36" s="47">
        <v>79.688599999999994</v>
      </c>
      <c r="AA36" s="47">
        <v>129.97999999999999</v>
      </c>
      <c r="AB36" s="47">
        <v>75.009799999999998</v>
      </c>
      <c r="AC36" s="47">
        <v>132.55600000000001</v>
      </c>
    </row>
    <row r="37" spans="1:29" ht="14.45">
      <c r="A37" s="32" t="s">
        <v>38</v>
      </c>
      <c r="B37" s="32" t="s">
        <v>164</v>
      </c>
      <c r="C37" s="13" t="s">
        <v>189</v>
      </c>
      <c r="D37" s="77" t="s">
        <v>190</v>
      </c>
      <c r="E37" s="75" t="s">
        <v>202</v>
      </c>
      <c r="F37" s="77">
        <v>31.786000000000001</v>
      </c>
      <c r="G37" s="77">
        <v>63.932600000000001</v>
      </c>
      <c r="H37" s="77">
        <v>34.0364</v>
      </c>
      <c r="I37" s="75">
        <v>325</v>
      </c>
      <c r="J37" s="77">
        <v>753.59400000000005</v>
      </c>
      <c r="K37" s="77">
        <v>554.98900000000003</v>
      </c>
      <c r="L37" s="32">
        <v>0</v>
      </c>
      <c r="M37" s="32">
        <v>1</v>
      </c>
      <c r="N37" s="32">
        <v>1</v>
      </c>
      <c r="O37" s="76">
        <v>51894.8</v>
      </c>
      <c r="P37" s="32">
        <v>0</v>
      </c>
      <c r="Q37" s="32">
        <v>0</v>
      </c>
      <c r="R37" s="75">
        <v>400</v>
      </c>
      <c r="S37" s="32">
        <v>0</v>
      </c>
      <c r="T37" s="78" t="s">
        <v>22</v>
      </c>
      <c r="U37" s="79">
        <v>1.3874725000000001</v>
      </c>
      <c r="V37" s="47">
        <v>59.147199999999998</v>
      </c>
      <c r="W37" s="47">
        <v>75.753399999999999</v>
      </c>
      <c r="X37" s="47">
        <v>68.718599999999995</v>
      </c>
      <c r="Y37" s="47">
        <v>135.01599999999999</v>
      </c>
      <c r="Z37" s="47">
        <v>95.286500000000004</v>
      </c>
      <c r="AA37" s="47">
        <v>38.704700000000003</v>
      </c>
      <c r="AB37" s="47">
        <v>44.945099999999996</v>
      </c>
      <c r="AC37" s="47">
        <v>37.416800000000002</v>
      </c>
    </row>
    <row r="38" spans="1:29" ht="14.45">
      <c r="A38" s="32" t="s">
        <v>38</v>
      </c>
      <c r="B38" s="32" t="s">
        <v>164</v>
      </c>
      <c r="C38" s="13" t="s">
        <v>189</v>
      </c>
      <c r="D38" s="77" t="s">
        <v>190</v>
      </c>
      <c r="E38" s="75" t="s">
        <v>203</v>
      </c>
      <c r="F38" s="77">
        <v>31.786300000000001</v>
      </c>
      <c r="G38" s="77">
        <v>117.045</v>
      </c>
      <c r="H38" s="77">
        <v>32.108600000000003</v>
      </c>
      <c r="I38" s="75">
        <v>500</v>
      </c>
      <c r="J38" s="77">
        <v>1187.3699999999999</v>
      </c>
      <c r="K38" s="77">
        <v>903.77599999999995</v>
      </c>
      <c r="L38" s="32">
        <v>0</v>
      </c>
      <c r="M38" s="32">
        <v>1</v>
      </c>
      <c r="N38" s="32">
        <v>1</v>
      </c>
      <c r="O38" s="76">
        <v>84539</v>
      </c>
      <c r="P38" s="32">
        <v>0</v>
      </c>
      <c r="Q38" s="32">
        <v>0</v>
      </c>
      <c r="R38" s="75">
        <v>625</v>
      </c>
      <c r="S38" s="32">
        <v>0</v>
      </c>
      <c r="T38" s="78" t="s">
        <v>22</v>
      </c>
      <c r="U38" s="79">
        <v>1.4460415999999998</v>
      </c>
      <c r="V38" s="47">
        <v>126.60899999999999</v>
      </c>
      <c r="W38" s="47">
        <v>92.68</v>
      </c>
      <c r="X38" s="47">
        <v>187.03100000000001</v>
      </c>
      <c r="Y38" s="47">
        <v>187.97300000000001</v>
      </c>
      <c r="Z38" s="47">
        <v>71.3613</v>
      </c>
      <c r="AA38" s="47">
        <v>99.908000000000001</v>
      </c>
      <c r="AB38" s="47">
        <v>34.325000000000003</v>
      </c>
      <c r="AC38" s="47">
        <v>103.889</v>
      </c>
    </row>
    <row r="39" spans="1:29" ht="14.45">
      <c r="A39" s="32" t="s">
        <v>38</v>
      </c>
      <c r="B39" s="32" t="s">
        <v>164</v>
      </c>
      <c r="C39" s="13" t="s">
        <v>189</v>
      </c>
      <c r="D39" s="77" t="s">
        <v>190</v>
      </c>
      <c r="E39" s="75" t="s">
        <v>204</v>
      </c>
      <c r="F39" s="77">
        <v>31.7866</v>
      </c>
      <c r="G39" s="77">
        <v>69.350700000000003</v>
      </c>
      <c r="H39" s="77">
        <v>30.073799999999999</v>
      </c>
      <c r="I39" s="75">
        <v>425</v>
      </c>
      <c r="J39" s="77">
        <v>683.75099999999998</v>
      </c>
      <c r="K39" s="77">
        <v>549.05600000000004</v>
      </c>
      <c r="L39" s="32">
        <v>0</v>
      </c>
      <c r="M39" s="32">
        <v>1</v>
      </c>
      <c r="N39" s="32">
        <v>1</v>
      </c>
      <c r="O39" s="76">
        <v>44077.7</v>
      </c>
      <c r="P39" s="32">
        <v>0</v>
      </c>
      <c r="Q39" s="32">
        <v>0</v>
      </c>
      <c r="R39" s="75">
        <v>500</v>
      </c>
      <c r="S39" s="32">
        <v>0</v>
      </c>
      <c r="T39" s="78" t="s">
        <v>22</v>
      </c>
      <c r="U39" s="79">
        <v>1.098112</v>
      </c>
      <c r="V39" s="47">
        <v>15.2684</v>
      </c>
      <c r="W39" s="47">
        <v>13.0299</v>
      </c>
      <c r="X39" s="47">
        <v>45.545499999999997</v>
      </c>
      <c r="Y39" s="47">
        <v>237.68899999999999</v>
      </c>
      <c r="Z39" s="47">
        <v>92.824799999999996</v>
      </c>
      <c r="AA39" s="47">
        <v>28.5745</v>
      </c>
      <c r="AB39" s="47">
        <v>41.238399999999999</v>
      </c>
      <c r="AC39" s="47">
        <v>74.885900000000007</v>
      </c>
    </row>
    <row r="40" spans="1:29" ht="14.45">
      <c r="A40" s="32" t="s">
        <v>38</v>
      </c>
      <c r="B40" s="32" t="s">
        <v>164</v>
      </c>
      <c r="C40" s="13" t="s">
        <v>189</v>
      </c>
      <c r="D40" s="77" t="s">
        <v>190</v>
      </c>
      <c r="E40" s="75" t="s">
        <v>205</v>
      </c>
      <c r="F40" s="77">
        <v>31.783899999999999</v>
      </c>
      <c r="G40" s="77">
        <v>60.200200000000002</v>
      </c>
      <c r="H40" s="77">
        <v>26.3886</v>
      </c>
      <c r="I40" s="75">
        <v>450</v>
      </c>
      <c r="J40" s="77">
        <v>484.64</v>
      </c>
      <c r="K40" s="77">
        <v>298.39800000000002</v>
      </c>
      <c r="L40" s="32">
        <v>0</v>
      </c>
      <c r="M40" s="32">
        <v>1</v>
      </c>
      <c r="N40" s="32">
        <v>1</v>
      </c>
      <c r="O40" s="76">
        <v>19758.599999999999</v>
      </c>
      <c r="P40" s="32">
        <v>0</v>
      </c>
      <c r="Q40" s="32">
        <v>0</v>
      </c>
      <c r="R40" s="75">
        <v>425</v>
      </c>
      <c r="S40" s="32">
        <v>0</v>
      </c>
      <c r="T40" s="78" t="s">
        <v>22</v>
      </c>
      <c r="U40" s="79">
        <v>0.70211294117647061</v>
      </c>
      <c r="V40" s="47">
        <v>0</v>
      </c>
      <c r="W40" s="47">
        <v>0</v>
      </c>
      <c r="X40" s="47">
        <v>34.798200000000001</v>
      </c>
      <c r="Y40" s="47">
        <v>38.214399999999998</v>
      </c>
      <c r="Z40" s="47">
        <v>16.3249</v>
      </c>
      <c r="AA40" s="47">
        <v>116.605</v>
      </c>
      <c r="AB40" s="47">
        <v>19.917200000000001</v>
      </c>
      <c r="AC40" s="47">
        <v>72.537700000000001</v>
      </c>
    </row>
    <row r="41" spans="1:29" ht="14.45">
      <c r="A41" s="32" t="s">
        <v>38</v>
      </c>
      <c r="B41" s="32" t="s">
        <v>164</v>
      </c>
      <c r="C41" s="13" t="s">
        <v>189</v>
      </c>
      <c r="D41" s="77" t="s">
        <v>190</v>
      </c>
      <c r="E41" s="75" t="s">
        <v>206</v>
      </c>
      <c r="F41" s="77">
        <v>31.783999999999999</v>
      </c>
      <c r="G41" s="77">
        <v>90.231499999999997</v>
      </c>
      <c r="H41" s="77">
        <v>30.453900000000001</v>
      </c>
      <c r="I41" s="75">
        <v>425</v>
      </c>
      <c r="J41" s="77">
        <v>901.76</v>
      </c>
      <c r="K41" s="77">
        <v>649.74099999999999</v>
      </c>
      <c r="L41" s="32">
        <v>0</v>
      </c>
      <c r="M41" s="32">
        <v>1</v>
      </c>
      <c r="N41" s="32">
        <v>1</v>
      </c>
      <c r="O41" s="76">
        <v>53751</v>
      </c>
      <c r="P41" s="32">
        <v>0</v>
      </c>
      <c r="Q41" s="32">
        <v>0</v>
      </c>
      <c r="R41" s="75">
        <v>450</v>
      </c>
      <c r="S41" s="32">
        <v>0</v>
      </c>
      <c r="T41" s="78" t="s">
        <v>22</v>
      </c>
      <c r="U41" s="79">
        <v>1.4438688888888889</v>
      </c>
      <c r="V41" s="47">
        <v>16.675699999999999</v>
      </c>
      <c r="W41" s="47">
        <v>13.738300000000001</v>
      </c>
      <c r="X41" s="47">
        <v>92.331199999999995</v>
      </c>
      <c r="Y41" s="47">
        <v>238.916</v>
      </c>
      <c r="Z41" s="47">
        <v>49.029899999999998</v>
      </c>
      <c r="AA41" s="47">
        <v>163.482</v>
      </c>
      <c r="AB41" s="47">
        <v>36.498199999999997</v>
      </c>
      <c r="AC41" s="47">
        <v>39.07</v>
      </c>
    </row>
    <row r="42" spans="1:29" ht="14.45">
      <c r="A42" s="32" t="s">
        <v>38</v>
      </c>
      <c r="B42" s="32" t="s">
        <v>164</v>
      </c>
      <c r="C42" s="13" t="s">
        <v>189</v>
      </c>
      <c r="D42" s="77" t="s">
        <v>190</v>
      </c>
      <c r="E42" s="75" t="s">
        <v>207</v>
      </c>
      <c r="F42" s="77">
        <v>31.786200000000001</v>
      </c>
      <c r="G42" s="77">
        <v>83.085400000000007</v>
      </c>
      <c r="H42" s="77">
        <v>32.103900000000003</v>
      </c>
      <c r="I42" s="75">
        <v>425</v>
      </c>
      <c r="J42" s="77">
        <v>838.02099999999996</v>
      </c>
      <c r="K42" s="77">
        <v>682.80700000000002</v>
      </c>
      <c r="L42" s="32">
        <v>0</v>
      </c>
      <c r="M42" s="32">
        <v>1</v>
      </c>
      <c r="N42" s="32">
        <v>1</v>
      </c>
      <c r="O42" s="76">
        <v>56310.5</v>
      </c>
      <c r="P42" s="32">
        <v>0</v>
      </c>
      <c r="Q42" s="32">
        <v>0</v>
      </c>
      <c r="R42" s="75">
        <v>525</v>
      </c>
      <c r="S42" s="32">
        <v>0</v>
      </c>
      <c r="T42" s="78" t="s">
        <v>22</v>
      </c>
      <c r="U42" s="79">
        <v>1.3005847619047619</v>
      </c>
      <c r="V42" s="47">
        <v>42.235199999999999</v>
      </c>
      <c r="W42" s="47">
        <v>21.192900000000002</v>
      </c>
      <c r="X42" s="47">
        <v>146.339</v>
      </c>
      <c r="Y42" s="47">
        <v>136.06</v>
      </c>
      <c r="Z42" s="47">
        <v>85.243200000000002</v>
      </c>
      <c r="AA42" s="47">
        <v>109.09399999999999</v>
      </c>
      <c r="AB42" s="47">
        <v>53.5184</v>
      </c>
      <c r="AC42" s="47">
        <v>89.124399999999994</v>
      </c>
    </row>
    <row r="43" spans="1:29" ht="14.45">
      <c r="A43" s="32" t="s">
        <v>38</v>
      </c>
      <c r="B43" s="32" t="s">
        <v>164</v>
      </c>
      <c r="C43" s="13" t="s">
        <v>189</v>
      </c>
      <c r="D43" s="77" t="s">
        <v>190</v>
      </c>
      <c r="E43" s="75" t="s">
        <v>208</v>
      </c>
      <c r="F43" s="77">
        <v>31.786000000000001</v>
      </c>
      <c r="G43" s="77">
        <v>65.398399999999995</v>
      </c>
      <c r="H43" s="77">
        <v>30.034400000000002</v>
      </c>
      <c r="I43" s="75">
        <v>450</v>
      </c>
      <c r="J43" s="77">
        <v>617.20600000000002</v>
      </c>
      <c r="K43" s="77">
        <v>422.85500000000002</v>
      </c>
      <c r="L43" s="32">
        <v>0</v>
      </c>
      <c r="M43" s="32">
        <v>1</v>
      </c>
      <c r="N43" s="32">
        <v>1</v>
      </c>
      <c r="O43" s="76">
        <v>32870.699999999997</v>
      </c>
      <c r="P43" s="32">
        <v>0</v>
      </c>
      <c r="Q43" s="32">
        <v>0</v>
      </c>
      <c r="R43" s="75">
        <v>475</v>
      </c>
      <c r="S43" s="32">
        <v>0</v>
      </c>
      <c r="T43" s="78" t="s">
        <v>22</v>
      </c>
      <c r="U43" s="79">
        <v>0.89022105263157902</v>
      </c>
      <c r="V43" s="47">
        <v>0</v>
      </c>
      <c r="W43" s="47">
        <v>15.0465</v>
      </c>
      <c r="X43" s="47">
        <v>41.366300000000003</v>
      </c>
      <c r="Y43" s="47">
        <v>138.37899999999999</v>
      </c>
      <c r="Z43" s="47">
        <v>91.312100000000001</v>
      </c>
      <c r="AA43" s="47">
        <v>39.784500000000001</v>
      </c>
      <c r="AB43" s="47">
        <v>44.165599999999998</v>
      </c>
      <c r="AC43" s="47">
        <v>52.800699999999999</v>
      </c>
    </row>
    <row r="44" spans="1:29" ht="14.45">
      <c r="A44" s="80" t="s">
        <v>40</v>
      </c>
      <c r="B44" s="80" t="s">
        <v>164</v>
      </c>
      <c r="C44" s="81" t="s">
        <v>189</v>
      </c>
      <c r="D44" s="82" t="s">
        <v>190</v>
      </c>
      <c r="E44" s="83" t="s">
        <v>36</v>
      </c>
      <c r="F44" s="82">
        <v>31.784400000000002</v>
      </c>
      <c r="G44" s="82">
        <v>85.649500000000003</v>
      </c>
      <c r="H44" s="82">
        <v>31.7347</v>
      </c>
      <c r="I44" s="83">
        <v>456.94400000000002</v>
      </c>
      <c r="J44" s="82">
        <v>853.36300000000006</v>
      </c>
      <c r="K44" s="82">
        <v>643.86900000000003</v>
      </c>
      <c r="L44" s="80">
        <v>38.348199999999999</v>
      </c>
      <c r="M44" s="80">
        <v>18</v>
      </c>
      <c r="N44" s="80">
        <v>18</v>
      </c>
      <c r="O44" s="84">
        <v>56690.3</v>
      </c>
      <c r="P44" s="80">
        <v>4358.0600000000004</v>
      </c>
      <c r="Q44" s="80">
        <v>25</v>
      </c>
      <c r="R44" s="83">
        <v>520.83299999999997</v>
      </c>
      <c r="S44" s="80">
        <v>0</v>
      </c>
      <c r="T44" s="85">
        <v>0.1256585264112228</v>
      </c>
      <c r="U44" s="86">
        <v>1.2362292711867338</v>
      </c>
      <c r="V44" s="87">
        <v>65.204899999999995</v>
      </c>
      <c r="W44" s="87">
        <v>38.849800000000002</v>
      </c>
      <c r="X44" s="87">
        <v>98.801599999999993</v>
      </c>
      <c r="Y44" s="87">
        <v>161.57300000000001</v>
      </c>
      <c r="Z44" s="87">
        <v>87.868300000000005</v>
      </c>
      <c r="AA44" s="87">
        <v>84.035799999999995</v>
      </c>
      <c r="AB44" s="87">
        <v>43.311999999999998</v>
      </c>
      <c r="AC44" s="87">
        <v>64.223799999999997</v>
      </c>
    </row>
    <row r="45" spans="1:29" ht="14.45">
      <c r="A45" s="32" t="s">
        <v>38</v>
      </c>
      <c r="B45" s="32" t="s">
        <v>164</v>
      </c>
      <c r="C45" s="13" t="s">
        <v>209</v>
      </c>
      <c r="D45" s="77" t="s">
        <v>210</v>
      </c>
      <c r="E45" s="75" t="s">
        <v>211</v>
      </c>
      <c r="F45" s="77">
        <v>20.802900000000001</v>
      </c>
      <c r="G45" s="77">
        <v>110.23399999999999</v>
      </c>
      <c r="H45" s="77">
        <v>19.75</v>
      </c>
      <c r="I45" s="75">
        <v>1250</v>
      </c>
      <c r="J45" s="77">
        <v>733.04</v>
      </c>
      <c r="K45" s="77">
        <v>430.75099999999998</v>
      </c>
      <c r="L45" s="32">
        <v>0</v>
      </c>
      <c r="M45" s="32">
        <v>1</v>
      </c>
      <c r="N45" s="32">
        <v>1</v>
      </c>
      <c r="O45" s="76">
        <v>22311.599999999999</v>
      </c>
      <c r="P45" s="32">
        <v>0</v>
      </c>
      <c r="Q45" s="32">
        <v>0</v>
      </c>
      <c r="R45" s="75">
        <v>1300</v>
      </c>
      <c r="S45" s="32">
        <v>0</v>
      </c>
      <c r="T45" s="78" t="s">
        <v>22</v>
      </c>
      <c r="U45" s="79">
        <v>0.33134692307692304</v>
      </c>
      <c r="V45" s="47">
        <v>0</v>
      </c>
      <c r="W45" s="47">
        <v>0</v>
      </c>
      <c r="X45" s="47">
        <v>0</v>
      </c>
      <c r="Y45" s="47">
        <v>34.487900000000003</v>
      </c>
      <c r="Z45" s="47">
        <v>11.8611</v>
      </c>
      <c r="AA45" s="47">
        <v>77.637200000000007</v>
      </c>
      <c r="AB45" s="47">
        <v>120.71</v>
      </c>
      <c r="AC45" s="47">
        <v>186.054</v>
      </c>
    </row>
    <row r="46" spans="1:29" ht="14.45">
      <c r="A46" s="32" t="s">
        <v>40</v>
      </c>
      <c r="B46" s="32" t="s">
        <v>164</v>
      </c>
      <c r="C46" s="13" t="s">
        <v>209</v>
      </c>
      <c r="D46" s="77" t="s">
        <v>210</v>
      </c>
      <c r="E46" s="75" t="s">
        <v>36</v>
      </c>
      <c r="F46" s="77">
        <v>20.802900000000001</v>
      </c>
      <c r="G46" s="77">
        <v>110.23399999999999</v>
      </c>
      <c r="H46" s="77">
        <v>19.75</v>
      </c>
      <c r="I46" s="75">
        <v>1250</v>
      </c>
      <c r="J46" s="77">
        <v>733.04</v>
      </c>
      <c r="K46" s="77">
        <v>430.75099999999998</v>
      </c>
      <c r="L46" s="32" t="s">
        <v>168</v>
      </c>
      <c r="M46" s="32">
        <v>1</v>
      </c>
      <c r="N46" s="32">
        <v>1</v>
      </c>
      <c r="O46" s="76">
        <v>22311.599999999999</v>
      </c>
      <c r="P46" s="32" t="s">
        <v>168</v>
      </c>
      <c r="Q46" s="32">
        <v>0.9</v>
      </c>
      <c r="R46" s="75">
        <v>1300</v>
      </c>
      <c r="S46" s="32">
        <v>0</v>
      </c>
      <c r="T46" s="78" t="s">
        <v>22</v>
      </c>
      <c r="U46" s="79">
        <v>0.33134692307692304</v>
      </c>
      <c r="V46" s="47">
        <v>0</v>
      </c>
      <c r="W46" s="47">
        <v>0</v>
      </c>
      <c r="X46" s="47">
        <v>0</v>
      </c>
      <c r="Y46" s="47">
        <v>34.487900000000003</v>
      </c>
      <c r="Z46" s="47">
        <v>11.8611</v>
      </c>
      <c r="AA46" s="47">
        <v>77.637200000000007</v>
      </c>
      <c r="AB46" s="47">
        <v>120.71</v>
      </c>
      <c r="AC46" s="47">
        <v>186.054</v>
      </c>
    </row>
    <row r="47" spans="1:29" ht="14.45">
      <c r="A47" s="32" t="s">
        <v>38</v>
      </c>
      <c r="B47" s="32" t="s">
        <v>164</v>
      </c>
      <c r="C47" s="13" t="s">
        <v>212</v>
      </c>
      <c r="D47" s="77" t="s">
        <v>213</v>
      </c>
      <c r="E47" s="75" t="s">
        <v>214</v>
      </c>
      <c r="F47" s="77">
        <v>21.819299999999998</v>
      </c>
      <c r="G47" s="77">
        <v>45.988900000000001</v>
      </c>
      <c r="H47" s="77">
        <v>18.645099999999999</v>
      </c>
      <c r="I47" s="75">
        <v>550</v>
      </c>
      <c r="J47" s="77">
        <v>308.18799999999999</v>
      </c>
      <c r="K47" s="77">
        <v>238.541</v>
      </c>
      <c r="L47" s="32">
        <v>0</v>
      </c>
      <c r="M47" s="32">
        <v>1</v>
      </c>
      <c r="N47" s="32">
        <v>1</v>
      </c>
      <c r="O47" s="76">
        <v>15059.7</v>
      </c>
      <c r="P47" s="32">
        <v>0</v>
      </c>
      <c r="Q47" s="32">
        <v>0</v>
      </c>
      <c r="R47" s="75">
        <v>550</v>
      </c>
      <c r="S47" s="32">
        <v>0</v>
      </c>
      <c r="T47" s="78" t="s">
        <v>22</v>
      </c>
      <c r="U47" s="79">
        <v>0.43371090909090909</v>
      </c>
      <c r="V47" s="47">
        <v>0</v>
      </c>
      <c r="W47" s="47">
        <v>0</v>
      </c>
      <c r="X47" s="47">
        <v>0</v>
      </c>
      <c r="Y47" s="47">
        <v>8.3963300000000007</v>
      </c>
      <c r="Z47" s="47">
        <v>72.733000000000004</v>
      </c>
      <c r="AA47" s="47">
        <v>26.9954</v>
      </c>
      <c r="AB47" s="47">
        <v>89.440299999999993</v>
      </c>
      <c r="AC47" s="47">
        <v>40.976500000000001</v>
      </c>
    </row>
    <row r="48" spans="1:29" ht="14.45">
      <c r="A48" s="32" t="s">
        <v>38</v>
      </c>
      <c r="B48" s="32" t="s">
        <v>164</v>
      </c>
      <c r="C48" s="13" t="s">
        <v>212</v>
      </c>
      <c r="D48" s="77" t="s">
        <v>213</v>
      </c>
      <c r="E48" s="75" t="s">
        <v>215</v>
      </c>
      <c r="F48" s="77">
        <v>21.805599999999998</v>
      </c>
      <c r="G48" s="77">
        <v>53.3962</v>
      </c>
      <c r="H48" s="77">
        <v>19.507200000000001</v>
      </c>
      <c r="I48" s="75">
        <v>525</v>
      </c>
      <c r="J48" s="77">
        <v>356.00400000000002</v>
      </c>
      <c r="K48" s="77">
        <v>262.91800000000001</v>
      </c>
      <c r="L48" s="32">
        <v>0</v>
      </c>
      <c r="M48" s="32">
        <v>1</v>
      </c>
      <c r="N48" s="32">
        <v>1</v>
      </c>
      <c r="O48" s="76">
        <v>17052.2</v>
      </c>
      <c r="P48" s="32">
        <v>0</v>
      </c>
      <c r="Q48" s="32">
        <v>0</v>
      </c>
      <c r="R48" s="75">
        <v>525</v>
      </c>
      <c r="S48" s="32">
        <v>0</v>
      </c>
      <c r="T48" s="78" t="s">
        <v>22</v>
      </c>
      <c r="U48" s="79">
        <v>0.50079619047619051</v>
      </c>
      <c r="V48" s="47">
        <v>0</v>
      </c>
      <c r="W48" s="47">
        <v>0</v>
      </c>
      <c r="X48" s="47">
        <v>0</v>
      </c>
      <c r="Y48" s="47">
        <v>19.380199999999999</v>
      </c>
      <c r="Z48" s="47">
        <v>63.616199999999999</v>
      </c>
      <c r="AA48" s="47">
        <v>55.711100000000002</v>
      </c>
      <c r="AB48" s="47">
        <v>86.418099999999995</v>
      </c>
      <c r="AC48" s="47">
        <v>37.792400000000001</v>
      </c>
    </row>
    <row r="49" spans="1:29" ht="14.45">
      <c r="A49" s="32" t="s">
        <v>38</v>
      </c>
      <c r="B49" s="32" t="s">
        <v>164</v>
      </c>
      <c r="C49" s="13" t="s">
        <v>212</v>
      </c>
      <c r="D49" s="77" t="s">
        <v>213</v>
      </c>
      <c r="E49" s="75" t="s">
        <v>216</v>
      </c>
      <c r="F49" s="77">
        <v>21.805900000000001</v>
      </c>
      <c r="G49" s="77">
        <v>62.649799999999999</v>
      </c>
      <c r="H49" s="77">
        <v>19.704899999999999</v>
      </c>
      <c r="I49" s="75">
        <v>575</v>
      </c>
      <c r="J49" s="77">
        <v>426.38</v>
      </c>
      <c r="K49" s="77">
        <v>351.53300000000002</v>
      </c>
      <c r="L49" s="32">
        <v>0</v>
      </c>
      <c r="M49" s="32">
        <v>1</v>
      </c>
      <c r="N49" s="32">
        <v>1</v>
      </c>
      <c r="O49" s="76">
        <v>26870.400000000001</v>
      </c>
      <c r="P49" s="32">
        <v>0</v>
      </c>
      <c r="Q49" s="32">
        <v>0</v>
      </c>
      <c r="R49" s="75">
        <v>575</v>
      </c>
      <c r="S49" s="32">
        <v>0</v>
      </c>
      <c r="T49" s="78" t="s">
        <v>22</v>
      </c>
      <c r="U49" s="79">
        <v>0.61136173913043479</v>
      </c>
      <c r="V49" s="47">
        <v>0</v>
      </c>
      <c r="W49" s="47">
        <v>0</v>
      </c>
      <c r="X49" s="47">
        <v>0</v>
      </c>
      <c r="Y49" s="47">
        <v>82.335099999999997</v>
      </c>
      <c r="Z49" s="47">
        <v>165.203</v>
      </c>
      <c r="AA49" s="47">
        <v>35.727699999999999</v>
      </c>
      <c r="AB49" s="47">
        <v>56.501300000000001</v>
      </c>
      <c r="AC49" s="47">
        <v>11.765599999999999</v>
      </c>
    </row>
    <row r="50" spans="1:29" ht="14.45">
      <c r="A50" s="32" t="s">
        <v>40</v>
      </c>
      <c r="B50" s="32" t="s">
        <v>164</v>
      </c>
      <c r="C50" s="13" t="s">
        <v>212</v>
      </c>
      <c r="D50" s="77" t="s">
        <v>213</v>
      </c>
      <c r="E50" s="75" t="s">
        <v>36</v>
      </c>
      <c r="F50" s="77">
        <v>21.810300000000002</v>
      </c>
      <c r="G50" s="77">
        <v>54.011600000000001</v>
      </c>
      <c r="H50" s="77">
        <v>19.285699999999999</v>
      </c>
      <c r="I50" s="75">
        <v>550</v>
      </c>
      <c r="J50" s="77">
        <v>363.524</v>
      </c>
      <c r="K50" s="77">
        <v>284.33100000000002</v>
      </c>
      <c r="L50" s="32">
        <v>34.329900000000002</v>
      </c>
      <c r="M50" s="32">
        <v>3</v>
      </c>
      <c r="N50" s="32">
        <v>3</v>
      </c>
      <c r="O50" s="76">
        <v>19660.7</v>
      </c>
      <c r="P50" s="32">
        <v>3650.42</v>
      </c>
      <c r="Q50" s="32">
        <v>6.3</v>
      </c>
      <c r="R50" s="75">
        <v>550</v>
      </c>
      <c r="S50" s="32">
        <v>0</v>
      </c>
      <c r="T50" s="78">
        <v>0.51949888667442568</v>
      </c>
      <c r="U50" s="79">
        <v>0.51696545454545462</v>
      </c>
      <c r="V50" s="47">
        <v>0</v>
      </c>
      <c r="W50" s="47">
        <v>0</v>
      </c>
      <c r="X50" s="47">
        <v>0</v>
      </c>
      <c r="Y50" s="47">
        <v>36.703899999999997</v>
      </c>
      <c r="Z50" s="47">
        <v>100.517</v>
      </c>
      <c r="AA50" s="47">
        <v>39.478099999999998</v>
      </c>
      <c r="AB50" s="47">
        <v>77.453199999999995</v>
      </c>
      <c r="AC50" s="47">
        <v>30.1782</v>
      </c>
    </row>
    <row r="51" spans="1:29" ht="14.45">
      <c r="A51" s="32" t="s">
        <v>38</v>
      </c>
      <c r="B51" s="32" t="s">
        <v>164</v>
      </c>
      <c r="C51" s="13" t="s">
        <v>217</v>
      </c>
      <c r="D51" s="77" t="s">
        <v>218</v>
      </c>
      <c r="E51" s="75" t="s">
        <v>219</v>
      </c>
      <c r="F51" s="77">
        <v>21.819199999999999</v>
      </c>
      <c r="G51" s="77">
        <v>67.967500000000001</v>
      </c>
      <c r="H51" s="77">
        <v>25.587199999999999</v>
      </c>
      <c r="I51" s="75">
        <v>850</v>
      </c>
      <c r="J51" s="77">
        <v>513.34900000000005</v>
      </c>
      <c r="K51" s="77">
        <v>392.15699999999998</v>
      </c>
      <c r="L51" s="32">
        <v>0</v>
      </c>
      <c r="M51" s="32">
        <v>1</v>
      </c>
      <c r="N51" s="32">
        <v>1</v>
      </c>
      <c r="O51" s="76">
        <v>27861.599999999999</v>
      </c>
      <c r="P51" s="32">
        <v>0</v>
      </c>
      <c r="Q51" s="32">
        <v>0</v>
      </c>
      <c r="R51" s="75">
        <v>850</v>
      </c>
      <c r="S51" s="32">
        <v>0</v>
      </c>
      <c r="T51" s="78" t="s">
        <v>22</v>
      </c>
      <c r="U51" s="79">
        <v>0.46136117647058822</v>
      </c>
      <c r="V51" s="47">
        <v>0</v>
      </c>
      <c r="W51" s="47">
        <v>0</v>
      </c>
      <c r="X51" s="47">
        <v>32.3874</v>
      </c>
      <c r="Y51" s="47">
        <v>35.628399999999999</v>
      </c>
      <c r="Z51" s="47">
        <v>161.62899999999999</v>
      </c>
      <c r="AA51" s="47">
        <v>16.423500000000001</v>
      </c>
      <c r="AB51" s="47">
        <v>98.454899999999995</v>
      </c>
      <c r="AC51" s="47">
        <v>47.633699999999997</v>
      </c>
    </row>
    <row r="52" spans="1:29" ht="14.45">
      <c r="A52" s="32" t="s">
        <v>38</v>
      </c>
      <c r="B52" s="32" t="s">
        <v>164</v>
      </c>
      <c r="C52" s="13" t="s">
        <v>217</v>
      </c>
      <c r="D52" s="77" t="s">
        <v>218</v>
      </c>
      <c r="E52" s="75" t="s">
        <v>220</v>
      </c>
      <c r="F52" s="77">
        <v>21.806000000000001</v>
      </c>
      <c r="G52" s="77">
        <v>78.975200000000001</v>
      </c>
      <c r="H52" s="77">
        <v>18.788599999999999</v>
      </c>
      <c r="I52" s="75">
        <v>1150</v>
      </c>
      <c r="J52" s="77">
        <v>533.98099999999999</v>
      </c>
      <c r="K52" s="77">
        <v>349.88400000000001</v>
      </c>
      <c r="L52" s="32">
        <v>0</v>
      </c>
      <c r="M52" s="32">
        <v>1</v>
      </c>
      <c r="N52" s="32">
        <v>1</v>
      </c>
      <c r="O52" s="76">
        <v>19547.7</v>
      </c>
      <c r="P52" s="32">
        <v>0</v>
      </c>
      <c r="Q52" s="32">
        <v>0</v>
      </c>
      <c r="R52" s="75">
        <v>1100</v>
      </c>
      <c r="S52" s="32">
        <v>0</v>
      </c>
      <c r="T52" s="78" t="s">
        <v>22</v>
      </c>
      <c r="U52" s="79">
        <v>0.31807636363636366</v>
      </c>
      <c r="V52" s="47">
        <v>0</v>
      </c>
      <c r="W52" s="47">
        <v>0</v>
      </c>
      <c r="X52" s="47">
        <v>0</v>
      </c>
      <c r="Y52" s="47">
        <v>0</v>
      </c>
      <c r="Z52" s="47">
        <v>91.311300000000003</v>
      </c>
      <c r="AA52" s="47">
        <v>13.1335</v>
      </c>
      <c r="AB52" s="47">
        <v>132.01</v>
      </c>
      <c r="AC52" s="47">
        <v>113.429</v>
      </c>
    </row>
    <row r="53" spans="1:29" ht="14.45">
      <c r="A53" s="32" t="s">
        <v>38</v>
      </c>
      <c r="B53" s="32" t="s">
        <v>164</v>
      </c>
      <c r="C53" s="13" t="s">
        <v>217</v>
      </c>
      <c r="D53" s="77" t="s">
        <v>218</v>
      </c>
      <c r="E53" s="75" t="s">
        <v>221</v>
      </c>
      <c r="F53" s="77">
        <v>21.819500000000001</v>
      </c>
      <c r="G53" s="77">
        <v>85.9041</v>
      </c>
      <c r="H53" s="77">
        <v>18.7303</v>
      </c>
      <c r="I53" s="75">
        <v>1200</v>
      </c>
      <c r="J53" s="77">
        <v>570.40099999999995</v>
      </c>
      <c r="K53" s="77">
        <v>395.36900000000003</v>
      </c>
      <c r="L53" s="32">
        <v>0</v>
      </c>
      <c r="M53" s="32">
        <v>1</v>
      </c>
      <c r="N53" s="32">
        <v>1</v>
      </c>
      <c r="O53" s="76">
        <v>21787.8</v>
      </c>
      <c r="P53" s="32">
        <v>0</v>
      </c>
      <c r="Q53" s="32">
        <v>0</v>
      </c>
      <c r="R53" s="75">
        <v>1200</v>
      </c>
      <c r="S53" s="32">
        <v>0</v>
      </c>
      <c r="T53" s="78" t="s">
        <v>22</v>
      </c>
      <c r="U53" s="79">
        <v>0.32947416666666668</v>
      </c>
      <c r="V53" s="47">
        <v>0</v>
      </c>
      <c r="W53" s="47">
        <v>0</v>
      </c>
      <c r="X53" s="47">
        <v>0</v>
      </c>
      <c r="Y53" s="47">
        <v>0</v>
      </c>
      <c r="Z53" s="47">
        <v>59.8001</v>
      </c>
      <c r="AA53" s="47">
        <v>63.779200000000003</v>
      </c>
      <c r="AB53" s="47">
        <v>146.18600000000001</v>
      </c>
      <c r="AC53" s="47">
        <v>125.604</v>
      </c>
    </row>
    <row r="54" spans="1:29" ht="14.45">
      <c r="A54" s="32" t="s">
        <v>38</v>
      </c>
      <c r="B54" s="32" t="s">
        <v>164</v>
      </c>
      <c r="C54" s="13" t="s">
        <v>217</v>
      </c>
      <c r="D54" s="77" t="s">
        <v>218</v>
      </c>
      <c r="E54" s="75" t="s">
        <v>222</v>
      </c>
      <c r="F54" s="77">
        <v>21.819600000000001</v>
      </c>
      <c r="G54" s="77">
        <v>74.697500000000005</v>
      </c>
      <c r="H54" s="77">
        <v>24.8</v>
      </c>
      <c r="I54" s="75">
        <v>1000</v>
      </c>
      <c r="J54" s="77">
        <v>608.59100000000001</v>
      </c>
      <c r="K54" s="77">
        <v>411.36799999999999</v>
      </c>
      <c r="L54" s="32">
        <v>0</v>
      </c>
      <c r="M54" s="32">
        <v>1</v>
      </c>
      <c r="N54" s="32">
        <v>1</v>
      </c>
      <c r="O54" s="76">
        <v>26005.7</v>
      </c>
      <c r="P54" s="32">
        <v>0</v>
      </c>
      <c r="Q54" s="32">
        <v>0</v>
      </c>
      <c r="R54" s="75">
        <v>1000</v>
      </c>
      <c r="S54" s="32">
        <v>0</v>
      </c>
      <c r="T54" s="78" t="s">
        <v>22</v>
      </c>
      <c r="U54" s="79">
        <v>0.41136800000000001</v>
      </c>
      <c r="V54" s="47">
        <v>0</v>
      </c>
      <c r="W54" s="47">
        <v>0</v>
      </c>
      <c r="X54" s="47">
        <v>0</v>
      </c>
      <c r="Y54" s="47">
        <v>15.8058</v>
      </c>
      <c r="Z54" s="47">
        <v>196.29900000000001</v>
      </c>
      <c r="AA54" s="47">
        <v>0</v>
      </c>
      <c r="AB54" s="47">
        <v>96.710400000000007</v>
      </c>
      <c r="AC54" s="47">
        <v>102.55200000000001</v>
      </c>
    </row>
    <row r="55" spans="1:29" ht="14.45">
      <c r="A55" s="32" t="s">
        <v>38</v>
      </c>
      <c r="B55" s="32" t="s">
        <v>164</v>
      </c>
      <c r="C55" s="13" t="s">
        <v>217</v>
      </c>
      <c r="D55" s="77" t="s">
        <v>218</v>
      </c>
      <c r="E55" s="75" t="s">
        <v>223</v>
      </c>
      <c r="F55" s="77">
        <v>21.882100000000001</v>
      </c>
      <c r="G55" s="77">
        <v>79.233500000000006</v>
      </c>
      <c r="H55" s="77">
        <v>17.861499999999999</v>
      </c>
      <c r="I55" s="75">
        <v>1000</v>
      </c>
      <c r="J55" s="77">
        <v>507.63200000000001</v>
      </c>
      <c r="K55" s="77">
        <v>307.04300000000001</v>
      </c>
      <c r="L55" s="32">
        <v>0</v>
      </c>
      <c r="M55" s="32">
        <v>1</v>
      </c>
      <c r="N55" s="32">
        <v>1</v>
      </c>
      <c r="O55" s="76">
        <v>18181.8</v>
      </c>
      <c r="P55" s="32">
        <v>0</v>
      </c>
      <c r="Q55" s="32">
        <v>0</v>
      </c>
      <c r="R55" s="75">
        <v>1000</v>
      </c>
      <c r="S55" s="32">
        <v>0</v>
      </c>
      <c r="T55" s="78" t="s">
        <v>22</v>
      </c>
      <c r="U55" s="79">
        <v>0.30704300000000001</v>
      </c>
      <c r="V55" s="47">
        <v>0</v>
      </c>
      <c r="W55" s="47">
        <v>0</v>
      </c>
      <c r="X55" s="47">
        <v>0</v>
      </c>
      <c r="Y55" s="47">
        <v>17.810500000000001</v>
      </c>
      <c r="Z55" s="47">
        <v>63.428199999999997</v>
      </c>
      <c r="AA55" s="47">
        <v>63.878300000000003</v>
      </c>
      <c r="AB55" s="47">
        <v>72.510499999999993</v>
      </c>
      <c r="AC55" s="47">
        <v>89.415499999999994</v>
      </c>
    </row>
    <row r="56" spans="1:29" ht="14.45">
      <c r="A56" s="32" t="s">
        <v>38</v>
      </c>
      <c r="B56" s="32" t="s">
        <v>164</v>
      </c>
      <c r="C56" s="13" t="s">
        <v>217</v>
      </c>
      <c r="D56" s="77" t="s">
        <v>218</v>
      </c>
      <c r="E56" s="75" t="s">
        <v>224</v>
      </c>
      <c r="F56" s="77">
        <v>21.808599999999998</v>
      </c>
      <c r="G56" s="77">
        <v>110.375</v>
      </c>
      <c r="H56" s="77">
        <v>22.7075</v>
      </c>
      <c r="I56" s="75">
        <v>1450</v>
      </c>
      <c r="J56" s="77">
        <v>806.70299999999997</v>
      </c>
      <c r="K56" s="77">
        <v>596.93299999999999</v>
      </c>
      <c r="L56" s="32">
        <v>0</v>
      </c>
      <c r="M56" s="32">
        <v>1</v>
      </c>
      <c r="N56" s="32">
        <v>1</v>
      </c>
      <c r="O56" s="76">
        <v>34363.300000000003</v>
      </c>
      <c r="P56" s="32">
        <v>0</v>
      </c>
      <c r="Q56" s="32">
        <v>0</v>
      </c>
      <c r="R56" s="75">
        <v>1450</v>
      </c>
      <c r="S56" s="32">
        <v>0</v>
      </c>
      <c r="T56" s="78" t="s">
        <v>22</v>
      </c>
      <c r="U56" s="79">
        <v>0.41167793103448275</v>
      </c>
      <c r="V56" s="47">
        <v>0</v>
      </c>
      <c r="W56" s="47">
        <v>0</v>
      </c>
      <c r="X56" s="47">
        <v>0</v>
      </c>
      <c r="Y56" s="47">
        <v>0</v>
      </c>
      <c r="Z56" s="47">
        <v>181.07300000000001</v>
      </c>
      <c r="AA56" s="47">
        <v>63.549799999999998</v>
      </c>
      <c r="AB56" s="47">
        <v>161.98699999999999</v>
      </c>
      <c r="AC56" s="47">
        <v>190.32300000000001</v>
      </c>
    </row>
    <row r="57" spans="1:29" ht="14.45">
      <c r="A57" s="32" t="s">
        <v>38</v>
      </c>
      <c r="B57" s="32" t="s">
        <v>164</v>
      </c>
      <c r="C57" s="13" t="s">
        <v>217</v>
      </c>
      <c r="D57" s="77" t="s">
        <v>218</v>
      </c>
      <c r="E57" s="75" t="s">
        <v>225</v>
      </c>
      <c r="F57" s="77">
        <v>21.882200000000001</v>
      </c>
      <c r="G57" s="77">
        <v>83.717500000000001</v>
      </c>
      <c r="H57" s="77">
        <v>18.373100000000001</v>
      </c>
      <c r="I57" s="75">
        <v>1250</v>
      </c>
      <c r="J57" s="77">
        <v>541.68899999999996</v>
      </c>
      <c r="K57" s="77">
        <v>350.9</v>
      </c>
      <c r="L57" s="32">
        <v>0</v>
      </c>
      <c r="M57" s="32">
        <v>1</v>
      </c>
      <c r="N57" s="32">
        <v>1</v>
      </c>
      <c r="O57" s="76">
        <v>20427.099999999999</v>
      </c>
      <c r="P57" s="32">
        <v>0</v>
      </c>
      <c r="Q57" s="32">
        <v>0</v>
      </c>
      <c r="R57" s="75">
        <v>1300</v>
      </c>
      <c r="S57" s="32">
        <v>0</v>
      </c>
      <c r="T57" s="78" t="s">
        <v>22</v>
      </c>
      <c r="U57" s="79">
        <v>0.26992307692307693</v>
      </c>
      <c r="V57" s="47">
        <v>0</v>
      </c>
      <c r="W57" s="47">
        <v>0</v>
      </c>
      <c r="X57" s="47">
        <v>0</v>
      </c>
      <c r="Y57" s="47">
        <v>0</v>
      </c>
      <c r="Z57" s="47">
        <v>85.112499999999997</v>
      </c>
      <c r="AA57" s="47">
        <v>0</v>
      </c>
      <c r="AB57" s="47">
        <v>188.14699999999999</v>
      </c>
      <c r="AC57" s="47">
        <v>77.640500000000003</v>
      </c>
    </row>
    <row r="58" spans="1:29" ht="14.45">
      <c r="A58" s="32" t="s">
        <v>38</v>
      </c>
      <c r="B58" s="32" t="s">
        <v>164</v>
      </c>
      <c r="C58" s="13" t="s">
        <v>217</v>
      </c>
      <c r="D58" s="77" t="s">
        <v>218</v>
      </c>
      <c r="E58" s="75" t="s">
        <v>226</v>
      </c>
      <c r="F58" s="77">
        <v>21.8079</v>
      </c>
      <c r="G58" s="77">
        <v>96.165499999999994</v>
      </c>
      <c r="H58" s="77">
        <v>18.0105</v>
      </c>
      <c r="I58" s="75">
        <v>1450</v>
      </c>
      <c r="J58" s="77">
        <v>639.12</v>
      </c>
      <c r="K58" s="77">
        <v>379.04199999999997</v>
      </c>
      <c r="L58" s="32">
        <v>0</v>
      </c>
      <c r="M58" s="32">
        <v>1</v>
      </c>
      <c r="N58" s="32">
        <v>1</v>
      </c>
      <c r="O58" s="76">
        <v>17488.900000000001</v>
      </c>
      <c r="P58" s="32">
        <v>0</v>
      </c>
      <c r="Q58" s="32">
        <v>0</v>
      </c>
      <c r="R58" s="75">
        <v>1300</v>
      </c>
      <c r="S58" s="32">
        <v>0</v>
      </c>
      <c r="T58" s="78" t="s">
        <v>22</v>
      </c>
      <c r="U58" s="79">
        <v>0.29157076923076919</v>
      </c>
      <c r="V58" s="47">
        <v>0</v>
      </c>
      <c r="W58" s="47">
        <v>0</v>
      </c>
      <c r="X58" s="47">
        <v>0</v>
      </c>
      <c r="Y58" s="47">
        <v>0</v>
      </c>
      <c r="Z58" s="47">
        <v>40.490699999999997</v>
      </c>
      <c r="AA58" s="47">
        <v>0</v>
      </c>
      <c r="AB58" s="47">
        <v>136.43700000000001</v>
      </c>
      <c r="AC58" s="47">
        <v>202.114</v>
      </c>
    </row>
    <row r="59" spans="1:29" ht="14.45">
      <c r="A59" s="32" t="s">
        <v>38</v>
      </c>
      <c r="B59" s="32" t="s">
        <v>164</v>
      </c>
      <c r="C59" s="13" t="s">
        <v>217</v>
      </c>
      <c r="D59" s="77" t="s">
        <v>218</v>
      </c>
      <c r="E59" s="75" t="s">
        <v>227</v>
      </c>
      <c r="F59" s="77">
        <v>21.882000000000001</v>
      </c>
      <c r="G59" s="77">
        <v>47.388599999999997</v>
      </c>
      <c r="H59" s="77">
        <v>19.253599999999999</v>
      </c>
      <c r="I59" s="75">
        <v>800</v>
      </c>
      <c r="J59" s="77">
        <v>410.38799999999998</v>
      </c>
      <c r="K59" s="77">
        <v>211.82599999999999</v>
      </c>
      <c r="L59" s="32">
        <v>0</v>
      </c>
      <c r="M59" s="32">
        <v>1</v>
      </c>
      <c r="N59" s="32">
        <v>1</v>
      </c>
      <c r="O59" s="76">
        <v>12634.7</v>
      </c>
      <c r="P59" s="32">
        <v>0</v>
      </c>
      <c r="Q59" s="32">
        <v>0</v>
      </c>
      <c r="R59" s="75">
        <v>800</v>
      </c>
      <c r="S59" s="32">
        <v>0</v>
      </c>
      <c r="T59" s="78" t="s">
        <v>22</v>
      </c>
      <c r="U59" s="79">
        <v>0.26478249999999998</v>
      </c>
      <c r="V59" s="47">
        <v>0</v>
      </c>
      <c r="W59" s="47">
        <v>0</v>
      </c>
      <c r="X59" s="47">
        <v>0</v>
      </c>
      <c r="Y59" s="47">
        <v>18.3872</v>
      </c>
      <c r="Z59" s="47">
        <v>50.986800000000002</v>
      </c>
      <c r="AA59" s="47">
        <v>15.4315</v>
      </c>
      <c r="AB59" s="47">
        <v>67.003699999999995</v>
      </c>
      <c r="AC59" s="47">
        <v>60.0169</v>
      </c>
    </row>
    <row r="60" spans="1:29" ht="14.45">
      <c r="A60" s="32" t="s">
        <v>38</v>
      </c>
      <c r="B60" s="32" t="s">
        <v>164</v>
      </c>
      <c r="C60" s="13" t="s">
        <v>217</v>
      </c>
      <c r="D60" s="77" t="s">
        <v>218</v>
      </c>
      <c r="E60" s="75" t="s">
        <v>228</v>
      </c>
      <c r="F60" s="77">
        <v>21.8079</v>
      </c>
      <c r="G60" s="77">
        <v>110.256</v>
      </c>
      <c r="H60" s="77">
        <v>17.6632</v>
      </c>
      <c r="I60" s="75">
        <v>1300</v>
      </c>
      <c r="J60" s="77">
        <v>696.98400000000004</v>
      </c>
      <c r="K60" s="77">
        <v>414.02100000000002</v>
      </c>
      <c r="L60" s="32">
        <v>0</v>
      </c>
      <c r="M60" s="32">
        <v>1</v>
      </c>
      <c r="N60" s="32">
        <v>1</v>
      </c>
      <c r="O60" s="76">
        <v>23567.200000000001</v>
      </c>
      <c r="P60" s="32">
        <v>0</v>
      </c>
      <c r="Q60" s="32">
        <v>0</v>
      </c>
      <c r="R60" s="75">
        <v>1350</v>
      </c>
      <c r="S60" s="32">
        <v>0</v>
      </c>
      <c r="T60" s="78" t="s">
        <v>22</v>
      </c>
      <c r="U60" s="79">
        <v>0.30668222222222224</v>
      </c>
      <c r="V60" s="47">
        <v>0</v>
      </c>
      <c r="W60" s="47">
        <v>0</v>
      </c>
      <c r="X60" s="47">
        <v>0</v>
      </c>
      <c r="Y60" s="47">
        <v>0</v>
      </c>
      <c r="Z60" s="47">
        <v>173.517</v>
      </c>
      <c r="AA60" s="47">
        <v>14.409700000000001</v>
      </c>
      <c r="AB60" s="47">
        <v>63.145099999999999</v>
      </c>
      <c r="AC60" s="47">
        <v>162.94999999999999</v>
      </c>
    </row>
    <row r="61" spans="1:29" ht="14.45">
      <c r="A61" s="32" t="s">
        <v>38</v>
      </c>
      <c r="B61" s="32" t="s">
        <v>164</v>
      </c>
      <c r="C61" s="13" t="s">
        <v>217</v>
      </c>
      <c r="D61" s="77" t="s">
        <v>218</v>
      </c>
      <c r="E61" s="75" t="s">
        <v>229</v>
      </c>
      <c r="F61" s="77">
        <v>21.7974</v>
      </c>
      <c r="G61" s="77">
        <v>74.863399999999999</v>
      </c>
      <c r="H61" s="77">
        <v>19.7</v>
      </c>
      <c r="I61" s="75">
        <v>1000</v>
      </c>
      <c r="J61" s="77">
        <v>536.70899999999995</v>
      </c>
      <c r="K61" s="77">
        <v>347.86399999999998</v>
      </c>
      <c r="L61" s="32">
        <v>0</v>
      </c>
      <c r="M61" s="32">
        <v>1</v>
      </c>
      <c r="N61" s="32">
        <v>1</v>
      </c>
      <c r="O61" s="76">
        <v>21671.7</v>
      </c>
      <c r="P61" s="32">
        <v>0</v>
      </c>
      <c r="Q61" s="32">
        <v>0</v>
      </c>
      <c r="R61" s="75">
        <v>950</v>
      </c>
      <c r="S61" s="32">
        <v>0</v>
      </c>
      <c r="T61" s="78" t="s">
        <v>22</v>
      </c>
      <c r="U61" s="79">
        <v>0.36617263157894736</v>
      </c>
      <c r="V61" s="47">
        <v>0</v>
      </c>
      <c r="W61" s="47">
        <v>0</v>
      </c>
      <c r="X61" s="47">
        <v>0</v>
      </c>
      <c r="Y61" s="47">
        <v>37.195099999999996</v>
      </c>
      <c r="Z61" s="47">
        <v>119.905</v>
      </c>
      <c r="AA61" s="47">
        <v>0</v>
      </c>
      <c r="AB61" s="47">
        <v>100.29300000000001</v>
      </c>
      <c r="AC61" s="47">
        <v>90.470799999999997</v>
      </c>
    </row>
    <row r="62" spans="1:29" ht="14.45">
      <c r="A62" s="32" t="s">
        <v>38</v>
      </c>
      <c r="B62" s="32" t="s">
        <v>164</v>
      </c>
      <c r="C62" s="13" t="s">
        <v>217</v>
      </c>
      <c r="D62" s="77" t="s">
        <v>218</v>
      </c>
      <c r="E62" s="75" t="s">
        <v>230</v>
      </c>
      <c r="F62" s="77">
        <v>21.7972</v>
      </c>
      <c r="G62" s="77">
        <v>65.667500000000004</v>
      </c>
      <c r="H62" s="77">
        <v>21.773199999999999</v>
      </c>
      <c r="I62" s="75">
        <v>600</v>
      </c>
      <c r="J62" s="77">
        <v>506.28199999999998</v>
      </c>
      <c r="K62" s="77">
        <v>318.74099999999999</v>
      </c>
      <c r="L62" s="32">
        <v>0</v>
      </c>
      <c r="M62" s="32">
        <v>1</v>
      </c>
      <c r="N62" s="32">
        <v>1</v>
      </c>
      <c r="O62" s="76">
        <v>19991.2</v>
      </c>
      <c r="P62" s="32">
        <v>0</v>
      </c>
      <c r="Q62" s="32">
        <v>0</v>
      </c>
      <c r="R62" s="75">
        <v>600</v>
      </c>
      <c r="S62" s="32">
        <v>0</v>
      </c>
      <c r="T62" s="78" t="s">
        <v>22</v>
      </c>
      <c r="U62" s="79">
        <v>0.53123500000000001</v>
      </c>
      <c r="V62" s="47">
        <v>0</v>
      </c>
      <c r="W62" s="47">
        <v>0</v>
      </c>
      <c r="X62" s="47">
        <v>0</v>
      </c>
      <c r="Y62" s="47">
        <v>18.7624</v>
      </c>
      <c r="Z62" s="47">
        <v>60.306699999999999</v>
      </c>
      <c r="AA62" s="47">
        <v>90.080500000000001</v>
      </c>
      <c r="AB62" s="47">
        <v>89.488699999999994</v>
      </c>
      <c r="AC62" s="47">
        <v>60.103099999999998</v>
      </c>
    </row>
    <row r="63" spans="1:29" ht="14.45">
      <c r="A63" s="32" t="s">
        <v>38</v>
      </c>
      <c r="B63" s="32" t="s">
        <v>164</v>
      </c>
      <c r="C63" s="13" t="s">
        <v>217</v>
      </c>
      <c r="D63" s="77" t="s">
        <v>218</v>
      </c>
      <c r="E63" s="75" t="s">
        <v>231</v>
      </c>
      <c r="F63" s="77">
        <v>21.882400000000001</v>
      </c>
      <c r="G63" s="77">
        <v>97.307699999999997</v>
      </c>
      <c r="H63" s="77">
        <v>20.251000000000001</v>
      </c>
      <c r="I63" s="75">
        <v>1400</v>
      </c>
      <c r="J63" s="77">
        <v>649.36400000000003</v>
      </c>
      <c r="K63" s="77">
        <v>435.488</v>
      </c>
      <c r="L63" s="32">
        <v>0</v>
      </c>
      <c r="M63" s="32">
        <v>1</v>
      </c>
      <c r="N63" s="32">
        <v>1</v>
      </c>
      <c r="O63" s="76">
        <v>27350.5</v>
      </c>
      <c r="P63" s="32">
        <v>0</v>
      </c>
      <c r="Q63" s="32">
        <v>0</v>
      </c>
      <c r="R63" s="75">
        <v>1350</v>
      </c>
      <c r="S63" s="32">
        <v>0</v>
      </c>
      <c r="T63" s="78" t="s">
        <v>22</v>
      </c>
      <c r="U63" s="79">
        <v>0.32258370370370371</v>
      </c>
      <c r="V63" s="47">
        <v>0</v>
      </c>
      <c r="W63" s="47">
        <v>0</v>
      </c>
      <c r="X63" s="47">
        <v>0</v>
      </c>
      <c r="Y63" s="47">
        <v>0</v>
      </c>
      <c r="Z63" s="47">
        <v>151.565</v>
      </c>
      <c r="AA63" s="47">
        <v>59.910499999999999</v>
      </c>
      <c r="AB63" s="47">
        <v>143.70500000000001</v>
      </c>
      <c r="AC63" s="47">
        <v>80.307000000000002</v>
      </c>
    </row>
    <row r="64" spans="1:29" ht="14.45">
      <c r="A64" s="32" t="s">
        <v>38</v>
      </c>
      <c r="B64" s="32" t="s">
        <v>164</v>
      </c>
      <c r="C64" s="13" t="s">
        <v>217</v>
      </c>
      <c r="D64" s="77" t="s">
        <v>218</v>
      </c>
      <c r="E64" s="75" t="s">
        <v>232</v>
      </c>
      <c r="F64" s="77">
        <v>21.808199999999999</v>
      </c>
      <c r="G64" s="77">
        <v>87.124099999999999</v>
      </c>
      <c r="H64" s="77">
        <v>19.957999999999998</v>
      </c>
      <c r="I64" s="75">
        <v>900</v>
      </c>
      <c r="J64" s="77">
        <v>599.10699999999997</v>
      </c>
      <c r="K64" s="77">
        <v>335.245</v>
      </c>
      <c r="L64" s="32">
        <v>0</v>
      </c>
      <c r="M64" s="32">
        <v>1</v>
      </c>
      <c r="N64" s="32">
        <v>1</v>
      </c>
      <c r="O64" s="76">
        <v>20247.8</v>
      </c>
      <c r="P64" s="32">
        <v>0</v>
      </c>
      <c r="Q64" s="32">
        <v>0</v>
      </c>
      <c r="R64" s="75">
        <v>1050</v>
      </c>
      <c r="S64" s="32">
        <v>0</v>
      </c>
      <c r="T64" s="78" t="s">
        <v>22</v>
      </c>
      <c r="U64" s="79">
        <v>0.31928095238095239</v>
      </c>
      <c r="V64" s="47">
        <v>0</v>
      </c>
      <c r="W64" s="47">
        <v>0</v>
      </c>
      <c r="X64" s="47">
        <v>0</v>
      </c>
      <c r="Y64" s="47">
        <v>16.450199999999999</v>
      </c>
      <c r="Z64" s="47">
        <v>71.985399999999998</v>
      </c>
      <c r="AA64" s="47">
        <v>53.918599999999998</v>
      </c>
      <c r="AB64" s="47">
        <v>114.913</v>
      </c>
      <c r="AC64" s="47">
        <v>77.977699999999999</v>
      </c>
    </row>
    <row r="65" spans="1:29" ht="14.45">
      <c r="A65" s="32" t="s">
        <v>38</v>
      </c>
      <c r="B65" s="32" t="s">
        <v>164</v>
      </c>
      <c r="C65" s="13" t="s">
        <v>217</v>
      </c>
      <c r="D65" s="77" t="s">
        <v>218</v>
      </c>
      <c r="E65" s="75" t="s">
        <v>233</v>
      </c>
      <c r="F65" s="77">
        <v>21.805199999999999</v>
      </c>
      <c r="G65" s="77">
        <v>68.914400000000001</v>
      </c>
      <c r="H65" s="77">
        <v>20.0381</v>
      </c>
      <c r="I65" s="75">
        <v>850</v>
      </c>
      <c r="J65" s="77">
        <v>528.66899999999998</v>
      </c>
      <c r="K65" s="77">
        <v>313.89600000000002</v>
      </c>
      <c r="L65" s="32">
        <v>0</v>
      </c>
      <c r="M65" s="32">
        <v>1</v>
      </c>
      <c r="N65" s="32">
        <v>1</v>
      </c>
      <c r="O65" s="76">
        <v>17544.2</v>
      </c>
      <c r="P65" s="32">
        <v>0</v>
      </c>
      <c r="Q65" s="32">
        <v>0</v>
      </c>
      <c r="R65" s="75">
        <v>1000</v>
      </c>
      <c r="S65" s="32">
        <v>0</v>
      </c>
      <c r="T65" s="78" t="s">
        <v>22</v>
      </c>
      <c r="U65" s="79">
        <v>0.31389600000000001</v>
      </c>
      <c r="V65" s="47">
        <v>0</v>
      </c>
      <c r="W65" s="47">
        <v>0</v>
      </c>
      <c r="X65" s="47">
        <v>0</v>
      </c>
      <c r="Y65" s="47">
        <v>18.200800000000001</v>
      </c>
      <c r="Z65" s="47">
        <v>17.375499999999999</v>
      </c>
      <c r="AA65" s="47">
        <v>29.9267</v>
      </c>
      <c r="AB65" s="47">
        <v>165.64699999999999</v>
      </c>
      <c r="AC65" s="47">
        <v>82.745900000000006</v>
      </c>
    </row>
    <row r="66" spans="1:29" ht="14.45">
      <c r="A66" s="32" t="s">
        <v>40</v>
      </c>
      <c r="B66" s="32" t="s">
        <v>164</v>
      </c>
      <c r="C66" s="13" t="s">
        <v>217</v>
      </c>
      <c r="D66" s="77" t="s">
        <v>218</v>
      </c>
      <c r="E66" s="75" t="s">
        <v>36</v>
      </c>
      <c r="F66" s="77">
        <v>21.828399999999998</v>
      </c>
      <c r="G66" s="77">
        <v>81.903899999999993</v>
      </c>
      <c r="H66" s="77">
        <v>20.2331</v>
      </c>
      <c r="I66" s="75">
        <v>1080</v>
      </c>
      <c r="J66" s="77">
        <v>576.59799999999996</v>
      </c>
      <c r="K66" s="77">
        <v>370.65199999999999</v>
      </c>
      <c r="L66" s="32">
        <v>21.5883</v>
      </c>
      <c r="M66" s="32">
        <v>15</v>
      </c>
      <c r="N66" s="32">
        <v>15</v>
      </c>
      <c r="O66" s="76">
        <v>21911.4</v>
      </c>
      <c r="P66" s="32">
        <v>1367.06</v>
      </c>
      <c r="Q66" s="32">
        <v>30.1</v>
      </c>
      <c r="R66" s="75">
        <v>1086.67</v>
      </c>
      <c r="S66" s="32">
        <v>0</v>
      </c>
      <c r="T66" s="78">
        <v>0.1249212157354498</v>
      </c>
      <c r="U66" s="79">
        <v>0.34108975125843166</v>
      </c>
      <c r="V66" s="47">
        <v>0</v>
      </c>
      <c r="W66" s="47">
        <v>0</v>
      </c>
      <c r="X66" s="47">
        <v>2.15916</v>
      </c>
      <c r="Y66" s="47">
        <v>11.8827</v>
      </c>
      <c r="Z66" s="47">
        <v>101.652</v>
      </c>
      <c r="AA66" s="47">
        <v>32.296100000000003</v>
      </c>
      <c r="AB66" s="47">
        <v>118.443</v>
      </c>
      <c r="AC66" s="47">
        <v>104.21899999999999</v>
      </c>
    </row>
    <row r="67" spans="1:29" ht="14.45">
      <c r="A67" s="32" t="s">
        <v>38</v>
      </c>
      <c r="B67" s="32" t="s">
        <v>164</v>
      </c>
      <c r="C67" s="13" t="s">
        <v>217</v>
      </c>
      <c r="D67" s="77" t="s">
        <v>234</v>
      </c>
      <c r="E67" s="75" t="s">
        <v>235</v>
      </c>
      <c r="F67" s="77">
        <v>20.789000000000001</v>
      </c>
      <c r="G67" s="77">
        <v>85.369200000000006</v>
      </c>
      <c r="H67" s="77">
        <v>19.326499999999999</v>
      </c>
      <c r="I67" s="75">
        <v>1100</v>
      </c>
      <c r="J67" s="77">
        <v>637.05100000000004</v>
      </c>
      <c r="K67" s="77">
        <v>359.16300000000001</v>
      </c>
      <c r="L67" s="32">
        <v>0</v>
      </c>
      <c r="M67" s="32">
        <v>1</v>
      </c>
      <c r="N67" s="32">
        <v>1</v>
      </c>
      <c r="O67" s="76">
        <v>23476.9</v>
      </c>
      <c r="P67" s="32">
        <v>0</v>
      </c>
      <c r="Q67" s="32">
        <v>0</v>
      </c>
      <c r="R67" s="75">
        <v>1300</v>
      </c>
      <c r="S67" s="32">
        <v>0</v>
      </c>
      <c r="T67" s="78" t="s">
        <v>22</v>
      </c>
      <c r="U67" s="79">
        <v>0.27627923076923078</v>
      </c>
      <c r="V67" s="47">
        <v>0</v>
      </c>
      <c r="W67" s="47">
        <v>0</v>
      </c>
      <c r="X67" s="47">
        <v>0</v>
      </c>
      <c r="Y67" s="47">
        <v>0</v>
      </c>
      <c r="Z67" s="47">
        <v>165.423</v>
      </c>
      <c r="AA67" s="47">
        <v>31.936900000000001</v>
      </c>
      <c r="AB67" s="47">
        <v>105.113</v>
      </c>
      <c r="AC67" s="47">
        <v>56.6905</v>
      </c>
    </row>
    <row r="68" spans="1:29" ht="14.45">
      <c r="A68" s="32" t="s">
        <v>38</v>
      </c>
      <c r="B68" s="32" t="s">
        <v>164</v>
      </c>
      <c r="C68" s="13" t="s">
        <v>217</v>
      </c>
      <c r="D68" s="77" t="s">
        <v>234</v>
      </c>
      <c r="E68" s="75" t="s">
        <v>236</v>
      </c>
      <c r="F68" s="77">
        <v>20.803100000000001</v>
      </c>
      <c r="G68" s="77">
        <v>100.58499999999999</v>
      </c>
      <c r="H68" s="77">
        <v>20.8399</v>
      </c>
      <c r="I68" s="75">
        <v>1100</v>
      </c>
      <c r="J68" s="77">
        <v>728.78300000000002</v>
      </c>
      <c r="K68" s="77">
        <v>429.69900000000001</v>
      </c>
      <c r="L68" s="32">
        <v>0</v>
      </c>
      <c r="M68" s="32">
        <v>1</v>
      </c>
      <c r="N68" s="32">
        <v>1</v>
      </c>
      <c r="O68" s="76">
        <v>27096.2</v>
      </c>
      <c r="P68" s="32">
        <v>0</v>
      </c>
      <c r="Q68" s="32">
        <v>0</v>
      </c>
      <c r="R68" s="75">
        <v>1350</v>
      </c>
      <c r="S68" s="32">
        <v>0</v>
      </c>
      <c r="T68" s="78" t="s">
        <v>22</v>
      </c>
      <c r="U68" s="79">
        <v>0.31829555555555555</v>
      </c>
      <c r="V68" s="47">
        <v>0</v>
      </c>
      <c r="W68" s="47">
        <v>0</v>
      </c>
      <c r="X68" s="47">
        <v>0</v>
      </c>
      <c r="Y68" s="47">
        <v>27.913599999999999</v>
      </c>
      <c r="Z68" s="47">
        <v>96.060100000000006</v>
      </c>
      <c r="AA68" s="47">
        <v>68.052899999999994</v>
      </c>
      <c r="AB68" s="47">
        <v>166.84399999999999</v>
      </c>
      <c r="AC68" s="47">
        <v>70.828999999999994</v>
      </c>
    </row>
    <row r="69" spans="1:29" ht="14.45">
      <c r="A69" s="32" t="s">
        <v>38</v>
      </c>
      <c r="B69" s="32" t="s">
        <v>164</v>
      </c>
      <c r="C69" s="13" t="s">
        <v>217</v>
      </c>
      <c r="D69" s="77" t="s">
        <v>234</v>
      </c>
      <c r="E69" s="75" t="s">
        <v>237</v>
      </c>
      <c r="F69" s="77">
        <v>20.805199999999999</v>
      </c>
      <c r="G69" s="77">
        <v>90.290999999999997</v>
      </c>
      <c r="H69" s="77">
        <v>20.893599999999999</v>
      </c>
      <c r="I69" s="75">
        <v>1200</v>
      </c>
      <c r="J69" s="77">
        <v>656.28</v>
      </c>
      <c r="K69" s="77">
        <v>409.75799999999998</v>
      </c>
      <c r="L69" s="32">
        <v>0</v>
      </c>
      <c r="M69" s="32">
        <v>1</v>
      </c>
      <c r="N69" s="32">
        <v>1</v>
      </c>
      <c r="O69" s="76">
        <v>24210.5</v>
      </c>
      <c r="P69" s="32">
        <v>0</v>
      </c>
      <c r="Q69" s="32">
        <v>0</v>
      </c>
      <c r="R69" s="75">
        <v>1300</v>
      </c>
      <c r="S69" s="32">
        <v>0</v>
      </c>
      <c r="T69" s="78" t="s">
        <v>22</v>
      </c>
      <c r="U69" s="79">
        <v>0.31519846153846154</v>
      </c>
      <c r="V69" s="47">
        <v>0</v>
      </c>
      <c r="W69" s="47">
        <v>0</v>
      </c>
      <c r="X69" s="47">
        <v>0</v>
      </c>
      <c r="Y69" s="47">
        <v>17.136199999999999</v>
      </c>
      <c r="Z69" s="47">
        <v>100.358</v>
      </c>
      <c r="AA69" s="47">
        <v>45.536900000000003</v>
      </c>
      <c r="AB69" s="47">
        <v>135.005</v>
      </c>
      <c r="AC69" s="47">
        <v>111.721</v>
      </c>
    </row>
    <row r="70" spans="1:29" ht="14.45">
      <c r="A70" s="32" t="s">
        <v>38</v>
      </c>
      <c r="B70" s="32" t="s">
        <v>164</v>
      </c>
      <c r="C70" s="13" t="s">
        <v>217</v>
      </c>
      <c r="D70" s="77" t="s">
        <v>234</v>
      </c>
      <c r="E70" s="75" t="s">
        <v>238</v>
      </c>
      <c r="F70" s="77">
        <v>20.788799999999998</v>
      </c>
      <c r="G70" s="77">
        <v>107.452</v>
      </c>
      <c r="H70" s="77">
        <v>20.162299999999998</v>
      </c>
      <c r="I70" s="75">
        <v>1450</v>
      </c>
      <c r="J70" s="77">
        <v>775.35400000000004</v>
      </c>
      <c r="K70" s="77">
        <v>512.18299999999999</v>
      </c>
      <c r="L70" s="32">
        <v>0</v>
      </c>
      <c r="M70" s="32">
        <v>1</v>
      </c>
      <c r="N70" s="32">
        <v>1</v>
      </c>
      <c r="O70" s="76">
        <v>26930.7</v>
      </c>
      <c r="P70" s="32">
        <v>0</v>
      </c>
      <c r="Q70" s="32">
        <v>0</v>
      </c>
      <c r="R70" s="75">
        <v>1550</v>
      </c>
      <c r="S70" s="32">
        <v>0</v>
      </c>
      <c r="T70" s="78" t="s">
        <v>22</v>
      </c>
      <c r="U70" s="79">
        <v>0.33044064516129029</v>
      </c>
      <c r="V70" s="47">
        <v>0</v>
      </c>
      <c r="W70" s="47">
        <v>0</v>
      </c>
      <c r="X70" s="47">
        <v>0</v>
      </c>
      <c r="Y70" s="47">
        <v>0</v>
      </c>
      <c r="Z70" s="47">
        <v>125.595</v>
      </c>
      <c r="AA70" s="47">
        <v>41.066800000000001</v>
      </c>
      <c r="AB70" s="47">
        <v>121.428</v>
      </c>
      <c r="AC70" s="47">
        <v>224.09399999999999</v>
      </c>
    </row>
    <row r="71" spans="1:29" ht="14.45">
      <c r="A71" s="32" t="s">
        <v>38</v>
      </c>
      <c r="B71" s="32" t="s">
        <v>164</v>
      </c>
      <c r="C71" s="13" t="s">
        <v>217</v>
      </c>
      <c r="D71" s="77" t="s">
        <v>234</v>
      </c>
      <c r="E71" s="75" t="s">
        <v>239</v>
      </c>
      <c r="F71" s="77">
        <v>20.818999999999999</v>
      </c>
      <c r="G71" s="77">
        <v>64.327500000000001</v>
      </c>
      <c r="H71" s="77">
        <v>21.618600000000001</v>
      </c>
      <c r="I71" s="75">
        <v>700</v>
      </c>
      <c r="J71" s="77">
        <v>490.09199999999998</v>
      </c>
      <c r="K71" s="77">
        <v>334.483</v>
      </c>
      <c r="L71" s="32">
        <v>0</v>
      </c>
      <c r="M71" s="32">
        <v>1</v>
      </c>
      <c r="N71" s="32">
        <v>1</v>
      </c>
      <c r="O71" s="76">
        <v>21879.9</v>
      </c>
      <c r="P71" s="32">
        <v>0</v>
      </c>
      <c r="Q71" s="32">
        <v>0</v>
      </c>
      <c r="R71" s="75">
        <v>800</v>
      </c>
      <c r="S71" s="32">
        <v>0</v>
      </c>
      <c r="T71" s="78" t="s">
        <v>22</v>
      </c>
      <c r="U71" s="79">
        <v>0.41810375</v>
      </c>
      <c r="V71" s="47">
        <v>0</v>
      </c>
      <c r="W71" s="47">
        <v>0</v>
      </c>
      <c r="X71" s="47">
        <v>0</v>
      </c>
      <c r="Y71" s="47">
        <v>48.337200000000003</v>
      </c>
      <c r="Z71" s="47">
        <v>77.883099999999999</v>
      </c>
      <c r="AA71" s="47">
        <v>38.470100000000002</v>
      </c>
      <c r="AB71" s="47">
        <v>117.074</v>
      </c>
      <c r="AC71" s="47">
        <v>52.718299999999999</v>
      </c>
    </row>
    <row r="72" spans="1:29" ht="14.45">
      <c r="A72" s="32" t="s">
        <v>38</v>
      </c>
      <c r="B72" s="32" t="s">
        <v>164</v>
      </c>
      <c r="C72" s="13" t="s">
        <v>217</v>
      </c>
      <c r="D72" s="77" t="s">
        <v>234</v>
      </c>
      <c r="E72" s="75" t="s">
        <v>240</v>
      </c>
      <c r="F72" s="77">
        <v>20.803100000000001</v>
      </c>
      <c r="G72" s="77">
        <v>83.418700000000001</v>
      </c>
      <c r="H72" s="77">
        <v>23.904299999999999</v>
      </c>
      <c r="I72" s="75">
        <v>1050</v>
      </c>
      <c r="J72" s="77">
        <v>656.06200000000001</v>
      </c>
      <c r="K72" s="77">
        <v>456.85899999999998</v>
      </c>
      <c r="L72" s="32">
        <v>0</v>
      </c>
      <c r="M72" s="32">
        <v>1</v>
      </c>
      <c r="N72" s="32">
        <v>1</v>
      </c>
      <c r="O72" s="76">
        <v>30531.9</v>
      </c>
      <c r="P72" s="32">
        <v>0</v>
      </c>
      <c r="Q72" s="32">
        <v>0</v>
      </c>
      <c r="R72" s="75">
        <v>1100</v>
      </c>
      <c r="S72" s="32">
        <v>0</v>
      </c>
      <c r="T72" s="78" t="s">
        <v>22</v>
      </c>
      <c r="U72" s="79">
        <v>0.4153263636363636</v>
      </c>
      <c r="V72" s="47">
        <v>0</v>
      </c>
      <c r="W72" s="47">
        <v>0</v>
      </c>
      <c r="X72" s="47">
        <v>0</v>
      </c>
      <c r="Y72" s="47">
        <v>45.932499999999997</v>
      </c>
      <c r="Z72" s="47">
        <v>172.249</v>
      </c>
      <c r="AA72" s="47">
        <v>57.882199999999997</v>
      </c>
      <c r="AB72" s="47">
        <v>104.749</v>
      </c>
      <c r="AC72" s="47">
        <v>76.046700000000001</v>
      </c>
    </row>
    <row r="73" spans="1:29" ht="14.45">
      <c r="A73" s="32" t="s">
        <v>38</v>
      </c>
      <c r="B73" s="32" t="s">
        <v>164</v>
      </c>
      <c r="C73" s="13" t="s">
        <v>217</v>
      </c>
      <c r="D73" s="77" t="s">
        <v>234</v>
      </c>
      <c r="E73" s="75" t="s">
        <v>241</v>
      </c>
      <c r="F73" s="77">
        <v>20.882400000000001</v>
      </c>
      <c r="G73" s="77">
        <v>63.604100000000003</v>
      </c>
      <c r="H73" s="77">
        <v>20.101299999999998</v>
      </c>
      <c r="I73" s="75">
        <v>700</v>
      </c>
      <c r="J73" s="77">
        <v>444.49099999999999</v>
      </c>
      <c r="K73" s="77">
        <v>306.85199999999998</v>
      </c>
      <c r="L73" s="32">
        <v>0</v>
      </c>
      <c r="M73" s="32">
        <v>1</v>
      </c>
      <c r="N73" s="32">
        <v>1</v>
      </c>
      <c r="O73" s="76">
        <v>18600.099999999999</v>
      </c>
      <c r="P73" s="32">
        <v>0</v>
      </c>
      <c r="Q73" s="32">
        <v>0</v>
      </c>
      <c r="R73" s="75">
        <v>1000</v>
      </c>
      <c r="S73" s="32">
        <v>0</v>
      </c>
      <c r="T73" s="78" t="s">
        <v>22</v>
      </c>
      <c r="U73" s="79">
        <v>0.30685199999999996</v>
      </c>
      <c r="V73" s="47">
        <v>0</v>
      </c>
      <c r="W73" s="47">
        <v>0</v>
      </c>
      <c r="X73" s="47">
        <v>0</v>
      </c>
      <c r="Y73" s="47">
        <v>0</v>
      </c>
      <c r="Z73" s="47">
        <v>100.81100000000001</v>
      </c>
      <c r="AA73" s="47">
        <v>52.8977</v>
      </c>
      <c r="AB73" s="47">
        <v>74.601799999999997</v>
      </c>
      <c r="AC73" s="47">
        <v>78.540899999999993</v>
      </c>
    </row>
    <row r="74" spans="1:29" ht="14.45">
      <c r="A74" s="32" t="s">
        <v>38</v>
      </c>
      <c r="B74" s="32" t="s">
        <v>164</v>
      </c>
      <c r="C74" s="13" t="s">
        <v>217</v>
      </c>
      <c r="D74" s="77" t="s">
        <v>234</v>
      </c>
      <c r="E74" s="75" t="s">
        <v>242</v>
      </c>
      <c r="F74" s="77">
        <v>20.8825</v>
      </c>
      <c r="G74" s="77">
        <v>48.304499999999997</v>
      </c>
      <c r="H74" s="77">
        <v>19.477</v>
      </c>
      <c r="I74" s="75">
        <v>700</v>
      </c>
      <c r="J74" s="77">
        <v>340.81400000000002</v>
      </c>
      <c r="K74" s="77">
        <v>239.61199999999999</v>
      </c>
      <c r="L74" s="32">
        <v>0</v>
      </c>
      <c r="M74" s="32">
        <v>1</v>
      </c>
      <c r="N74" s="32">
        <v>1</v>
      </c>
      <c r="O74" s="76">
        <v>13280</v>
      </c>
      <c r="P74" s="32">
        <v>0</v>
      </c>
      <c r="Q74" s="32">
        <v>0</v>
      </c>
      <c r="R74" s="75">
        <v>700</v>
      </c>
      <c r="S74" s="32">
        <v>0</v>
      </c>
      <c r="T74" s="78" t="s">
        <v>22</v>
      </c>
      <c r="U74" s="79">
        <v>0.34230285714285713</v>
      </c>
      <c r="V74" s="47">
        <v>0</v>
      </c>
      <c r="W74" s="47">
        <v>0</v>
      </c>
      <c r="X74" s="47">
        <v>0</v>
      </c>
      <c r="Y74" s="47">
        <v>0</v>
      </c>
      <c r="Z74" s="47">
        <v>44.991100000000003</v>
      </c>
      <c r="AA74" s="47">
        <v>22.017299999999999</v>
      </c>
      <c r="AB74" s="47">
        <v>98.7136</v>
      </c>
      <c r="AC74" s="47">
        <v>73.889600000000002</v>
      </c>
    </row>
    <row r="75" spans="1:29" ht="14.45">
      <c r="A75" s="32" t="s">
        <v>38</v>
      </c>
      <c r="B75" s="32" t="s">
        <v>164</v>
      </c>
      <c r="C75" s="13" t="s">
        <v>217</v>
      </c>
      <c r="D75" s="77" t="s">
        <v>234</v>
      </c>
      <c r="E75" s="75" t="s">
        <v>243</v>
      </c>
      <c r="F75" s="77">
        <v>20.805800000000001</v>
      </c>
      <c r="G75" s="77">
        <v>72.299899999999994</v>
      </c>
      <c r="H75" s="77">
        <v>19.2408</v>
      </c>
      <c r="I75" s="75">
        <v>700</v>
      </c>
      <c r="J75" s="77">
        <v>469.714</v>
      </c>
      <c r="K75" s="77">
        <v>298.64100000000002</v>
      </c>
      <c r="L75" s="32">
        <v>0</v>
      </c>
      <c r="M75" s="32">
        <v>1</v>
      </c>
      <c r="N75" s="32">
        <v>1</v>
      </c>
      <c r="O75" s="76">
        <v>17894.400000000001</v>
      </c>
      <c r="P75" s="32">
        <v>0</v>
      </c>
      <c r="Q75" s="32">
        <v>0</v>
      </c>
      <c r="R75" s="75">
        <v>850</v>
      </c>
      <c r="S75" s="32">
        <v>0</v>
      </c>
      <c r="T75" s="78" t="s">
        <v>22</v>
      </c>
      <c r="U75" s="79">
        <v>0.35134235294117649</v>
      </c>
      <c r="V75" s="47">
        <v>0</v>
      </c>
      <c r="W75" s="47">
        <v>0</v>
      </c>
      <c r="X75" s="47">
        <v>0</v>
      </c>
      <c r="Y75" s="47">
        <v>0</v>
      </c>
      <c r="Z75" s="47">
        <v>28.978899999999999</v>
      </c>
      <c r="AA75" s="47">
        <v>152.095</v>
      </c>
      <c r="AB75" s="47">
        <v>46.746699999999997</v>
      </c>
      <c r="AC75" s="47">
        <v>70.820400000000006</v>
      </c>
    </row>
    <row r="76" spans="1:29" ht="14.45">
      <c r="A76" s="32" t="s">
        <v>38</v>
      </c>
      <c r="B76" s="32" t="s">
        <v>164</v>
      </c>
      <c r="C76" s="13" t="s">
        <v>217</v>
      </c>
      <c r="D76" s="77" t="s">
        <v>234</v>
      </c>
      <c r="E76" s="75" t="s">
        <v>244</v>
      </c>
      <c r="F76" s="77">
        <v>20.797699999999999</v>
      </c>
      <c r="G76" s="77">
        <v>84.721199999999996</v>
      </c>
      <c r="H76" s="77">
        <v>20.1416</v>
      </c>
      <c r="I76" s="75">
        <v>1450</v>
      </c>
      <c r="J76" s="77">
        <v>714.19500000000005</v>
      </c>
      <c r="K76" s="77">
        <v>465.73599999999999</v>
      </c>
      <c r="L76" s="32">
        <v>0</v>
      </c>
      <c r="M76" s="32">
        <v>1</v>
      </c>
      <c r="N76" s="32">
        <v>1</v>
      </c>
      <c r="O76" s="76">
        <v>25570.1</v>
      </c>
      <c r="P76" s="32">
        <v>0</v>
      </c>
      <c r="Q76" s="32">
        <v>0</v>
      </c>
      <c r="R76" s="75">
        <v>1550</v>
      </c>
      <c r="S76" s="32">
        <v>0</v>
      </c>
      <c r="T76" s="78" t="s">
        <v>22</v>
      </c>
      <c r="U76" s="79">
        <v>0.30047483870967739</v>
      </c>
      <c r="V76" s="47">
        <v>0</v>
      </c>
      <c r="W76" s="47">
        <v>0</v>
      </c>
      <c r="X76" s="47">
        <v>0</v>
      </c>
      <c r="Y76" s="47">
        <v>0</v>
      </c>
      <c r="Z76" s="47">
        <v>48.223100000000002</v>
      </c>
      <c r="AA76" s="47">
        <v>0</v>
      </c>
      <c r="AB76" s="47">
        <v>306.22800000000001</v>
      </c>
      <c r="AC76" s="47">
        <v>111.28400000000001</v>
      </c>
    </row>
    <row r="77" spans="1:29" ht="14.45">
      <c r="A77" s="32" t="s">
        <v>38</v>
      </c>
      <c r="B77" s="32" t="s">
        <v>164</v>
      </c>
      <c r="C77" s="13" t="s">
        <v>217</v>
      </c>
      <c r="D77" s="77" t="s">
        <v>234</v>
      </c>
      <c r="E77" s="75" t="s">
        <v>245</v>
      </c>
      <c r="F77" s="77">
        <v>20.802800000000001</v>
      </c>
      <c r="G77" s="77">
        <v>74.079499999999996</v>
      </c>
      <c r="H77" s="77">
        <v>23.7349</v>
      </c>
      <c r="I77" s="75">
        <v>1200</v>
      </c>
      <c r="J77" s="77">
        <v>585.28700000000003</v>
      </c>
      <c r="K77" s="77">
        <v>370.846</v>
      </c>
      <c r="L77" s="32">
        <v>0</v>
      </c>
      <c r="M77" s="32">
        <v>1</v>
      </c>
      <c r="N77" s="32">
        <v>1</v>
      </c>
      <c r="O77" s="76">
        <v>23434.2</v>
      </c>
      <c r="P77" s="32">
        <v>0</v>
      </c>
      <c r="Q77" s="32">
        <v>0</v>
      </c>
      <c r="R77" s="75">
        <v>1200</v>
      </c>
      <c r="S77" s="32">
        <v>0</v>
      </c>
      <c r="T77" s="78" t="s">
        <v>22</v>
      </c>
      <c r="U77" s="79">
        <v>0.30903833333333336</v>
      </c>
      <c r="V77" s="47">
        <v>0</v>
      </c>
      <c r="W77" s="47">
        <v>0</v>
      </c>
      <c r="X77" s="47">
        <v>0</v>
      </c>
      <c r="Y77" s="47">
        <v>0</v>
      </c>
      <c r="Z77" s="47">
        <v>163.77500000000001</v>
      </c>
      <c r="AA77" s="47">
        <v>18.414100000000001</v>
      </c>
      <c r="AB77" s="47">
        <v>112.78400000000001</v>
      </c>
      <c r="AC77" s="47">
        <v>75.873099999999994</v>
      </c>
    </row>
    <row r="78" spans="1:29" ht="14.45">
      <c r="A78" s="32" t="s">
        <v>38</v>
      </c>
      <c r="B78" s="32" t="s">
        <v>164</v>
      </c>
      <c r="C78" s="13" t="s">
        <v>217</v>
      </c>
      <c r="D78" s="77" t="s">
        <v>234</v>
      </c>
      <c r="E78" s="75" t="s">
        <v>246</v>
      </c>
      <c r="F78" s="77">
        <v>20.789300000000001</v>
      </c>
      <c r="G78" s="77">
        <v>75.617199999999997</v>
      </c>
      <c r="H78" s="77">
        <v>22.663900000000002</v>
      </c>
      <c r="I78" s="75">
        <v>950</v>
      </c>
      <c r="J78" s="77">
        <v>619.90099999999995</v>
      </c>
      <c r="K78" s="77">
        <v>499.79199999999997</v>
      </c>
      <c r="L78" s="32">
        <v>0</v>
      </c>
      <c r="M78" s="32">
        <v>1</v>
      </c>
      <c r="N78" s="32">
        <v>1</v>
      </c>
      <c r="O78" s="76">
        <v>34285.1</v>
      </c>
      <c r="P78" s="32">
        <v>0</v>
      </c>
      <c r="Q78" s="32">
        <v>0</v>
      </c>
      <c r="R78" s="75">
        <v>1050</v>
      </c>
      <c r="S78" s="32">
        <v>0</v>
      </c>
      <c r="T78" s="78" t="s">
        <v>22</v>
      </c>
      <c r="U78" s="79">
        <v>0.47599238095238094</v>
      </c>
      <c r="V78" s="47">
        <v>0</v>
      </c>
      <c r="W78" s="47">
        <v>0</v>
      </c>
      <c r="X78" s="47">
        <v>0</v>
      </c>
      <c r="Y78" s="47">
        <v>33.826300000000003</v>
      </c>
      <c r="Z78" s="47">
        <v>254.64699999999999</v>
      </c>
      <c r="AA78" s="47">
        <v>38.578200000000002</v>
      </c>
      <c r="AB78" s="47">
        <v>99.543199999999999</v>
      </c>
      <c r="AC78" s="47">
        <v>73.197000000000003</v>
      </c>
    </row>
    <row r="79" spans="1:29" ht="14.45">
      <c r="A79" s="32" t="s">
        <v>40</v>
      </c>
      <c r="B79" s="32" t="s">
        <v>164</v>
      </c>
      <c r="C79" s="13" t="s">
        <v>217</v>
      </c>
      <c r="D79" s="77" t="s">
        <v>234</v>
      </c>
      <c r="E79" s="75" t="s">
        <v>36</v>
      </c>
      <c r="F79" s="77">
        <v>20.8141</v>
      </c>
      <c r="G79" s="77">
        <v>79.172499999999999</v>
      </c>
      <c r="H79" s="77">
        <v>21.008700000000001</v>
      </c>
      <c r="I79" s="75">
        <v>1025</v>
      </c>
      <c r="J79" s="77">
        <v>593.16899999999998</v>
      </c>
      <c r="K79" s="77">
        <v>390.30200000000002</v>
      </c>
      <c r="L79" s="32">
        <v>24.837499999999999</v>
      </c>
      <c r="M79" s="32">
        <v>12</v>
      </c>
      <c r="N79" s="32">
        <v>12</v>
      </c>
      <c r="O79" s="76">
        <v>23932.5</v>
      </c>
      <c r="P79" s="32">
        <v>1641.15</v>
      </c>
      <c r="Q79" s="32">
        <v>28.2</v>
      </c>
      <c r="R79" s="75">
        <v>1145.83</v>
      </c>
      <c r="S79" s="32">
        <v>0</v>
      </c>
      <c r="T79" s="78">
        <v>0.14006325592432542</v>
      </c>
      <c r="U79" s="79">
        <v>0.3406281909183736</v>
      </c>
      <c r="V79" s="47">
        <v>0</v>
      </c>
      <c r="W79" s="47">
        <v>0</v>
      </c>
      <c r="X79" s="47">
        <v>0</v>
      </c>
      <c r="Y79" s="47">
        <v>14.428800000000001</v>
      </c>
      <c r="Z79" s="47">
        <v>114.916</v>
      </c>
      <c r="AA79" s="47">
        <v>47.245699999999999</v>
      </c>
      <c r="AB79" s="47">
        <v>124.069</v>
      </c>
      <c r="AC79" s="47">
        <v>89.642099999999999</v>
      </c>
    </row>
  </sheetData>
  <autoFilter ref="A3:AC3" xr:uid="{00000000-0009-0000-0000-000001000000}"/>
  <pageMargins left="0.49" right="0.43" top="0.74803149606299213" bottom="0.74803149606299213" header="0.31496062992125984" footer="0.31496062992125984"/>
  <pageSetup paperSize="9" scale="54" orientation="landscape" r:id="rId1"/>
  <headerFooter>
    <oddHeader>Page &amp;P&amp;R&amp;Z&amp;F</oddHeader>
    <oddFooter>Prepared by Alan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Y2"/>
  <sheetViews>
    <sheetView workbookViewId="0"/>
  </sheetViews>
  <sheetFormatPr defaultColWidth="8.85546875" defaultRowHeight="14.45"/>
  <cols>
    <col min="1" max="3" width="8.85546875" style="1"/>
    <col min="4" max="4" width="8.85546875" style="3"/>
    <col min="5" max="16384" width="8.85546875" style="1"/>
  </cols>
  <sheetData>
    <row r="1" spans="2:51">
      <c r="B1" s="43"/>
      <c r="C1" s="43"/>
      <c r="D1" s="44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</row>
    <row r="2" spans="2:51">
      <c r="B2" s="43"/>
      <c r="C2" s="43"/>
      <c r="D2" s="44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BA939-A4FD-4652-B897-6434D19CF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</dc:creator>
  <cp:keywords/>
  <dc:description/>
  <cp:lastModifiedBy>Guest User</cp:lastModifiedBy>
  <cp:revision/>
  <dcterms:created xsi:type="dcterms:W3CDTF">2014-05-17T02:52:00Z</dcterms:created>
  <dcterms:modified xsi:type="dcterms:W3CDTF">2026-08-24T03:01:33Z</dcterms:modified>
  <cp:category/>
  <cp:contentStatus/>
</cp:coreProperties>
</file>