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foms1-my.sharepoint.com/personal/jacob_forest360_nz/Documents/"/>
    </mc:Choice>
  </mc:AlternateContent>
  <xr:revisionPtr revIDLastSave="0" documentId="8_{597ADCE2-F769-42A1-BADC-871EE2AF9545}" xr6:coauthVersionLast="47" xr6:coauthVersionMax="47" xr10:uidLastSave="{00000000-0000-0000-0000-000000000000}"/>
  <bookViews>
    <workbookView xWindow="-108" yWindow="-108" windowWidth="23256" windowHeight="13896" xr2:uid="{81518B21-47AA-4328-87CE-667681BC4AE6}"/>
  </bookViews>
  <sheets>
    <sheet name="Main Data" sheetId="1" r:id="rId1"/>
    <sheet name="Sheet3"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66" i="1" l="1"/>
  <c r="G66" i="1"/>
  <c r="F67" i="1"/>
  <c r="G67" i="1"/>
  <c r="F68" i="1"/>
  <c r="G68" i="1"/>
  <c r="F69" i="1"/>
  <c r="G69" i="1"/>
  <c r="F70" i="1"/>
  <c r="G70" i="1"/>
  <c r="F71" i="1"/>
  <c r="G71" i="1"/>
  <c r="I71" i="1"/>
  <c r="F72" i="1"/>
  <c r="G72" i="1"/>
  <c r="I72" i="1"/>
  <c r="F73" i="1"/>
  <c r="G73" i="1"/>
  <c r="I73"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AA3" i="3" a="1"/>
  <c r="AA4" i="3" a="1"/>
  <c r="AA5" i="3" a="1"/>
  <c r="AA6" i="3" a="1"/>
  <c r="AA7" i="3" a="1"/>
  <c r="AA8" i="3" a="1"/>
  <c r="AA9" i="3" a="1"/>
  <c r="AA10" i="3" a="1"/>
  <c r="AA11" i="3" a="1"/>
  <c r="AA12" i="3" a="1"/>
  <c r="AA13" i="3" a="1"/>
  <c r="AA14" i="3" a="1"/>
  <c r="AA15" i="3" a="1"/>
  <c r="AA16" i="3" a="1"/>
  <c r="AA17" i="3" a="1"/>
  <c r="AA18" i="3" a="1"/>
  <c r="AA19" i="3" a="1"/>
  <c r="AA20" i="3" a="1"/>
  <c r="AA21" i="3" a="1"/>
  <c r="AA22" i="3" a="1"/>
  <c r="AA23" i="3" a="1"/>
  <c r="AA24" i="3" a="1"/>
  <c r="AA25" i="3" a="1"/>
  <c r="AA26" i="3" a="1"/>
  <c r="AA27" i="3" a="1"/>
  <c r="AA28" i="3" a="1"/>
  <c r="AA29" i="3" a="1"/>
  <c r="AA30" i="3" a="1"/>
  <c r="AA31" i="3" a="1"/>
  <c r="AA32" i="3" a="1"/>
  <c r="AA33" i="3" a="1"/>
  <c r="AA34" i="3" a="1"/>
  <c r="AA35" i="3" a="1"/>
  <c r="AA36" i="3" a="1"/>
  <c r="AA37" i="3" a="1"/>
  <c r="AA38" i="3" a="1"/>
  <c r="AA39" i="3" a="1"/>
  <c r="AA40" i="3" a="1"/>
  <c r="AA41" i="3" a="1"/>
  <c r="AA42" i="3" a="1"/>
  <c r="AA43" i="3" a="1"/>
  <c r="AA44" i="3" a="1"/>
  <c r="AA45" i="3" a="1"/>
  <c r="AA46" i="3" a="1"/>
  <c r="AA47" i="3" a="1"/>
  <c r="AA48" i="3" a="1"/>
  <c r="AA2" i="3" a="1"/>
  <c r="G144" i="1"/>
  <c r="G145" i="1"/>
  <c r="G146" i="1"/>
  <c r="G147" i="1"/>
  <c r="G148" i="1"/>
  <c r="G149" i="1"/>
  <c r="G150" i="1"/>
  <c r="G151" i="1"/>
  <c r="G152" i="1"/>
  <c r="G153" i="1"/>
  <c r="G154" i="1"/>
  <c r="G155" i="1"/>
  <c r="G156" i="1"/>
  <c r="G157"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G43" i="1"/>
  <c r="G44" i="1"/>
  <c r="G45" i="1"/>
  <c r="G46" i="1"/>
  <c r="G47" i="1"/>
  <c r="G48" i="1"/>
  <c r="G49" i="1"/>
  <c r="G50" i="1"/>
  <c r="G51" i="1"/>
  <c r="G52" i="1"/>
  <c r="G53" i="1"/>
  <c r="G54" i="1"/>
  <c r="G55" i="1"/>
  <c r="G56" i="1"/>
  <c r="G57" i="1"/>
  <c r="G58" i="1"/>
  <c r="G59" i="1"/>
  <c r="G60" i="1"/>
  <c r="G61" i="1"/>
  <c r="G62" i="1"/>
  <c r="G63" i="1"/>
  <c r="G64" i="1"/>
  <c r="G65"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C128" i="1"/>
  <c r="C98" i="1"/>
  <c r="C100" i="1"/>
  <c r="C101" i="1"/>
  <c r="C105" i="1"/>
  <c r="C107" i="1"/>
  <c r="C109" i="1"/>
  <c r="C112" i="1"/>
  <c r="C122" i="1"/>
  <c r="C124" i="1"/>
  <c r="C126" i="1"/>
  <c r="C127" i="1"/>
  <c r="C130" i="1"/>
  <c r="C133" i="1"/>
  <c r="C135" i="1"/>
  <c r="C136" i="1"/>
  <c r="C138" i="1"/>
  <c r="C143" i="1"/>
  <c r="C96" i="1"/>
  <c r="C83" i="1"/>
  <c r="C84" i="1"/>
  <c r="C85" i="1"/>
  <c r="C86" i="1"/>
  <c r="C87" i="1"/>
  <c r="C88" i="1"/>
  <c r="C8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74" i="1"/>
  <c r="F75" i="1"/>
  <c r="I74" i="1"/>
  <c r="I75" i="1"/>
  <c r="I76" i="1"/>
  <c r="I77" i="1"/>
  <c r="I78" i="1"/>
  <c r="I79" i="1"/>
  <c r="I80" i="1"/>
  <c r="C45" i="1"/>
  <c r="C46" i="1"/>
  <c r="C47" i="1"/>
  <c r="C48" i="1"/>
  <c r="C49" i="1"/>
  <c r="C44" i="1"/>
  <c r="G2" i="1" l="1"/>
  <c r="G20" i="1"/>
  <c r="G3" i="1"/>
  <c r="G21" i="1"/>
  <c r="G4" i="1"/>
  <c r="G22" i="1"/>
  <c r="G5" i="1"/>
  <c r="G23" i="1"/>
  <c r="G6" i="1"/>
  <c r="G24" i="1"/>
  <c r="G7" i="1"/>
  <c r="G25" i="1"/>
  <c r="G8" i="1"/>
  <c r="G26" i="1"/>
  <c r="G9" i="1"/>
  <c r="G27" i="1"/>
  <c r="G10" i="1"/>
  <c r="G28" i="1"/>
  <c r="G11" i="1"/>
  <c r="G29" i="1"/>
  <c r="G12" i="1"/>
  <c r="G30" i="1"/>
  <c r="G13" i="1"/>
  <c r="G31" i="1"/>
  <c r="G14" i="1"/>
  <c r="G32" i="1"/>
  <c r="G15" i="1"/>
  <c r="G33" i="1"/>
  <c r="G16" i="1"/>
  <c r="G34" i="1"/>
  <c r="G17" i="1"/>
  <c r="G35" i="1"/>
  <c r="G18" i="1"/>
  <c r="G36" i="1"/>
  <c r="G37" i="1"/>
  <c r="G38" i="1"/>
  <c r="G39" i="1"/>
  <c r="G40" i="1"/>
  <c r="G41" i="1"/>
  <c r="G42" i="1"/>
  <c r="G1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<sst xmlns="http://schemas.openxmlformats.org/spreadsheetml/2006/main" count="884" uniqueCount="245">
  <si>
    <t>Forest</t>
  </si>
  <si>
    <t>Plot Number</t>
  </si>
  <si>
    <t>Existing</t>
  </si>
  <si>
    <t>New</t>
  </si>
  <si>
    <t>Tree Count</t>
  </si>
  <si>
    <t>Blanking Stocking</t>
  </si>
  <si>
    <t>Total Stocking</t>
  </si>
  <si>
    <t>Rework</t>
  </si>
  <si>
    <t>Comments</t>
  </si>
  <si>
    <t>Eastern Block</t>
  </si>
  <si>
    <t>No</t>
  </si>
  <si>
    <t>Reworked this mornings work for open holes. 5 existing trees 34 new</t>
  </si>
  <si>
    <t>28 existing trees 8 new</t>
  </si>
  <si>
    <t>11.85_x000D_
37 trees_x000D_
A few trees in area are in a poor location (in long grass mounds, needed to be moved or screefed better</t>
  </si>
  <si>
    <t>31 existing trees. 7 new. Moved due to scrub</t>
  </si>
  <si>
    <t>11.34_x000D_
35 trees</t>
  </si>
  <si>
    <t>Yes</t>
  </si>
  <si>
    <t xml:space="preserve">No rework. Immediate feedback. Deductions and reworks to follow if no improvement. </t>
  </si>
  <si>
    <t xml:space="preserve">Sph better. Contractor shown where sph is high. If not improvement deductions </t>
  </si>
  <si>
    <t xml:space="preserve">Plot moved off track. A little high again. Better. Quality is good. The sph is high due to the original planting. Some close planting around track. The actual blanking is good spacing. </t>
  </si>
  <si>
    <t>24 deg_x000D_
35 new_x000D_
11 existing</t>
  </si>
  <si>
    <t>15 deg_x000D_
27 new_x000D_
9 existing</t>
  </si>
  <si>
    <t>26deg_x000D_
10 new_x000D_
38 existing.</t>
  </si>
  <si>
    <t>22 deg_x000D_
30 new _x000D_
7 old</t>
  </si>
  <si>
    <t>10 deg_x000D_
32 new_x000D_
8 existing_x000D_
_x000D_
2 not vertical</t>
  </si>
  <si>
    <t>11.85_x000D_
23 new_x000D_
14 existing</t>
  </si>
  <si>
    <t>12deg_x000D_
30 new _x000D_
Odd spacing. Hard to follow rows</t>
  </si>
  <si>
    <t>0deg _x000D_
40new</t>
  </si>
  <si>
    <t>18 deg_x000D_
28 new_x000D_
2 old _x000D_
_x000D_
1 placement issue. _x000D_
_x000D_
Wide spacing in areas</t>
  </si>
  <si>
    <t>Front Farm</t>
  </si>
  <si>
    <t xml:space="preserve">28 deg_x000D_
5 new_x000D_
36 existing_x000D_
</t>
  </si>
  <si>
    <t>11.6_x000D_
19 new_x000D_
19 old</t>
  </si>
  <si>
    <t>26 deg_x000D_
21 new _x000D_
18 old_x000D_
_x000D_
1 dropped</t>
  </si>
  <si>
    <t>28 deg_x000D_
No new trees_x000D_
8 existing_x000D_
_x000D_
Re work area</t>
  </si>
  <si>
    <t>11.72_x000D_
_x000D_
34 new_x000D_
7 old</t>
  </si>
  <si>
    <t>32 deg_x000D_
4 new _x000D_
38 existing</t>
  </si>
  <si>
    <t>28 deg_x000D_
9 new _x000D_
35 old_x000D_
_x000D_
_x000D_
1 not vertica</t>
  </si>
  <si>
    <t xml:space="preserve">18 deg_x000D_
15 new _x000D_
21 existing_x000D_
</t>
  </si>
  <si>
    <t>Zero_x000D_
30 new_x000D_
4 old</t>
  </si>
  <si>
    <t>25 deg _x000D_
15 new_x000D_
7 existing._x000D_
_x000D_
Rework understocked</t>
  </si>
  <si>
    <t xml:space="preserve">11.85 _x000D_
17 new_x000D_
18 existing_x000D_
</t>
  </si>
  <si>
    <t>25 deg_x000D_
23 new_x000D_
13 existing</t>
  </si>
  <si>
    <t>26deg_x000D_
23 new_x000D_
20 old_x000D_
_x000D_
_x000D_
Good screefing</t>
  </si>
  <si>
    <t>30 nt 4 et total 34</t>
  </si>
  <si>
    <t>Nt 25 et 15 total 40</t>
  </si>
  <si>
    <t>P4 24 et 16 nt 40 total</t>
  </si>
  <si>
    <t>P5 41 Total 33 New 8existing</t>
  </si>
  <si>
    <t>P6 32 existing 6 new 38 total</t>
  </si>
  <si>
    <t>11.29_x000D_
38 trees_x000D_
2 orginial trees_x000D_
Few trees with a heel indent at base of tree, corrected crew on this and had holes remedied</t>
  </si>
  <si>
    <t>11.41_x000D_
41 trees_x000D_
2 orginial trees</t>
  </si>
  <si>
    <t>11.76_x000D_
40 trees_x000D_
1 open hole</t>
  </si>
  <si>
    <t>11.33_x000D_
37 trees_x000D_
2 orginial</t>
  </si>
  <si>
    <t>Shallow planting, pods exposed</t>
  </si>
  <si>
    <t>Soldiers Road</t>
  </si>
  <si>
    <t>23 are blanked trees, crew have followed orginial rows, need to skip odd 1 as they are too close causing high stocking, have told crew to skip rows if they are too close</t>
  </si>
  <si>
    <t>35 blanked</t>
  </si>
  <si>
    <t>34 blanked</t>
  </si>
  <si>
    <t>20 blanked, area appears to have been blanked already with old trees scattered amongst older trees</t>
  </si>
  <si>
    <t>13 blanked, area has already been blanked in the past, some old trees planted next to older trees</t>
  </si>
  <si>
    <t>28 blanked</t>
  </si>
  <si>
    <t>37 blanked</t>
  </si>
  <si>
    <t>43 total 13 new 30existing</t>
  </si>
  <si>
    <t>38 total 23existing 15 new</t>
  </si>
  <si>
    <t>42 total 20 existing 22 new</t>
  </si>
  <si>
    <t>38 total 11 existing 27 new. Open holes 5 in plot rework required</t>
  </si>
  <si>
    <t>41 total 6 existing 35 new</t>
  </si>
  <si>
    <t>36 total 12 existing 24 new</t>
  </si>
  <si>
    <t>35 total 15 existing 20new</t>
  </si>
  <si>
    <t>11.37m 45 blanked 2 existing. Perhaps 1 marginal slit. Bit tight on stocking - deduction. Could have blanked further up. Mark needs area removed...</t>
  </si>
  <si>
    <t>11.85m 21 blamked 18 existing Quality fine. There was a random plot completed lower on hill. It was overstocked - original rows were close and planters kept to rows thus overstocking. They were given immediate feedback. Sph further up high is better</t>
  </si>
  <si>
    <t>11.28m 19 blanked 22 existing. 41 - 1025 sph. Area is bigger trees. 2 trees counted in existing which likely will not survive. 1 toppled and 1 completely ring barked Likely survival in time 975 sph</t>
  </si>
  <si>
    <t>28 deg, 12.01m 9 blanked  35 existing Sph below fence good. Sph above fence worse. Blanking mainly above fence. Below fence has been swept but not many trees put in since sph generally good.</t>
  </si>
  <si>
    <t>11.85 34 existing 15 blanked Couple trees planted near toppled trees Generally trees blanked in gaps.</t>
  </si>
  <si>
    <t>18 deg, 11.57m 32 existing 10 blanked Plot would be lower sph but its had blanking before?? Trees planted on trees. Alot of close spacing from original lines. Blanked trees are in gaps.</t>
  </si>
  <si>
    <t>11.28m 36 blanked 3 existing 1 of which is in very poor shape - likely to survive. Quality good. Some marginal rockets</t>
  </si>
  <si>
    <t>28 deg, 12.01m 23 existing 15 blanked 4 slits.Holes not closed properly and 1 tree planted beside tree which will come away (badly pest damaged but alive) So 1 tree wasted. Rework. Sweep area and make sure holes closed…</t>
  </si>
  <si>
    <t>12.13m 17 b 17 e Tricky area. Some blanked trees close to existing trees. Area is light. No issue with blanking but some poor placements. 1 marginal slit - quality.</t>
  </si>
  <si>
    <t>12.07m 33 blanked 5 already there Trees wasted around this area Actual plot is fine but certainly some tree wastage with blanked trees too close to existing crop - deduction required.</t>
  </si>
  <si>
    <t>12.71 42 trees 1050 32 blanked moved out of gut and into area plot can fit</t>
  </si>
  <si>
    <t>12.71 38 trees 950 10 blanked moved plot over into area that plot can fit in as it landed in a gully</t>
  </si>
  <si>
    <t>12.12 42 ytrees 1050 29 blanked both the originals and blanked trees are close at times</t>
  </si>
  <si>
    <t>12.0 46 1125 21 blanked both original and blanked trees to close. Moved plot away from scrub so could fit plot in</t>
  </si>
  <si>
    <t>Longreach</t>
  </si>
  <si>
    <t>36 deg, 12.55m 19 new 24 existing. Paint ran out during plot but rows super easy to follow so no issues with counts. Quality good, really good work.</t>
  </si>
  <si>
    <t>17 blsnked</t>
  </si>
  <si>
    <t>27 blanked</t>
  </si>
  <si>
    <t>42 blanked, had trees pulled for overstocking, some rows far too close, crew need to skip odd original row if it is too close, half of plot was very good, bottom half of plot far too close</t>
  </si>
  <si>
    <t>23 blanked</t>
  </si>
  <si>
    <t>22 blanked</t>
  </si>
  <si>
    <t>16 blanked, no paint, plot not marked</t>
  </si>
  <si>
    <t>42 19 existing trees 23 new 2 roots up</t>
  </si>
  <si>
    <t>43 9new 34 existing 1 x roots up</t>
  </si>
  <si>
    <t>38 18 existing 20 new</t>
  </si>
  <si>
    <t>44 16 existing 28 new</t>
  </si>
  <si>
    <t>34 11 existing 23 new roots up</t>
  </si>
  <si>
    <t>36 11 new 25 old 1 roots up</t>
  </si>
  <si>
    <t>37 11 new 26 old good quality</t>
  </si>
  <si>
    <t>Whangamomona</t>
  </si>
  <si>
    <t>26 blanked</t>
  </si>
  <si>
    <t>REWORK!</t>
  </si>
  <si>
    <t xml:space="preserve">24 blanked </t>
  </si>
  <si>
    <t xml:space="preserve">10 blanked, few trees almost dead which could be planted next to, area is well stocked so no need to sweep and remedy even if these trees die </t>
  </si>
  <si>
    <t>Overstocked, had crew pull trees, rows planted on top of other rows causing high stocking through area</t>
  </si>
  <si>
    <t>Stocking was 1000 but had 2 trees pulled as they were planted next to another tree amongst rushes, have told crew to watch and improve their spacing</t>
  </si>
  <si>
    <t>33 blanked, 4 open holes,  big rework, crew to sweep face</t>
  </si>
  <si>
    <t xml:space="preserve">2moved plot up into planted area as crew are sweeping face down5 blanked, entire face to be reworked </t>
  </si>
  <si>
    <t>After area reworked 40 trees in plot, couple rows very close causing a higher stocking</t>
  </si>
  <si>
    <t>16 blanked, some of blanked trees not necessary, stocking is mainly high due to orginial planting being very close</t>
  </si>
  <si>
    <t>34 blanked, a couple orginial trees between rows that are 98% dead, not counted in tally</t>
  </si>
  <si>
    <t>Thick in rushes making it hard to see the next rows.</t>
  </si>
  <si>
    <t>2 rows planted close together due to playing a track causing the higher stocking</t>
  </si>
  <si>
    <t>3 existing trees 31 new</t>
  </si>
  <si>
    <t xml:space="preserve">15 existing trees 25 new </t>
  </si>
  <si>
    <t>17 blanked, trees scattered everywhere,  looks to have been blanked before already with some orginial trees right next to other trees,  blanking is good however crew need to skip odd row as orginial spacing is too close</t>
  </si>
  <si>
    <t>Stocking was 975 but had 3 trees pulled out by a planter who has just swept through, half line too close</t>
  </si>
  <si>
    <t>28 blanked. A few close trees had a planter sweep area and pull out</t>
  </si>
  <si>
    <t>Crew have just started area, they gave received a growling and had trees pulled, need to be better with their spacing on orginial rows</t>
  </si>
  <si>
    <t>34 blanked, had a planter pull a few trees out that were to close through area</t>
  </si>
  <si>
    <t>Few trees pulled, half line planted on top of another line</t>
  </si>
  <si>
    <t>Entire area to be reworked,  after last plot also having issues area needs to be swept for issues found</t>
  </si>
  <si>
    <t>40 blanked, big rework, called crew over who are not far above me, crew to sweep entire days work and remedy all issues</t>
  </si>
  <si>
    <t>10 existing trees 26 new</t>
  </si>
  <si>
    <t>7 existing trees 33 new</t>
  </si>
  <si>
    <t xml:space="preserve">High number of suriving plantings, steep papa faces. Shifted plot due to adverse terrain </t>
  </si>
  <si>
    <t>Plot was around 40% original planting. Shifted plot over due to high amount of scrub in plot location.</t>
  </si>
  <si>
    <t>60% of plot original planting.</t>
  </si>
  <si>
    <t>Minimal blanking occurred due to alive trees.</t>
  </si>
  <si>
    <t>Rework given to crew</t>
  </si>
  <si>
    <t>Moved plot away from bluff and native, 22 blanked, orginial spacing too close caysing high stocking,  blanking is well spaced, 1 tree pulled which was a little close to a small orginial tree</t>
  </si>
  <si>
    <t>11.95 m 33 trees, all new trees. Very good quality Well done.</t>
  </si>
  <si>
    <t>34 deg, 12.39m 28 new 16 existing Quality mint. Existing trees tiny. So pest browsed. A couple trees planted close to existing trees. Often hard to see them.</t>
  </si>
  <si>
    <t>33 deg, 12.32m 40 new 12 existing Often the existing trees are chewed down and hard to see. Some of the spacing is too close - deduction. Quality mint.</t>
  </si>
  <si>
    <t>19 blamked 25 existing 13.19m Original rows too close. Really hard for blankers to not put too many in following lines. 1 tree planted on top of existing tree - deduction. Everything else mint.</t>
  </si>
  <si>
    <t>Puau</t>
  </si>
  <si>
    <t xml:space="preserve">2 top rows in plot too close, have corrected the 2 planters as they swept through not too long ago, plot is lucky to not be overstocked </t>
  </si>
  <si>
    <t>18 blanked</t>
  </si>
  <si>
    <t>19 blanked</t>
  </si>
  <si>
    <t>Rows too close, hard to see trees in long grass appears crew have planted a couple lines near others causing high stocking, rework to pull trees and remedy stoking through area</t>
  </si>
  <si>
    <t>12.25m 20 existing 23 new Quality good.</t>
  </si>
  <si>
    <t>11.57m 20 new 18 existing. Quality very good. Couple have put one more line in but good coverage otherwise. Noticed 1 planter had cut 2 very badly damaged trees and replaced with new trees in area. Warned the planter of doing this - deduction for waste</t>
  </si>
  <si>
    <t>Back Farm</t>
  </si>
  <si>
    <t>Steep face; original lines slightly too close, and blanking has followed gaps/lines.</t>
  </si>
  <si>
    <t>Minimal blanking required in this area.</t>
  </si>
  <si>
    <t>Good growth rate and survival in previous planting.</t>
  </si>
  <si>
    <t>Quality.</t>
  </si>
  <si>
    <t>30 blanked</t>
  </si>
  <si>
    <t>33 blanked</t>
  </si>
  <si>
    <t xml:space="preserve">13 blanked </t>
  </si>
  <si>
    <t xml:space="preserve">23 blanked </t>
  </si>
  <si>
    <t>25 blanked, was 26 but had 2 pulled for being too close to orginial trees</t>
  </si>
  <si>
    <t>17 trees blanked. 27 trees established within plot. Pods are planted well.</t>
  </si>
  <si>
    <t>Rework was completed for over stocking. Contour lines caught extra trees in middle rows.</t>
  </si>
  <si>
    <t>Loose tree fixed and isolated. 23 blanked 25 established.  Initial spacing looks close</t>
  </si>
  <si>
    <t>Good planting. A lot of pig rooting in the area.</t>
  </si>
  <si>
    <t>23 blanked, had a planter in area come and fill some wide spacing in area</t>
  </si>
  <si>
    <t>28 blanked, a couple rows where between trees are pushing a bit close, right behind planters will correct otherwise rework if continues</t>
  </si>
  <si>
    <t>Lost plot data, from memory blanked trees was early 30s with 4 orginial trees</t>
  </si>
  <si>
    <t>Plot moved down from the old slip area. Planted above the plot in slips. Existing trees are in poor health. Goats spotted at the top of the face.</t>
  </si>
  <si>
    <t>35 blanked trees</t>
  </si>
  <si>
    <t xml:space="preserve">High amount of exisiting trees. </t>
  </si>
  <si>
    <t>10 exisiting trees, remaining blanked. Plot shifted due to bluff in middle of marked plot location.</t>
  </si>
  <si>
    <t>To pull out some close trees through area, 6 orginial trees in area</t>
  </si>
  <si>
    <t>19 blanked, moved plot slightly so fit in an area where plot was not obstructed by tree or creek</t>
  </si>
  <si>
    <t>18 blanked, plot is not quite finished, another 4-7 trees still to go in, moved plot out of a gut</t>
  </si>
  <si>
    <t>19 deg, 11.6m 44 trees Quality good. 2 non vertical trees 26 existing t 1 tree planted between blanking and an existing tree. Otherwise tree locations good.</t>
  </si>
  <si>
    <t>12.01m 39 trees 9 existing. Good planting quality. Grass needs spraying asap. No Issues</t>
  </si>
  <si>
    <t>16 deg, 11.51m. 54 trees quality good. Reason for high stocking is alot of existing crop is overstocked with close trees but there are gaps where planters have filled. 41 existing. Hard to blank due to existing tree clusters</t>
  </si>
  <si>
    <t>Plot moved away from the steep slip area, which was planted. Very steep area, and the original planting lines were close.</t>
  </si>
  <si>
    <t>Track buffer on the lower side of the plot. Could have fitted 2–3 trees while maintaining the track buffer. Lots of blanking around the track area.</t>
  </si>
  <si>
    <t>11.28m 22 existing 3 blanked Much of plot lost to bog. Large trees. Blanked trees scattered through gaps. In wider area alot of variation. Sometimes areas are well stocked with existing trees. Often gaps.</t>
  </si>
  <si>
    <t>Shifted down from the fence line. Good blanking observed between Plots 31 and 30, up the ridge and fence line.</t>
  </si>
  <si>
    <t>Two historic slips on the lower edge of the plot; unsafe and unplantable.</t>
  </si>
  <si>
    <t>21 deg, 11.68m 42 trees 33 existing Quite a number of damage trees/dying trees. Pest damage bad here Good quality. Roots very good.</t>
  </si>
  <si>
    <t>12.28m 38 trees, 1 marginal, maybe 39. 24 existing trees. Roots up. Rework.</t>
  </si>
  <si>
    <t>11.95m 37 trees Couple close planted trees. Hard to see lines. Perhaps an error. 20 existing. These areas are surprising. Looks like good coverage of trees but its patchy. Roots are pretty marginal..... rework.</t>
  </si>
  <si>
    <t>11.64m Plenty of trees blanked here. Ran out of paint and lost count. Spacing is fine. Open holes- rework</t>
  </si>
  <si>
    <t>One new seedling planted on a heavy lean. Existing crop looking okay, with browsing damage around the base of all trees and bark stripped.</t>
  </si>
  <si>
    <t>Bluff at the top side of the plot did not affect the planted area. Existing trees are much more prevalent below this plot, away from the bluff/slip material.</t>
  </si>
  <si>
    <t>Plot is just off the track. Lots of browsing damage in older trees; new trees are looking really good. Longer grass here than in the rest of the catchment.</t>
  </si>
  <si>
    <t>Good planting; lots of browsing sign on the way to the plot.</t>
  </si>
  <si>
    <t>Plot moved up from the gully slightly. Last year’s trees are heavily browsed.</t>
  </si>
  <si>
    <t>Area from Plot 42 to Plot 41 is almost a full replant. Trees from last year are in very poor condition.</t>
  </si>
  <si>
    <t>New and old slips around this area, with minimal effect on the stocked area.</t>
  </si>
  <si>
    <t>Blanking doesn't go all way to top. Maybe a 15 m gap between blanking and bluff - slightly reduce mark up. _x000D_
Plot moved down slightly into blanking. 11.81m 33 trees 6 existing trees Couple slits found - rework and sph a tad light.</t>
  </si>
  <si>
    <t>11.54m 43 trees A few slits in longer grass. Rework. Spacing is fine. A couple leaners noted. 6 existing trees.</t>
  </si>
  <si>
    <t>12.71m 31 trees existing 12 blanked Roots again...........</t>
  </si>
  <si>
    <t>26 deg, 11.9m 38 trees 13 existing 1 slit and a partial slit.  1 dropped tree. Some partial slits in wider area. Try put paint down slit and paint not getting to plug so holes are sealed.</t>
  </si>
  <si>
    <t>One new planting on boundary edge; very good growth in previous trees.</t>
  </si>
  <si>
    <t>OBJECTID *</t>
  </si>
  <si>
    <t>tYPE</t>
  </si>
  <si>
    <t>GlobalID *</t>
  </si>
  <si>
    <t>PlotNum</t>
  </si>
  <si>
    <t>TreeCount</t>
  </si>
  <si>
    <t>SPH</t>
  </si>
  <si>
    <t>BlankedSPH</t>
  </si>
  <si>
    <t>Shape *</t>
  </si>
  <si>
    <t>{80705EE2-20BD-48CA-AE4C-30601966106B}</t>
  </si>
  <si>
    <t>Point Z</t>
  </si>
  <si>
    <t>{D96CF263-2DA8-4A39-9106-28CC32517AAE}</t>
  </si>
  <si>
    <t>{7EA99D41-201C-45FC-8584-F1302AB58031}</t>
  </si>
  <si>
    <t>{23416B60-B43C-481B-8137-7D823C46FDE2}</t>
  </si>
  <si>
    <t>{08EE35B4-ACEF-4839-B0B9-DD7E1D8C2B82}</t>
  </si>
  <si>
    <t>&lt;Null&gt;</t>
  </si>
  <si>
    <t>{BFE989FF-54ED-4604-8851-7124922E15F1}</t>
  </si>
  <si>
    <t>{9A018B2D-5E75-4B25-A6B0-35BBC7520E3C}</t>
  </si>
  <si>
    <t>{A4F2FFAB-CEAB-42E0-8040-9E139F1FC166}</t>
  </si>
  <si>
    <t>{DAAFFEE5-A95B-47D9-A811-12FB1B0E26C4}</t>
  </si>
  <si>
    <t>{9AF31DAD-DE7C-4E7C-BB77-28EF5A2928E1}</t>
  </si>
  <si>
    <t>{7D4B77BC-65A8-4B79-802E-A24AA375D9FE}</t>
  </si>
  <si>
    <t>{1832EF97-F8AB-4EC2-B301-0E60AE1B56C6}</t>
  </si>
  <si>
    <t>{3A10B77E-189D-45DF-AC33-EBBE2E9B53B3}</t>
  </si>
  <si>
    <t>{390EA86C-55C4-4E83-BFB7-B24B7F280992}</t>
  </si>
  <si>
    <t>{1E395F7D-C083-4BE5-90F6-81BC38C8DF06}</t>
  </si>
  <si>
    <t>{B663BB36-12A6-4EBE-B933-2B6B81AE9683}</t>
  </si>
  <si>
    <t>{299D6594-DFD9-48C6-94D6-6B2F45F99380}</t>
  </si>
  <si>
    <t>{D696981C-3B74-4782-AF04-E3248056BE52}</t>
  </si>
  <si>
    <t>{155437BA-6037-48E3-BE80-DE628C44D0D2}</t>
  </si>
  <si>
    <t>{73C50251-1779-4713-8AD3-EC92CEF34CCD}</t>
  </si>
  <si>
    <t>{CF818A91-84C6-49CC-97FE-EFDF8E8CB900}</t>
  </si>
  <si>
    <t>{3064229E-B370-40CB-937D-9A9E1AF107AC}</t>
  </si>
  <si>
    <t>{A2F68F24-FB5C-4108-9E2A-3F2F6BDDDA18}</t>
  </si>
  <si>
    <t>{4D18200C-4E12-4AE7-BC3F-8775BA31EC06}</t>
  </si>
  <si>
    <t>{06E9FAA8-A0AA-49C7-BBF8-3427823676CA}</t>
  </si>
  <si>
    <t>{F86DCED2-235E-421D-9CAB-AD945828025C}</t>
  </si>
  <si>
    <t>{264350E6-4814-4AF7-8233-928211606F80}</t>
  </si>
  <si>
    <t>{48246630-2A56-48BD-95C2-0E2BCED186A9}</t>
  </si>
  <si>
    <t>{B5D6A1A6-AD91-41AE-8F51-5D0425F31630}</t>
  </si>
  <si>
    <t>{7DDAD743-2802-482A-8C1E-70076C548EC7}</t>
  </si>
  <si>
    <t>{4E3DD734-B45A-405F-97D3-0C712A15EA56}</t>
  </si>
  <si>
    <t>{390682B3-CDAD-447C-9837-0EC2713C2341}</t>
  </si>
  <si>
    <t>{CE019050-26E3-4F2B-89D3-2004C70F47EB}</t>
  </si>
  <si>
    <t>{70B044EF-1A0F-4B65-9A69-7E51FB334B0E}</t>
  </si>
  <si>
    <t>{F4CE4406-C761-46BB-95BF-6427687D86C2}</t>
  </si>
  <si>
    <t>{DB25A1B9-05D2-45C5-9041-169CDBAB028C}</t>
  </si>
  <si>
    <t>{B0182065-C3D5-4616-85A1-5C48264BC44C}</t>
  </si>
  <si>
    <t>{A49BC45C-D3FD-4C59-978D-4BBFF391AFF4}</t>
  </si>
  <si>
    <t>{B27D8B3D-910F-47D5-B306-6FC2C177A894}</t>
  </si>
  <si>
    <t>{6BBE1E61-9983-49AA-90A2-7CBBD7845595}</t>
  </si>
  <si>
    <t>{DFBB754C-60C2-4813-890C-464C68E5DB61}</t>
  </si>
  <si>
    <t>{C870E0B8-816F-4D36-BE3A-5403D66E21CE}</t>
  </si>
  <si>
    <t>{E851A9E5-9077-4561-8923-0D36A45D6889}</t>
  </si>
  <si>
    <t>{CB0D9052-424C-46F4-8D18-47D6407AD899}</t>
  </si>
  <si>
    <t>{21AE8D18-FD93-4240-AA45-D96D5E003D2E}</t>
  </si>
  <si>
    <t>{6EECEAF2-9C09-4A92-BE73-DB6D6B4A38A6}</t>
  </si>
  <si>
    <t>{0C7BA3A8-FB28-485C-A9A9-4658152ECFFD}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</si>
</sst>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0"/>
      <name val="Aptos Narrow"/>
      <family val="2"/>
      <scheme val="minor"/>
    </font>
    <font>
      <sz val="8"/>
      <name val="Aptos Narrow"/>
      <family val="2"/>
      <scheme val="minor"/>
    </font>
  </fonts>
  <fills count="3">
    <fill>
      <patternFill patternType="none"/>
    </fill>
    <fill>
      <patternFill patternType="gray125"/>
    </fill>
    <fill>
      <patternFill patternType="solid">
        <fgColor rgb="FFA6CE3A"/>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cellStyleXfs>
  <cellXfs count="23">
    <xf numFmtId="0" fontId="0" fillId="0" borderId="0" xfId="0"/>
    <xf numFmtId="0" fontId="0" fillId="0" borderId="0" xfId="0" applyAlignment="1">
      <alignment horizontal="center"/>
    </xf>
    <xf numFmtId="0" fontId="0" fillId="0" borderId="1" xfId="0" applyBorder="1"/>
    <xf numFmtId="0" fontId="0" fillId="0" borderId="2" xfId="0" applyBorder="1"/>
    <xf numFmtId="0" fontId="0" fillId="0" borderId="2" xfId="0"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7" xfId="0" applyBorder="1" applyAlignment="1">
      <alignment horizontal="center"/>
    </xf>
    <xf numFmtId="0" fontId="0" fillId="0" borderId="8" xfId="0" applyBorder="1"/>
    <xf numFmtId="0" fontId="0" fillId="0" borderId="5" xfId="0" applyBorder="1" applyAlignment="1">
      <alignment horizontal="left" vertical="top"/>
    </xf>
    <xf numFmtId="0" fontId="0" fillId="0" borderId="9" xfId="0" applyBorder="1"/>
    <xf numFmtId="0" fontId="1" fillId="2" borderId="1" xfId="0" applyFont="1" applyFill="1" applyBorder="1"/>
    <xf numFmtId="0" fontId="1" fillId="2" borderId="2" xfId="0" applyFont="1" applyFill="1" applyBorder="1"/>
    <xf numFmtId="0" fontId="1" fillId="2" borderId="2" xfId="0" applyFont="1" applyFill="1" applyBorder="1" applyAlignment="1">
      <alignment horizontal="center"/>
    </xf>
    <xf numFmtId="0" fontId="1" fillId="2" borderId="3" xfId="0" applyFont="1" applyFill="1" applyBorder="1"/>
    <xf numFmtId="0" fontId="0" fillId="0" borderId="5" xfId="0" applyBorder="1" applyAlignment="1">
      <alignment wrapText="1"/>
    </xf>
    <xf numFmtId="0" fontId="1" fillId="2" borderId="2" xfId="0" applyFont="1" applyFill="1" applyBorder="1" applyAlignment="1">
      <alignment horizontal="right"/>
    </xf>
    <xf numFmtId="0" fontId="0" fillId="0" borderId="2" xfId="0" applyBorder="1" applyAlignment="1">
      <alignment horizontal="right"/>
    </xf>
    <xf numFmtId="0" fontId="0" fillId="0" borderId="0" xfId="0" applyAlignment="1">
      <alignment horizontal="right"/>
    </xf>
    <xf numFmtId="0" fontId="0" fillId="0" borderId="7" xfId="0" applyBorder="1" applyAlignment="1">
      <alignment horizontal="right"/>
    </xf>
  </cellXfs>
  <cellStyles count="1">
    <cellStyle name="Normal" xfId="0" builtinId="0"/>
  </cellStyles>
  <dxfs count="12">
    <dxf>
      <alignment horizontal="general" vertical="bottom" textRotation="0" wrapText="0" indent="0" justifyLastLine="0" shrinkToFit="0" readingOrder="0"/>
    </dxf>
    <dxf>
      <alignment horizontal="center" vertical="bottom" textRotation="0" wrapText="0" indent="0" justifyLastLine="0" shrinkToFit="0" readingOrder="0"/>
    </dxf>
    <dxf>
      <alignment horizontal="general" vertical="bottom" textRotation="0" wrapText="0" indent="0" justifyLastLine="0" shrinkToFit="0" readingOrder="0"/>
    </dxf>
    <dxf>
      <numFmt numFmtId="0" formatCode="General"/>
    </dxf>
    <dxf>
      <alignment horizontal="general" vertical="bottom" textRotation="0" wrapText="0" indent="0" justifyLastLine="0" shrinkToFit="0" readingOrder="0"/>
    </dxf>
    <dxf>
      <alignment horizontal="right"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border>
        <bottom style="medium">
          <color indexed="64"/>
        </bottom>
      </border>
    </dxf>
    <dxf>
      <alignment horizontal="general"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fgColor indexed="64"/>
          <bgColor rgb="FFA6CE3A"/>
        </patternFill>
      </fill>
      <alignment horizontal="general" vertical="bottom" textRotation="0" wrapText="0" indent="0" justifyLastLine="0" shrinkToFit="0" readingOrder="0"/>
      <border diagonalUp="0" diagonalDown="0" outline="0">
        <left/>
        <right/>
        <top/>
        <bottom/>
      </border>
    </dxf>
  </dxfs>
  <tableStyles count="0" defaultTableStyle="TableStyleMedium2" defaultPivotStyle="PivotStyleLight16"/>
  <colors>
    <mruColors>
      <color rgb="FFA6CE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914453-13B5-45C1-A784-88421CE45D58}" name="Table1" displayName="Table1" ref="A1:I204" totalsRowShown="0" headerRowDxfId="11" dataDxfId="10" headerRowBorderDxfId="9">
  <autoFilter ref="A1:I204" xr:uid="{8E914453-13B5-45C1-A784-88421CE45D5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sortState xmlns:xlrd2="http://schemas.microsoft.com/office/spreadsheetml/2017/richdata2" ref="A2:I66">
    <sortCondition ref="A1:A66"/>
  </sortState>
  <tableColumns count="9">
    <tableColumn id="1" xr3:uid="{430165F1-15E9-4C7A-A897-F8894F8D1AAE}" name="Forest" dataDxfId="8"/>
    <tableColumn id="2" xr3:uid="{ECC42275-B003-4B17-A696-0900DAD29ACD}" name="Plot Number" dataDxfId="7"/>
    <tableColumn id="3" xr3:uid="{802632AE-094C-472F-B0DF-E06D8FC538E7}" name="Existing" dataDxfId="6"/>
    <tableColumn id="4" xr3:uid="{82FA4272-4FA0-453D-8732-E779DAD82B98}" name="New" dataDxfId="5"/>
    <tableColumn id="5" xr3:uid="{3B523AB2-FBF5-4F71-832F-6ECCBCCDB43C}" name="Tree Count" dataDxfId="4"/>
    <tableColumn id="9" xr3:uid="{0EC486CD-A21B-4133-8AC0-15E308439EED}" name="Blanking Stocking" dataDxfId="3">
      <calculatedColumnFormula>Table1[[#This Row],[New]]/0.04</calculatedColumnFormula>
    </tableColumn>
    <tableColumn id="6" xr3:uid="{7C289B5B-9401-4CB7-BF17-1A453CDD8096}" name="Total Stocking" dataDxfId="2">
      <calculatedColumnFormula>E2/0.04</calculatedColumnFormula>
    </tableColumn>
    <tableColumn id="7" xr3:uid="{FAE75C8E-8576-4D46-BC13-09A5E6EDF873}" name="Rework" dataDxfId="1"/>
    <tableColumn id="8" xr3:uid="{530A68B5-0C44-4765-B346-95B9B4A807CE}" name="Comments" dataDxfId="0"/>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67FB4-A774-4EBD-839E-C8C50D3E82A0}">
  <sheetPr>
    <pageSetUpPr fitToPage="1"/>
  </sheetPr>
  <dimension ref="A1:I204"/>
  <sheetViews>
    <sheetView tabSelected="1" zoomScale="55" zoomScaleNormal="55" workbookViewId="0">
      <pane ySplit="1" topLeftCell="A156" activePane="bottomLeft" state="frozen"/>
      <selection pane="bottomLeft" activeCell="I62" sqref="I62"/>
    </sheetView>
  </sheetViews>
  <sheetFormatPr defaultRowHeight="14.45"/>
  <cols>
    <col min="1" max="1" width="15.7109375" customWidth="1"/>
    <col min="2" max="2" width="13.85546875" bestFit="1" customWidth="1"/>
    <col min="3" max="3" width="10.140625" bestFit="1" customWidth="1"/>
    <col min="4" max="4" width="7.28515625" style="21" bestFit="1" customWidth="1"/>
    <col min="5" max="5" width="12.28515625" bestFit="1" customWidth="1"/>
    <col min="6" max="6" width="16.85546875" bestFit="1" customWidth="1"/>
    <col min="7" max="7" width="12.7109375" bestFit="1" customWidth="1"/>
    <col min="8" max="8" width="12.28515625" style="1" bestFit="1" customWidth="1"/>
    <col min="9" max="9" width="238.140625" customWidth="1"/>
  </cols>
  <sheetData>
    <row r="1" spans="1:9" s="13" customFormat="1" ht="15" thickBot="1">
      <c r="A1" s="14" t="s">
        <v>0</v>
      </c>
      <c r="B1" s="15" t="s">
        <v>1</v>
      </c>
      <c r="C1" s="15" t="s">
        <v>2</v>
      </c>
      <c r="D1" s="19" t="s">
        <v>3</v>
      </c>
      <c r="E1" s="15" t="s">
        <v>4</v>
      </c>
      <c r="F1" s="15" t="s">
        <v>5</v>
      </c>
      <c r="G1" s="15" t="s">
        <v>6</v>
      </c>
      <c r="H1" s="16" t="s">
        <v>7</v>
      </c>
      <c r="I1" s="17" t="s">
        <v>8</v>
      </c>
    </row>
    <row r="2" spans="1:9">
      <c r="A2" s="2" t="s">
        <v>9</v>
      </c>
      <c r="B2" s="3">
        <v>1</v>
      </c>
      <c r="C2" s="3">
        <v>5</v>
      </c>
      <c r="D2" s="20">
        <v>34</v>
      </c>
      <c r="E2" s="3">
        <v>39</v>
      </c>
      <c r="F2" s="3">
        <f>Table1[[#This Row],[New]]/0.04</f>
        <v>850</v>
      </c>
      <c r="G2" s="3">
        <f t="shared" ref="G2:G30" si="0">E2/0.04</f>
        <v>975</v>
      </c>
      <c r="H2" s="4" t="s">
        <v>10</v>
      </c>
      <c r="I2" s="5" t="s">
        <v>11</v>
      </c>
    </row>
    <row r="3" spans="1:9">
      <c r="A3" s="6" t="s">
        <v>9</v>
      </c>
      <c r="B3">
        <v>2</v>
      </c>
      <c r="C3">
        <v>28</v>
      </c>
      <c r="D3" s="21">
        <v>8</v>
      </c>
      <c r="E3">
        <v>36</v>
      </c>
      <c r="F3">
        <f>Table1[[#This Row],[New]]/0.04</f>
        <v>200</v>
      </c>
      <c r="G3">
        <f t="shared" si="0"/>
        <v>900</v>
      </c>
      <c r="H3" s="1" t="s">
        <v>10</v>
      </c>
      <c r="I3" s="7" t="s">
        <v>12</v>
      </c>
    </row>
    <row r="4" spans="1:9">
      <c r="A4" s="6" t="s">
        <v>9</v>
      </c>
      <c r="B4">
        <v>3</v>
      </c>
      <c r="D4" s="21">
        <v>37</v>
      </c>
      <c r="E4">
        <v>37</v>
      </c>
      <c r="F4">
        <f>Table1[[#This Row],[New]]/0.04</f>
        <v>925</v>
      </c>
      <c r="G4">
        <f t="shared" si="0"/>
        <v>925</v>
      </c>
      <c r="H4" s="1" t="s">
        <v>10</v>
      </c>
      <c r="I4" s="7" t="s">
        <v>13</v>
      </c>
    </row>
    <row r="5" spans="1:9">
      <c r="A5" s="6" t="s">
        <v>9</v>
      </c>
      <c r="B5">
        <v>4</v>
      </c>
      <c r="C5">
        <v>31</v>
      </c>
      <c r="D5" s="21">
        <v>7</v>
      </c>
      <c r="E5">
        <v>38</v>
      </c>
      <c r="F5">
        <f>Table1[[#This Row],[New]]/0.04</f>
        <v>175</v>
      </c>
      <c r="G5">
        <f t="shared" si="0"/>
        <v>950</v>
      </c>
      <c r="H5" s="1" t="s">
        <v>10</v>
      </c>
      <c r="I5" s="7" t="s">
        <v>14</v>
      </c>
    </row>
    <row r="6" spans="1:9">
      <c r="A6" s="6" t="s">
        <v>9</v>
      </c>
      <c r="B6">
        <v>5</v>
      </c>
      <c r="D6" s="21">
        <v>35</v>
      </c>
      <c r="E6">
        <v>35</v>
      </c>
      <c r="F6">
        <f>Table1[[#This Row],[New]]/0.04</f>
        <v>875</v>
      </c>
      <c r="G6">
        <f t="shared" si="0"/>
        <v>875</v>
      </c>
      <c r="H6" s="1" t="s">
        <v>10</v>
      </c>
      <c r="I6" s="7" t="s">
        <v>15</v>
      </c>
    </row>
    <row r="7" spans="1:9">
      <c r="A7" s="6" t="s">
        <v>9</v>
      </c>
      <c r="B7">
        <v>6</v>
      </c>
      <c r="E7">
        <v>49</v>
      </c>
      <c r="F7">
        <f>Table1[[#This Row],[New]]/0.04</f>
        <v>0</v>
      </c>
      <c r="G7">
        <f t="shared" si="0"/>
        <v>1225</v>
      </c>
      <c r="H7" s="1" t="s">
        <v>16</v>
      </c>
      <c r="I7" s="7" t="s">
        <v>17</v>
      </c>
    </row>
    <row r="8" spans="1:9">
      <c r="A8" s="6" t="s">
        <v>9</v>
      </c>
      <c r="B8">
        <v>7</v>
      </c>
      <c r="E8">
        <v>42</v>
      </c>
      <c r="F8">
        <f>Table1[[#This Row],[New]]/0.04</f>
        <v>0</v>
      </c>
      <c r="G8">
        <f t="shared" si="0"/>
        <v>1050</v>
      </c>
      <c r="H8" s="1" t="s">
        <v>10</v>
      </c>
      <c r="I8" s="7" t="s">
        <v>18</v>
      </c>
    </row>
    <row r="9" spans="1:9">
      <c r="A9" s="6" t="s">
        <v>9</v>
      </c>
      <c r="B9">
        <v>8</v>
      </c>
      <c r="E9">
        <v>41</v>
      </c>
      <c r="F9">
        <f>Table1[[#This Row],[New]]/0.04</f>
        <v>0</v>
      </c>
      <c r="G9">
        <f t="shared" si="0"/>
        <v>1025</v>
      </c>
      <c r="H9" s="1" t="s">
        <v>10</v>
      </c>
      <c r="I9" s="7" t="s">
        <v>19</v>
      </c>
    </row>
    <row r="10" spans="1:9">
      <c r="A10" s="6" t="s">
        <v>9</v>
      </c>
      <c r="B10">
        <v>9</v>
      </c>
      <c r="C10">
        <v>11</v>
      </c>
      <c r="D10" s="21">
        <v>35</v>
      </c>
      <c r="E10">
        <v>46</v>
      </c>
      <c r="F10">
        <f>Table1[[#This Row],[New]]/0.04</f>
        <v>875</v>
      </c>
      <c r="G10">
        <f t="shared" si="0"/>
        <v>1150</v>
      </c>
      <c r="H10" s="1" t="s">
        <v>10</v>
      </c>
      <c r="I10" s="7" t="s">
        <v>20</v>
      </c>
    </row>
    <row r="11" spans="1:9">
      <c r="A11" s="6" t="s">
        <v>9</v>
      </c>
      <c r="B11">
        <v>10</v>
      </c>
      <c r="C11">
        <v>9</v>
      </c>
      <c r="D11" s="21">
        <v>27</v>
      </c>
      <c r="E11">
        <v>36</v>
      </c>
      <c r="F11">
        <f>Table1[[#This Row],[New]]/0.04</f>
        <v>675</v>
      </c>
      <c r="G11">
        <f t="shared" si="0"/>
        <v>900</v>
      </c>
      <c r="H11" s="1" t="s">
        <v>10</v>
      </c>
      <c r="I11" s="7" t="s">
        <v>21</v>
      </c>
    </row>
    <row r="12" spans="1:9">
      <c r="A12" s="6" t="s">
        <v>9</v>
      </c>
      <c r="B12">
        <v>11</v>
      </c>
      <c r="C12">
        <v>38</v>
      </c>
      <c r="D12" s="21">
        <v>10</v>
      </c>
      <c r="E12">
        <v>48</v>
      </c>
      <c r="F12">
        <f>Table1[[#This Row],[New]]/0.04</f>
        <v>250</v>
      </c>
      <c r="G12">
        <f t="shared" si="0"/>
        <v>1200</v>
      </c>
      <c r="H12" s="1" t="s">
        <v>10</v>
      </c>
      <c r="I12" s="7" t="s">
        <v>22</v>
      </c>
    </row>
    <row r="13" spans="1:9">
      <c r="A13" s="6" t="s">
        <v>9</v>
      </c>
      <c r="B13">
        <v>12</v>
      </c>
      <c r="C13">
        <v>7</v>
      </c>
      <c r="D13" s="21">
        <v>30</v>
      </c>
      <c r="E13">
        <v>37</v>
      </c>
      <c r="F13">
        <f>Table1[[#This Row],[New]]/0.04</f>
        <v>750</v>
      </c>
      <c r="G13">
        <f t="shared" si="0"/>
        <v>925</v>
      </c>
      <c r="H13" s="1" t="s">
        <v>10</v>
      </c>
      <c r="I13" s="7" t="s">
        <v>23</v>
      </c>
    </row>
    <row r="14" spans="1:9">
      <c r="A14" s="6" t="s">
        <v>9</v>
      </c>
      <c r="B14">
        <v>13</v>
      </c>
      <c r="C14">
        <v>8</v>
      </c>
      <c r="D14" s="21">
        <v>32</v>
      </c>
      <c r="E14">
        <v>40</v>
      </c>
      <c r="F14">
        <f>Table1[[#This Row],[New]]/0.04</f>
        <v>800</v>
      </c>
      <c r="G14">
        <f t="shared" si="0"/>
        <v>1000</v>
      </c>
      <c r="H14" s="1" t="s">
        <v>10</v>
      </c>
      <c r="I14" s="7" t="s">
        <v>24</v>
      </c>
    </row>
    <row r="15" spans="1:9">
      <c r="A15" s="6" t="s">
        <v>9</v>
      </c>
      <c r="B15">
        <v>14</v>
      </c>
      <c r="C15">
        <v>14</v>
      </c>
      <c r="D15" s="21">
        <v>23</v>
      </c>
      <c r="E15">
        <v>37</v>
      </c>
      <c r="F15">
        <f>Table1[[#This Row],[New]]/0.04</f>
        <v>575</v>
      </c>
      <c r="G15">
        <f t="shared" si="0"/>
        <v>925</v>
      </c>
      <c r="H15" s="1" t="s">
        <v>10</v>
      </c>
      <c r="I15" s="7" t="s">
        <v>25</v>
      </c>
    </row>
    <row r="16" spans="1:9">
      <c r="A16" s="6" t="s">
        <v>9</v>
      </c>
      <c r="B16">
        <v>15</v>
      </c>
      <c r="C16">
        <v>0</v>
      </c>
      <c r="D16" s="21">
        <v>30</v>
      </c>
      <c r="E16">
        <v>30</v>
      </c>
      <c r="F16">
        <f>Table1[[#This Row],[New]]/0.04</f>
        <v>750</v>
      </c>
      <c r="G16">
        <f t="shared" si="0"/>
        <v>750</v>
      </c>
      <c r="H16" s="1" t="s">
        <v>10</v>
      </c>
      <c r="I16" s="7" t="s">
        <v>26</v>
      </c>
    </row>
    <row r="17" spans="1:9">
      <c r="A17" s="6" t="s">
        <v>9</v>
      </c>
      <c r="B17">
        <v>16</v>
      </c>
      <c r="C17">
        <v>0</v>
      </c>
      <c r="D17" s="21">
        <v>40</v>
      </c>
      <c r="E17">
        <v>40</v>
      </c>
      <c r="F17">
        <f>Table1[[#This Row],[New]]/0.04</f>
        <v>1000</v>
      </c>
      <c r="G17">
        <f t="shared" si="0"/>
        <v>1000</v>
      </c>
      <c r="H17" s="1" t="s">
        <v>10</v>
      </c>
      <c r="I17" s="7" t="s">
        <v>27</v>
      </c>
    </row>
    <row r="18" spans="1:9" ht="15" thickBot="1">
      <c r="A18" s="8" t="s">
        <v>9</v>
      </c>
      <c r="B18" s="9">
        <v>17</v>
      </c>
      <c r="C18" s="9">
        <v>2</v>
      </c>
      <c r="D18" s="22">
        <v>28</v>
      </c>
      <c r="E18" s="9">
        <v>30</v>
      </c>
      <c r="F18" s="9">
        <f>Table1[[#This Row],[New]]/0.04</f>
        <v>700</v>
      </c>
      <c r="G18" s="9">
        <f t="shared" si="0"/>
        <v>750</v>
      </c>
      <c r="H18" s="10" t="s">
        <v>10</v>
      </c>
      <c r="I18" s="11" t="s">
        <v>28</v>
      </c>
    </row>
    <row r="19" spans="1:9">
      <c r="A19" s="2" t="s">
        <v>29</v>
      </c>
      <c r="B19" s="3">
        <v>1</v>
      </c>
      <c r="C19" s="3">
        <v>36</v>
      </c>
      <c r="D19" s="20">
        <v>5</v>
      </c>
      <c r="E19" s="3">
        <v>41</v>
      </c>
      <c r="F19" s="3">
        <f>Table1[[#This Row],[New]]/0.04</f>
        <v>125</v>
      </c>
      <c r="G19" s="3">
        <f t="shared" si="0"/>
        <v>1025</v>
      </c>
      <c r="H19" s="4" t="s">
        <v>10</v>
      </c>
      <c r="I19" s="5" t="s">
        <v>30</v>
      </c>
    </row>
    <row r="20" spans="1:9">
      <c r="A20" s="6" t="s">
        <v>29</v>
      </c>
      <c r="B20">
        <v>2</v>
      </c>
      <c r="C20">
        <v>19</v>
      </c>
      <c r="D20" s="21">
        <v>19</v>
      </c>
      <c r="E20">
        <v>38</v>
      </c>
      <c r="F20">
        <f>Table1[[#This Row],[New]]/0.04</f>
        <v>475</v>
      </c>
      <c r="G20">
        <f t="shared" si="0"/>
        <v>950</v>
      </c>
      <c r="H20" s="1" t="s">
        <v>10</v>
      </c>
      <c r="I20" s="7" t="s">
        <v>31</v>
      </c>
    </row>
    <row r="21" spans="1:9">
      <c r="A21" s="6" t="s">
        <v>29</v>
      </c>
      <c r="B21">
        <v>3</v>
      </c>
      <c r="C21">
        <v>18</v>
      </c>
      <c r="D21" s="21">
        <v>21</v>
      </c>
      <c r="E21">
        <v>39</v>
      </c>
      <c r="F21">
        <f>Table1[[#This Row],[New]]/0.04</f>
        <v>525</v>
      </c>
      <c r="G21">
        <f t="shared" si="0"/>
        <v>975</v>
      </c>
      <c r="H21" s="1" t="s">
        <v>10</v>
      </c>
      <c r="I21" s="7" t="s">
        <v>32</v>
      </c>
    </row>
    <row r="22" spans="1:9">
      <c r="A22" s="6" t="s">
        <v>29</v>
      </c>
      <c r="B22">
        <v>4</v>
      </c>
      <c r="C22">
        <v>8</v>
      </c>
      <c r="D22" s="21">
        <v>0</v>
      </c>
      <c r="E22">
        <v>8</v>
      </c>
      <c r="F22">
        <f>Table1[[#This Row],[New]]/0.04</f>
        <v>0</v>
      </c>
      <c r="G22">
        <f t="shared" si="0"/>
        <v>200</v>
      </c>
      <c r="H22" s="1" t="s">
        <v>16</v>
      </c>
      <c r="I22" s="7" t="s">
        <v>33</v>
      </c>
    </row>
    <row r="23" spans="1:9">
      <c r="A23" s="6" t="s">
        <v>29</v>
      </c>
      <c r="B23">
        <v>5</v>
      </c>
      <c r="C23">
        <v>7</v>
      </c>
      <c r="D23" s="21">
        <v>34</v>
      </c>
      <c r="E23">
        <v>41</v>
      </c>
      <c r="F23">
        <f>Table1[[#This Row],[New]]/0.04</f>
        <v>850</v>
      </c>
      <c r="G23">
        <f t="shared" si="0"/>
        <v>1025</v>
      </c>
      <c r="H23" s="1" t="s">
        <v>10</v>
      </c>
      <c r="I23" s="7" t="s">
        <v>34</v>
      </c>
    </row>
    <row r="24" spans="1:9">
      <c r="A24" s="6" t="s">
        <v>29</v>
      </c>
      <c r="B24">
        <v>6</v>
      </c>
      <c r="C24">
        <v>38</v>
      </c>
      <c r="D24" s="21">
        <v>4</v>
      </c>
      <c r="E24">
        <v>42</v>
      </c>
      <c r="F24">
        <f>Table1[[#This Row],[New]]/0.04</f>
        <v>100</v>
      </c>
      <c r="G24">
        <f t="shared" si="0"/>
        <v>1050</v>
      </c>
      <c r="H24" s="1" t="s">
        <v>10</v>
      </c>
      <c r="I24" s="7" t="s">
        <v>35</v>
      </c>
    </row>
    <row r="25" spans="1:9">
      <c r="A25" s="6" t="s">
        <v>29</v>
      </c>
      <c r="B25">
        <v>7</v>
      </c>
      <c r="C25">
        <v>35</v>
      </c>
      <c r="D25" s="21">
        <v>9</v>
      </c>
      <c r="E25">
        <v>44</v>
      </c>
      <c r="F25">
        <f>Table1[[#This Row],[New]]/0.04</f>
        <v>225</v>
      </c>
      <c r="G25">
        <f t="shared" si="0"/>
        <v>1100</v>
      </c>
      <c r="H25" s="1" t="s">
        <v>10</v>
      </c>
      <c r="I25" s="7" t="s">
        <v>36</v>
      </c>
    </row>
    <row r="26" spans="1:9">
      <c r="A26" s="6" t="s">
        <v>29</v>
      </c>
      <c r="B26">
        <v>8</v>
      </c>
      <c r="C26">
        <v>21</v>
      </c>
      <c r="D26" s="21">
        <v>15</v>
      </c>
      <c r="E26">
        <v>36</v>
      </c>
      <c r="F26">
        <f>Table1[[#This Row],[New]]/0.04</f>
        <v>375</v>
      </c>
      <c r="G26">
        <f t="shared" si="0"/>
        <v>900</v>
      </c>
      <c r="H26" s="1" t="s">
        <v>10</v>
      </c>
      <c r="I26" s="7" t="s">
        <v>37</v>
      </c>
    </row>
    <row r="27" spans="1:9">
      <c r="A27" s="6" t="s">
        <v>29</v>
      </c>
      <c r="B27">
        <v>9</v>
      </c>
      <c r="C27">
        <v>4</v>
      </c>
      <c r="D27" s="21">
        <v>30</v>
      </c>
      <c r="E27">
        <v>34</v>
      </c>
      <c r="F27">
        <f>Table1[[#This Row],[New]]/0.04</f>
        <v>750</v>
      </c>
      <c r="G27">
        <f t="shared" si="0"/>
        <v>850</v>
      </c>
      <c r="H27" s="1" t="s">
        <v>10</v>
      </c>
      <c r="I27" s="7" t="s">
        <v>38</v>
      </c>
    </row>
    <row r="28" spans="1:9">
      <c r="A28" s="6" t="s">
        <v>29</v>
      </c>
      <c r="B28">
        <v>10</v>
      </c>
      <c r="C28">
        <v>7</v>
      </c>
      <c r="D28" s="21">
        <v>15</v>
      </c>
      <c r="E28">
        <v>22</v>
      </c>
      <c r="F28">
        <f>Table1[[#This Row],[New]]/0.04</f>
        <v>375</v>
      </c>
      <c r="G28">
        <f t="shared" si="0"/>
        <v>550</v>
      </c>
      <c r="H28" s="1" t="s">
        <v>16</v>
      </c>
      <c r="I28" s="7" t="s">
        <v>39</v>
      </c>
    </row>
    <row r="29" spans="1:9">
      <c r="A29" s="6" t="s">
        <v>29</v>
      </c>
      <c r="B29">
        <v>11</v>
      </c>
      <c r="C29">
        <v>18</v>
      </c>
      <c r="D29" s="21">
        <v>17</v>
      </c>
      <c r="E29">
        <v>35</v>
      </c>
      <c r="F29">
        <f>Table1[[#This Row],[New]]/0.04</f>
        <v>425</v>
      </c>
      <c r="G29">
        <f t="shared" si="0"/>
        <v>875</v>
      </c>
      <c r="H29" s="1" t="s">
        <v>10</v>
      </c>
      <c r="I29" s="7" t="s">
        <v>40</v>
      </c>
    </row>
    <row r="30" spans="1:9">
      <c r="A30" s="6" t="s">
        <v>29</v>
      </c>
      <c r="B30">
        <v>12</v>
      </c>
      <c r="C30">
        <v>13</v>
      </c>
      <c r="D30" s="21">
        <v>23</v>
      </c>
      <c r="E30">
        <v>36</v>
      </c>
      <c r="F30">
        <f>Table1[[#This Row],[New]]/0.04</f>
        <v>575</v>
      </c>
      <c r="G30">
        <f t="shared" si="0"/>
        <v>900</v>
      </c>
      <c r="H30" s="1" t="s">
        <v>10</v>
      </c>
      <c r="I30" s="7" t="s">
        <v>41</v>
      </c>
    </row>
    <row r="31" spans="1:9">
      <c r="A31" s="6" t="s">
        <v>29</v>
      </c>
      <c r="B31">
        <v>13</v>
      </c>
      <c r="C31">
        <v>20</v>
      </c>
      <c r="D31" s="21">
        <v>23</v>
      </c>
      <c r="E31">
        <v>43</v>
      </c>
      <c r="F31">
        <f>Table1[[#This Row],[New]]/0.04</f>
        <v>575</v>
      </c>
      <c r="G31">
        <f t="shared" ref="G31:G98" si="1">E31/0.04</f>
        <v>1075</v>
      </c>
      <c r="H31" s="1" t="s">
        <v>10</v>
      </c>
      <c r="I31" s="7" t="s">
        <v>42</v>
      </c>
    </row>
    <row r="32" spans="1:9">
      <c r="A32" s="6" t="s">
        <v>29</v>
      </c>
      <c r="B32">
        <v>14</v>
      </c>
      <c r="C32">
        <v>4</v>
      </c>
      <c r="D32" s="21">
        <v>30</v>
      </c>
      <c r="E32">
        <v>34</v>
      </c>
      <c r="F32">
        <f>Table1[[#This Row],[New]]/0.04</f>
        <v>750</v>
      </c>
      <c r="G32">
        <f t="shared" si="1"/>
        <v>850</v>
      </c>
      <c r="H32" s="1" t="s">
        <v>10</v>
      </c>
      <c r="I32" s="7" t="s">
        <v>43</v>
      </c>
    </row>
    <row r="33" spans="1:9">
      <c r="A33" s="6" t="s">
        <v>29</v>
      </c>
      <c r="B33">
        <v>15</v>
      </c>
      <c r="C33">
        <v>15</v>
      </c>
      <c r="D33" s="21">
        <v>25</v>
      </c>
      <c r="E33">
        <v>40</v>
      </c>
      <c r="F33">
        <f>Table1[[#This Row],[New]]/0.04</f>
        <v>625</v>
      </c>
      <c r="G33">
        <f t="shared" si="1"/>
        <v>1000</v>
      </c>
      <c r="H33" s="1" t="s">
        <v>10</v>
      </c>
      <c r="I33" s="7" t="s">
        <v>44</v>
      </c>
    </row>
    <row r="34" spans="1:9">
      <c r="A34" s="6" t="s">
        <v>29</v>
      </c>
      <c r="B34">
        <v>16</v>
      </c>
      <c r="C34">
        <v>11</v>
      </c>
      <c r="D34" s="21">
        <v>26</v>
      </c>
      <c r="E34">
        <v>37</v>
      </c>
      <c r="F34">
        <f>Table1[[#This Row],[New]]/0.04</f>
        <v>650</v>
      </c>
      <c r="G34">
        <f t="shared" si="1"/>
        <v>925</v>
      </c>
      <c r="H34" s="1" t="s">
        <v>10</v>
      </c>
      <c r="I34" s="12">
        <v>11.41</v>
      </c>
    </row>
    <row r="35" spans="1:9">
      <c r="A35" s="6" t="s">
        <v>29</v>
      </c>
      <c r="B35">
        <v>17</v>
      </c>
      <c r="C35">
        <v>24</v>
      </c>
      <c r="D35" s="21">
        <v>17</v>
      </c>
      <c r="E35">
        <v>40</v>
      </c>
      <c r="F35">
        <f>Table1[[#This Row],[New]]/0.04</f>
        <v>425</v>
      </c>
      <c r="G35">
        <f t="shared" si="1"/>
        <v>1000</v>
      </c>
      <c r="H35" s="1" t="s">
        <v>10</v>
      </c>
      <c r="I35" s="7" t="s">
        <v>45</v>
      </c>
    </row>
    <row r="36" spans="1:9">
      <c r="A36" s="6" t="s">
        <v>29</v>
      </c>
      <c r="B36">
        <v>18</v>
      </c>
      <c r="C36">
        <v>8</v>
      </c>
      <c r="D36" s="21">
        <v>33</v>
      </c>
      <c r="E36">
        <v>41</v>
      </c>
      <c r="F36">
        <f>Table1[[#This Row],[New]]/0.04</f>
        <v>825</v>
      </c>
      <c r="G36">
        <f t="shared" si="1"/>
        <v>1025</v>
      </c>
      <c r="H36" s="1" t="s">
        <v>10</v>
      </c>
      <c r="I36" s="7" t="s">
        <v>46</v>
      </c>
    </row>
    <row r="37" spans="1:9">
      <c r="A37" s="6" t="s">
        <v>29</v>
      </c>
      <c r="B37">
        <v>19</v>
      </c>
      <c r="C37">
        <v>32</v>
      </c>
      <c r="D37" s="21">
        <v>6</v>
      </c>
      <c r="E37">
        <v>38</v>
      </c>
      <c r="F37">
        <f>Table1[[#This Row],[New]]/0.04</f>
        <v>150</v>
      </c>
      <c r="G37">
        <f t="shared" si="1"/>
        <v>950</v>
      </c>
      <c r="H37" s="1" t="s">
        <v>10</v>
      </c>
      <c r="I37" s="7" t="s">
        <v>47</v>
      </c>
    </row>
    <row r="38" spans="1:9">
      <c r="A38" s="6" t="s">
        <v>29</v>
      </c>
      <c r="B38">
        <v>20</v>
      </c>
      <c r="C38">
        <v>2</v>
      </c>
      <c r="D38" s="21">
        <v>36</v>
      </c>
      <c r="E38">
        <v>38</v>
      </c>
      <c r="F38">
        <f>Table1[[#This Row],[New]]/0.04</f>
        <v>900</v>
      </c>
      <c r="G38">
        <f t="shared" si="1"/>
        <v>950</v>
      </c>
      <c r="H38" s="1" t="s">
        <v>10</v>
      </c>
      <c r="I38" s="7" t="s">
        <v>48</v>
      </c>
    </row>
    <row r="39" spans="1:9">
      <c r="A39" s="6" t="s">
        <v>29</v>
      </c>
      <c r="B39">
        <v>21</v>
      </c>
      <c r="C39">
        <v>2</v>
      </c>
      <c r="D39" s="21">
        <v>41</v>
      </c>
      <c r="E39">
        <v>43</v>
      </c>
      <c r="F39">
        <f>Table1[[#This Row],[New]]/0.04</f>
        <v>1025</v>
      </c>
      <c r="G39">
        <f t="shared" si="1"/>
        <v>1075</v>
      </c>
      <c r="H39" s="1" t="s">
        <v>10</v>
      </c>
      <c r="I39" s="7" t="s">
        <v>49</v>
      </c>
    </row>
    <row r="40" spans="1:9">
      <c r="A40" s="6" t="s">
        <v>29</v>
      </c>
      <c r="B40">
        <v>22</v>
      </c>
      <c r="D40" s="21">
        <v>40</v>
      </c>
      <c r="E40">
        <v>40</v>
      </c>
      <c r="F40">
        <f>Table1[[#This Row],[New]]/0.04</f>
        <v>1000</v>
      </c>
      <c r="G40">
        <f t="shared" si="1"/>
        <v>1000</v>
      </c>
      <c r="H40" s="1" t="s">
        <v>10</v>
      </c>
      <c r="I40" s="7" t="s">
        <v>50</v>
      </c>
    </row>
    <row r="41" spans="1:9">
      <c r="A41" s="6" t="s">
        <v>29</v>
      </c>
      <c r="B41">
        <v>23</v>
      </c>
      <c r="C41">
        <v>2</v>
      </c>
      <c r="D41" s="21">
        <v>35</v>
      </c>
      <c r="E41">
        <v>37</v>
      </c>
      <c r="F41">
        <f>Table1[[#This Row],[New]]/0.04</f>
        <v>875</v>
      </c>
      <c r="G41">
        <f t="shared" si="1"/>
        <v>925</v>
      </c>
      <c r="H41" s="1" t="s">
        <v>10</v>
      </c>
      <c r="I41" s="7" t="s">
        <v>51</v>
      </c>
    </row>
    <row r="42" spans="1:9" ht="15" thickBot="1">
      <c r="A42" s="6" t="s">
        <v>29</v>
      </c>
      <c r="B42">
        <v>24</v>
      </c>
      <c r="F42">
        <f>Table1[[#This Row],[New]]/0.04</f>
        <v>0</v>
      </c>
      <c r="G42">
        <f t="shared" si="1"/>
        <v>0</v>
      </c>
      <c r="H42" s="1" t="s">
        <v>16</v>
      </c>
      <c r="I42" s="7" t="s">
        <v>52</v>
      </c>
    </row>
    <row r="43" spans="1:9">
      <c r="A43" s="2" t="s">
        <v>53</v>
      </c>
      <c r="B43" s="3">
        <v>1</v>
      </c>
      <c r="C43" s="3">
        <v>25</v>
      </c>
      <c r="D43" s="20">
        <v>23</v>
      </c>
      <c r="E43" s="3">
        <v>48</v>
      </c>
      <c r="F43" s="3">
        <f>Table1[[#This Row],[New]]/0.04</f>
        <v>575</v>
      </c>
      <c r="G43" s="3">
        <f t="shared" si="1"/>
        <v>1200</v>
      </c>
      <c r="H43" s="4" t="s">
        <v>10</v>
      </c>
      <c r="I43" s="5" t="s">
        <v>54</v>
      </c>
    </row>
    <row r="44" spans="1:9">
      <c r="A44" s="6" t="s">
        <v>53</v>
      </c>
      <c r="B44">
        <v>2</v>
      </c>
      <c r="C44">
        <f>Table1[[#This Row],[Tree Count]]-Table1[[#This Row],[New]]</f>
        <v>3</v>
      </c>
      <c r="D44" s="21">
        <v>35</v>
      </c>
      <c r="E44">
        <v>38</v>
      </c>
      <c r="F44">
        <f>Table1[[#This Row],[New]]/0.04</f>
        <v>875</v>
      </c>
      <c r="G44">
        <f t="shared" si="1"/>
        <v>950</v>
      </c>
      <c r="H44" s="1" t="s">
        <v>10</v>
      </c>
      <c r="I44" s="7" t="s">
        <v>55</v>
      </c>
    </row>
    <row r="45" spans="1:9">
      <c r="A45" s="6" t="s">
        <v>53</v>
      </c>
      <c r="B45">
        <v>3</v>
      </c>
      <c r="C45">
        <f>Table1[[#This Row],[Tree Count]]-Table1[[#This Row],[New]]</f>
        <v>4</v>
      </c>
      <c r="D45" s="21">
        <v>34</v>
      </c>
      <c r="E45">
        <v>38</v>
      </c>
      <c r="F45">
        <f>Table1[[#This Row],[New]]/0.04</f>
        <v>850</v>
      </c>
      <c r="G45">
        <f t="shared" si="1"/>
        <v>950</v>
      </c>
      <c r="H45" s="1" t="s">
        <v>10</v>
      </c>
      <c r="I45" s="7" t="s">
        <v>56</v>
      </c>
    </row>
    <row r="46" spans="1:9">
      <c r="A46" s="6" t="s">
        <v>53</v>
      </c>
      <c r="B46">
        <v>4</v>
      </c>
      <c r="C46">
        <f>Table1[[#This Row],[Tree Count]]-Table1[[#This Row],[New]]</f>
        <v>23</v>
      </c>
      <c r="D46" s="21">
        <v>20</v>
      </c>
      <c r="E46">
        <v>43</v>
      </c>
      <c r="F46">
        <f>Table1[[#This Row],[New]]/0.04</f>
        <v>500</v>
      </c>
      <c r="G46">
        <f t="shared" si="1"/>
        <v>1075</v>
      </c>
      <c r="H46" s="1" t="s">
        <v>10</v>
      </c>
      <c r="I46" s="7" t="s">
        <v>57</v>
      </c>
    </row>
    <row r="47" spans="1:9">
      <c r="A47" s="6" t="s">
        <v>53</v>
      </c>
      <c r="B47">
        <v>5</v>
      </c>
      <c r="C47">
        <f>Table1[[#This Row],[Tree Count]]-Table1[[#This Row],[New]]</f>
        <v>26</v>
      </c>
      <c r="D47" s="21">
        <v>13</v>
      </c>
      <c r="E47">
        <v>39</v>
      </c>
      <c r="F47">
        <f>Table1[[#This Row],[New]]/0.04</f>
        <v>325</v>
      </c>
      <c r="G47">
        <f t="shared" si="1"/>
        <v>975</v>
      </c>
      <c r="H47" s="1" t="s">
        <v>10</v>
      </c>
      <c r="I47" s="7" t="s">
        <v>58</v>
      </c>
    </row>
    <row r="48" spans="1:9">
      <c r="A48" s="6" t="s">
        <v>53</v>
      </c>
      <c r="B48">
        <v>6</v>
      </c>
      <c r="C48">
        <f>Table1[[#This Row],[Tree Count]]-Table1[[#This Row],[New]]</f>
        <v>2</v>
      </c>
      <c r="D48" s="21">
        <v>28</v>
      </c>
      <c r="E48">
        <v>30</v>
      </c>
      <c r="F48">
        <f>Table1[[#This Row],[New]]/0.04</f>
        <v>700</v>
      </c>
      <c r="G48">
        <f t="shared" si="1"/>
        <v>750</v>
      </c>
      <c r="H48" s="1" t="s">
        <v>10</v>
      </c>
      <c r="I48" s="7" t="s">
        <v>59</v>
      </c>
    </row>
    <row r="49" spans="1:9">
      <c r="A49" s="6" t="s">
        <v>53</v>
      </c>
      <c r="B49">
        <v>7</v>
      </c>
      <c r="C49">
        <f>Table1[[#This Row],[Tree Count]]-Table1[[#This Row],[New]]</f>
        <v>0</v>
      </c>
      <c r="D49" s="21">
        <v>37</v>
      </c>
      <c r="E49">
        <v>37</v>
      </c>
      <c r="F49">
        <f>Table1[[#This Row],[New]]/0.04</f>
        <v>925</v>
      </c>
      <c r="G49">
        <f t="shared" si="1"/>
        <v>925</v>
      </c>
      <c r="H49" s="1" t="s">
        <v>10</v>
      </c>
      <c r="I49" s="7" t="s">
        <v>60</v>
      </c>
    </row>
    <row r="50" spans="1:9">
      <c r="A50" s="6" t="s">
        <v>53</v>
      </c>
      <c r="B50">
        <v>8</v>
      </c>
      <c r="C50">
        <v>30</v>
      </c>
      <c r="D50" s="21">
        <v>13</v>
      </c>
      <c r="E50">
        <v>43</v>
      </c>
      <c r="F50">
        <f>Table1[[#This Row],[New]]/0.04</f>
        <v>325</v>
      </c>
      <c r="G50">
        <f t="shared" si="1"/>
        <v>1075</v>
      </c>
      <c r="H50" s="1" t="s">
        <v>10</v>
      </c>
      <c r="I50" s="7" t="s">
        <v>61</v>
      </c>
    </row>
    <row r="51" spans="1:9">
      <c r="A51" s="6" t="s">
        <v>53</v>
      </c>
      <c r="B51">
        <v>9</v>
      </c>
      <c r="C51">
        <v>23</v>
      </c>
      <c r="D51" s="21">
        <v>15</v>
      </c>
      <c r="E51">
        <v>38</v>
      </c>
      <c r="F51">
        <f>Table1[[#This Row],[New]]/0.04</f>
        <v>375</v>
      </c>
      <c r="G51">
        <f t="shared" si="1"/>
        <v>950</v>
      </c>
      <c r="H51" s="1" t="s">
        <v>10</v>
      </c>
      <c r="I51" s="7" t="s">
        <v>62</v>
      </c>
    </row>
    <row r="52" spans="1:9">
      <c r="A52" s="6" t="s">
        <v>53</v>
      </c>
      <c r="B52">
        <v>10</v>
      </c>
      <c r="C52">
        <v>20</v>
      </c>
      <c r="D52" s="21">
        <v>22</v>
      </c>
      <c r="E52">
        <v>42</v>
      </c>
      <c r="F52">
        <f>Table1[[#This Row],[New]]/0.04</f>
        <v>550</v>
      </c>
      <c r="G52">
        <f t="shared" si="1"/>
        <v>1050</v>
      </c>
      <c r="H52" s="1" t="s">
        <v>10</v>
      </c>
      <c r="I52" s="7" t="s">
        <v>63</v>
      </c>
    </row>
    <row r="53" spans="1:9">
      <c r="A53" s="6" t="s">
        <v>53</v>
      </c>
      <c r="B53">
        <v>11</v>
      </c>
      <c r="C53">
        <v>11</v>
      </c>
      <c r="D53" s="21">
        <v>27</v>
      </c>
      <c r="E53">
        <v>38</v>
      </c>
      <c r="F53">
        <f>Table1[[#This Row],[New]]/0.04</f>
        <v>675</v>
      </c>
      <c r="G53">
        <f t="shared" si="1"/>
        <v>950</v>
      </c>
      <c r="H53" s="1" t="s">
        <v>16</v>
      </c>
      <c r="I53" s="7" t="s">
        <v>64</v>
      </c>
    </row>
    <row r="54" spans="1:9">
      <c r="A54" s="6" t="s">
        <v>53</v>
      </c>
      <c r="B54">
        <v>12</v>
      </c>
      <c r="C54">
        <v>6</v>
      </c>
      <c r="D54" s="21">
        <v>35</v>
      </c>
      <c r="E54">
        <v>41</v>
      </c>
      <c r="F54">
        <f>Table1[[#This Row],[New]]/0.04</f>
        <v>875</v>
      </c>
      <c r="G54">
        <f t="shared" si="1"/>
        <v>1025</v>
      </c>
      <c r="H54" s="1" t="s">
        <v>10</v>
      </c>
      <c r="I54" s="7" t="s">
        <v>65</v>
      </c>
    </row>
    <row r="55" spans="1:9">
      <c r="A55" s="6" t="s">
        <v>53</v>
      </c>
      <c r="B55">
        <v>13</v>
      </c>
      <c r="C55">
        <v>12</v>
      </c>
      <c r="D55" s="21">
        <v>24</v>
      </c>
      <c r="E55">
        <v>36</v>
      </c>
      <c r="F55">
        <f>Table1[[#This Row],[New]]/0.04</f>
        <v>600</v>
      </c>
      <c r="G55">
        <f t="shared" si="1"/>
        <v>900</v>
      </c>
      <c r="H55" s="1" t="s">
        <v>10</v>
      </c>
      <c r="I55" s="7" t="s">
        <v>66</v>
      </c>
    </row>
    <row r="56" spans="1:9">
      <c r="A56" s="6" t="s">
        <v>53</v>
      </c>
      <c r="B56">
        <v>14</v>
      </c>
      <c r="C56">
        <v>15</v>
      </c>
      <c r="D56" s="21">
        <v>20</v>
      </c>
      <c r="E56">
        <v>35</v>
      </c>
      <c r="F56">
        <f>Table1[[#This Row],[New]]/0.04</f>
        <v>500</v>
      </c>
      <c r="G56">
        <f t="shared" si="1"/>
        <v>875</v>
      </c>
      <c r="H56" s="1" t="s">
        <v>10</v>
      </c>
      <c r="I56" s="7" t="s">
        <v>67</v>
      </c>
    </row>
    <row r="57" spans="1:9">
      <c r="A57" s="6" t="s">
        <v>53</v>
      </c>
      <c r="B57">
        <v>15</v>
      </c>
      <c r="C57">
        <v>2</v>
      </c>
      <c r="D57" s="21">
        <v>45</v>
      </c>
      <c r="E57">
        <v>47</v>
      </c>
      <c r="F57">
        <f>Table1[[#This Row],[New]]/0.04</f>
        <v>1125</v>
      </c>
      <c r="G57">
        <f t="shared" si="1"/>
        <v>1175</v>
      </c>
      <c r="H57" s="1" t="s">
        <v>10</v>
      </c>
      <c r="I57" s="18" t="s">
        <v>68</v>
      </c>
    </row>
    <row r="58" spans="1:9" ht="14.45" customHeight="1">
      <c r="A58" s="6" t="s">
        <v>53</v>
      </c>
      <c r="B58">
        <v>16</v>
      </c>
      <c r="C58">
        <v>18</v>
      </c>
      <c r="D58" s="21">
        <v>21</v>
      </c>
      <c r="E58">
        <v>41</v>
      </c>
      <c r="F58">
        <f>Table1[[#This Row],[New]]/0.04</f>
        <v>525</v>
      </c>
      <c r="G58">
        <f t="shared" si="1"/>
        <v>1025</v>
      </c>
      <c r="H58" s="1" t="s">
        <v>10</v>
      </c>
      <c r="I58" s="18" t="s">
        <v>69</v>
      </c>
    </row>
    <row r="59" spans="1:9">
      <c r="A59" s="6" t="s">
        <v>53</v>
      </c>
      <c r="B59">
        <v>17</v>
      </c>
      <c r="C59">
        <v>22</v>
      </c>
      <c r="D59" s="21">
        <v>18</v>
      </c>
      <c r="E59">
        <v>40</v>
      </c>
      <c r="F59">
        <f>Table1[[#This Row],[New]]/0.04</f>
        <v>450</v>
      </c>
      <c r="G59">
        <f t="shared" si="1"/>
        <v>1000</v>
      </c>
      <c r="H59" s="1" t="s">
        <v>10</v>
      </c>
      <c r="I59" s="18" t="s">
        <v>70</v>
      </c>
    </row>
    <row r="60" spans="1:9">
      <c r="A60" s="6" t="s">
        <v>53</v>
      </c>
      <c r="B60">
        <v>18</v>
      </c>
      <c r="C60">
        <v>35</v>
      </c>
      <c r="D60" s="21">
        <v>9</v>
      </c>
      <c r="E60">
        <v>44</v>
      </c>
      <c r="F60">
        <f>Table1[[#This Row],[New]]/0.04</f>
        <v>225</v>
      </c>
      <c r="G60">
        <f t="shared" si="1"/>
        <v>1100</v>
      </c>
      <c r="H60" s="1" t="s">
        <v>10</v>
      </c>
      <c r="I60" s="18" t="s">
        <v>71</v>
      </c>
    </row>
    <row r="61" spans="1:9">
      <c r="A61" s="6" t="s">
        <v>53</v>
      </c>
      <c r="B61">
        <v>19</v>
      </c>
      <c r="C61">
        <v>34</v>
      </c>
      <c r="D61" s="21">
        <v>15</v>
      </c>
      <c r="E61">
        <v>49</v>
      </c>
      <c r="F61">
        <f>Table1[[#This Row],[New]]/0.04</f>
        <v>375</v>
      </c>
      <c r="G61">
        <f t="shared" si="1"/>
        <v>1225</v>
      </c>
      <c r="H61" s="1" t="s">
        <v>10</v>
      </c>
      <c r="I61" s="18" t="s">
        <v>72</v>
      </c>
    </row>
    <row r="62" spans="1:9">
      <c r="A62" s="6" t="s">
        <v>53</v>
      </c>
      <c r="B62">
        <v>20</v>
      </c>
      <c r="C62">
        <v>32</v>
      </c>
      <c r="D62" s="21">
        <v>10</v>
      </c>
      <c r="E62">
        <v>42</v>
      </c>
      <c r="F62">
        <f>Table1[[#This Row],[New]]/0.04</f>
        <v>250</v>
      </c>
      <c r="G62">
        <f t="shared" si="1"/>
        <v>1050</v>
      </c>
      <c r="H62" s="1" t="s">
        <v>10</v>
      </c>
      <c r="I62" s="18" t="s">
        <v>73</v>
      </c>
    </row>
    <row r="63" spans="1:9">
      <c r="A63" s="6" t="s">
        <v>53</v>
      </c>
      <c r="B63">
        <v>21</v>
      </c>
      <c r="C63">
        <v>3</v>
      </c>
      <c r="D63" s="21">
        <v>36</v>
      </c>
      <c r="E63">
        <v>39</v>
      </c>
      <c r="F63">
        <f>Table1[[#This Row],[New]]/0.04</f>
        <v>900</v>
      </c>
      <c r="G63">
        <f t="shared" si="1"/>
        <v>975</v>
      </c>
      <c r="H63" s="1" t="s">
        <v>10</v>
      </c>
      <c r="I63" s="18" t="s">
        <v>74</v>
      </c>
    </row>
    <row r="64" spans="1:9" ht="14.25" customHeight="1">
      <c r="A64" s="6" t="s">
        <v>53</v>
      </c>
      <c r="B64">
        <v>22</v>
      </c>
      <c r="C64">
        <v>23</v>
      </c>
      <c r="D64" s="21">
        <v>15</v>
      </c>
      <c r="E64">
        <v>38</v>
      </c>
      <c r="F64">
        <f>Table1[[#This Row],[New]]/0.04</f>
        <v>375</v>
      </c>
      <c r="G64">
        <f t="shared" si="1"/>
        <v>950</v>
      </c>
      <c r="H64" s="1" t="s">
        <v>16</v>
      </c>
      <c r="I64" s="18" t="s">
        <v>75</v>
      </c>
    </row>
    <row r="65" spans="1:9">
      <c r="A65" s="6" t="s">
        <v>53</v>
      </c>
      <c r="B65">
        <v>23</v>
      </c>
      <c r="C65">
        <v>17</v>
      </c>
      <c r="D65" s="21">
        <v>17</v>
      </c>
      <c r="E65">
        <v>38</v>
      </c>
      <c r="F65">
        <f>Table1[[#This Row],[New]]/0.04</f>
        <v>425</v>
      </c>
      <c r="G65">
        <f t="shared" si="1"/>
        <v>950</v>
      </c>
      <c r="H65" s="1" t="s">
        <v>10</v>
      </c>
      <c r="I65" s="18" t="s">
        <v>76</v>
      </c>
    </row>
    <row r="66" spans="1:9">
      <c r="A66" s="6" t="s">
        <v>53</v>
      </c>
      <c r="B66">
        <v>24</v>
      </c>
      <c r="C66">
        <v>5</v>
      </c>
      <c r="D66" s="21">
        <v>33</v>
      </c>
      <c r="E66">
        <v>38</v>
      </c>
      <c r="F66">
        <f>Table1[[#This Row],[New]]/0.04</f>
        <v>825</v>
      </c>
      <c r="G66">
        <f t="shared" ref="G66:G70" si="2">E66/0.04</f>
        <v>950</v>
      </c>
      <c r="H66" s="1" t="s">
        <v>16</v>
      </c>
      <c r="I66" s="18" t="s">
        <v>77</v>
      </c>
    </row>
    <row r="67" spans="1:9">
      <c r="A67" s="6" t="s">
        <v>53</v>
      </c>
      <c r="B67">
        <v>25</v>
      </c>
      <c r="C67">
        <v>10</v>
      </c>
      <c r="D67">
        <v>32</v>
      </c>
      <c r="E67">
        <v>42</v>
      </c>
      <c r="F67">
        <f>Table1[[#This Row],[New]]/0.04</f>
        <v>800</v>
      </c>
      <c r="G67">
        <f t="shared" si="2"/>
        <v>1050</v>
      </c>
      <c r="H67" t="s">
        <v>10</v>
      </c>
      <c r="I67" s="7" t="s">
        <v>78</v>
      </c>
    </row>
    <row r="68" spans="1:9">
      <c r="A68" s="6" t="s">
        <v>53</v>
      </c>
      <c r="B68">
        <v>26</v>
      </c>
      <c r="C68">
        <v>28</v>
      </c>
      <c r="D68">
        <v>10</v>
      </c>
      <c r="E68">
        <v>38</v>
      </c>
      <c r="F68">
        <f>Table1[[#This Row],[New]]/0.04</f>
        <v>250</v>
      </c>
      <c r="G68">
        <f t="shared" si="2"/>
        <v>950</v>
      </c>
      <c r="H68" t="s">
        <v>10</v>
      </c>
      <c r="I68" s="7" t="s">
        <v>79</v>
      </c>
    </row>
    <row r="69" spans="1:9">
      <c r="A69" s="6" t="s">
        <v>53</v>
      </c>
      <c r="B69">
        <v>27</v>
      </c>
      <c r="C69">
        <v>13</v>
      </c>
      <c r="D69">
        <v>29</v>
      </c>
      <c r="E69">
        <v>42</v>
      </c>
      <c r="F69">
        <f>Table1[[#This Row],[New]]/0.04</f>
        <v>725</v>
      </c>
      <c r="G69">
        <f t="shared" si="2"/>
        <v>1050</v>
      </c>
      <c r="H69" t="s">
        <v>10</v>
      </c>
      <c r="I69" s="7" t="s">
        <v>80</v>
      </c>
    </row>
    <row r="70" spans="1:9" ht="15" thickBot="1">
      <c r="A70" s="8" t="s">
        <v>53</v>
      </c>
      <c r="B70" s="9">
        <v>28</v>
      </c>
      <c r="C70" s="9">
        <v>25</v>
      </c>
      <c r="D70" s="9">
        <v>21</v>
      </c>
      <c r="E70" s="9">
        <v>46</v>
      </c>
      <c r="F70" s="9">
        <f>Table1[[#This Row],[New]]/0.04</f>
        <v>525</v>
      </c>
      <c r="G70" s="9">
        <f t="shared" si="2"/>
        <v>1150</v>
      </c>
      <c r="H70" s="9" t="s">
        <v>10</v>
      </c>
      <c r="I70" s="11" t="s">
        <v>81</v>
      </c>
    </row>
    <row r="71" spans="1:9">
      <c r="A71" s="6" t="s">
        <v>82</v>
      </c>
      <c r="B71">
        <v>1</v>
      </c>
      <c r="C71">
        <v>17</v>
      </c>
      <c r="D71" s="21">
        <v>21</v>
      </c>
      <c r="E71">
        <v>38</v>
      </c>
      <c r="F71">
        <f>Table1[[#This Row],[New]]/0.04</f>
        <v>525</v>
      </c>
      <c r="G71">
        <f t="shared" si="1"/>
        <v>950</v>
      </c>
      <c r="H71" s="1" t="s">
        <v>10</v>
      </c>
      <c r="I71" s="7" t="str">
        <f>SUBSTITUTE(Sheet3!AB28, CHAR(10), " ")</f>
        <v>Plot moved away from the steep slip area, which was planted. Very steep area, and the original planting lines were close.</v>
      </c>
    </row>
    <row r="72" spans="1:9">
      <c r="A72" s="6" t="s">
        <v>82</v>
      </c>
      <c r="B72">
        <v>2</v>
      </c>
      <c r="C72">
        <v>20</v>
      </c>
      <c r="D72" s="21">
        <v>21</v>
      </c>
      <c r="E72">
        <v>41</v>
      </c>
      <c r="F72">
        <f>Table1[[#This Row],[New]]/0.04</f>
        <v>525</v>
      </c>
      <c r="G72">
        <f t="shared" si="1"/>
        <v>1025</v>
      </c>
      <c r="H72" s="1" t="s">
        <v>10</v>
      </c>
      <c r="I72" s="7" t="str">
        <f>SUBSTITUTE(Sheet3!AB29, CHAR(10), " ")</f>
        <v>Track buffer on the lower side of the plot. Could have fitted 2–3 trees while maintaining the track buffer. Lots of blanking around the track area.</v>
      </c>
    </row>
    <row r="73" spans="1:9">
      <c r="A73" s="6" t="s">
        <v>82</v>
      </c>
      <c r="B73">
        <v>3</v>
      </c>
      <c r="C73">
        <v>31</v>
      </c>
      <c r="D73" s="21">
        <v>5</v>
      </c>
      <c r="E73">
        <v>36</v>
      </c>
      <c r="F73">
        <f>Table1[[#This Row],[New]]/0.04</f>
        <v>125</v>
      </c>
      <c r="G73">
        <f t="shared" si="1"/>
        <v>900</v>
      </c>
      <c r="H73" s="1" t="s">
        <v>10</v>
      </c>
      <c r="I73" s="7" t="str">
        <f>SUBSTITUTE(Sheet3!AB30, CHAR(10), " ")</f>
        <v>11.28m 22 existing 3 blanked Much of plot lost to bog. Large trees. Blanked trees scattered through gaps. In wider area alot of variation. Sometimes areas are well stocked with existing trees. Often gaps.</v>
      </c>
    </row>
    <row r="74" spans="1:9">
      <c r="A74" s="6" t="s">
        <v>82</v>
      </c>
      <c r="B74">
        <v>4</v>
      </c>
      <c r="C74">
        <v>33</v>
      </c>
      <c r="D74" s="21">
        <v>4</v>
      </c>
      <c r="E74">
        <v>37</v>
      </c>
      <c r="F74">
        <f>Table1[[#This Row],[New]]/0.04</f>
        <v>100</v>
      </c>
      <c r="G74">
        <f t="shared" si="1"/>
        <v>925</v>
      </c>
      <c r="H74" s="1" t="s">
        <v>10</v>
      </c>
      <c r="I74" s="7" t="str">
        <f>SUBSTITUTE(Sheet3!AB31, CHAR(10), " ")</f>
        <v>Shifted down from the fence line. Good blanking observed between Plots 31 and 30, up the ridge and fence line.</v>
      </c>
    </row>
    <row r="75" spans="1:9">
      <c r="A75" s="6" t="s">
        <v>82</v>
      </c>
      <c r="B75">
        <v>5</v>
      </c>
      <c r="C75">
        <v>24</v>
      </c>
      <c r="D75" s="21">
        <v>10</v>
      </c>
      <c r="E75">
        <v>34</v>
      </c>
      <c r="F75">
        <f>Table1[[#This Row],[New]]/0.04</f>
        <v>250</v>
      </c>
      <c r="G75">
        <f t="shared" si="1"/>
        <v>850</v>
      </c>
      <c r="H75" s="1" t="s">
        <v>10</v>
      </c>
      <c r="I75" s="7" t="str">
        <f>SUBSTITUTE(Sheet3!AB32, CHAR(10), " ")</f>
        <v>Two historic slips on the lower edge of the plot; unsafe and unplantable.</v>
      </c>
    </row>
    <row r="76" spans="1:9">
      <c r="A76" s="6" t="s">
        <v>82</v>
      </c>
      <c r="B76">
        <v>6</v>
      </c>
      <c r="C76">
        <v>13</v>
      </c>
      <c r="D76" s="21">
        <v>11</v>
      </c>
      <c r="E76">
        <v>24</v>
      </c>
      <c r="F76">
        <f>Table1[[#This Row],[New]]/0.04</f>
        <v>275</v>
      </c>
      <c r="G76">
        <f t="shared" si="1"/>
        <v>600</v>
      </c>
      <c r="H76" s="1" t="s">
        <v>10</v>
      </c>
      <c r="I76" s="7" t="str">
        <f>SUBSTITUTE(Sheet3!AB33, CHAR(10), " ")</f>
        <v>21 deg, 11.68m 42 trees 33 existing Quite a number of damage trees/dying trees. Pest damage bad here Good quality. Roots very good.</v>
      </c>
    </row>
    <row r="77" spans="1:9">
      <c r="A77" s="6" t="s">
        <v>82</v>
      </c>
      <c r="B77">
        <v>7</v>
      </c>
      <c r="C77">
        <v>35</v>
      </c>
      <c r="D77" s="21">
        <v>3</v>
      </c>
      <c r="E77">
        <v>38</v>
      </c>
      <c r="F77">
        <f>Table1[[#This Row],[New]]/0.04</f>
        <v>75</v>
      </c>
      <c r="G77">
        <f t="shared" si="1"/>
        <v>950</v>
      </c>
      <c r="H77" s="1" t="s">
        <v>10</v>
      </c>
      <c r="I77" s="7" t="str">
        <f>SUBSTITUTE(Sheet3!AB34, CHAR(10), " ")</f>
        <v>12.28m 38 trees, 1 marginal, maybe 39. 24 existing trees. Roots up. Rework.</v>
      </c>
    </row>
    <row r="78" spans="1:9">
      <c r="A78" s="6" t="s">
        <v>82</v>
      </c>
      <c r="B78">
        <v>8</v>
      </c>
      <c r="C78">
        <v>10</v>
      </c>
      <c r="D78" s="21">
        <v>25</v>
      </c>
      <c r="E78">
        <v>35</v>
      </c>
      <c r="F78">
        <f>Table1[[#This Row],[New]]/0.04</f>
        <v>625</v>
      </c>
      <c r="G78">
        <f t="shared" si="1"/>
        <v>875</v>
      </c>
      <c r="H78" s="1" t="s">
        <v>10</v>
      </c>
      <c r="I78" s="7" t="str">
        <f>SUBSTITUTE(Sheet3!AB35, CHAR(10), " ")</f>
        <v>11.95m 37 trees Couple close planted trees. Hard to see lines. Perhaps an error. 20 existing. These areas are surprising. Looks like good coverage of trees but its patchy. Roots are pretty marginal..... rework.</v>
      </c>
    </row>
    <row r="79" spans="1:9">
      <c r="A79" s="6" t="s">
        <v>82</v>
      </c>
      <c r="B79">
        <v>9</v>
      </c>
      <c r="C79">
        <v>26</v>
      </c>
      <c r="D79" s="21">
        <v>14</v>
      </c>
      <c r="E79">
        <v>40</v>
      </c>
      <c r="F79">
        <f>Table1[[#This Row],[New]]/0.04</f>
        <v>350</v>
      </c>
      <c r="G79">
        <f t="shared" si="1"/>
        <v>1000</v>
      </c>
      <c r="H79" s="1" t="s">
        <v>10</v>
      </c>
      <c r="I79" s="7" t="str">
        <f>SUBSTITUTE(Sheet3!AB36, CHAR(10), " ")</f>
        <v>11.64m Plenty of trees blanked here. Ran out of paint and lost count. Spacing is fine. Open holes- rework</v>
      </c>
    </row>
    <row r="80" spans="1:9">
      <c r="A80" s="6" t="s">
        <v>82</v>
      </c>
      <c r="B80">
        <v>10</v>
      </c>
      <c r="E80">
        <v>38</v>
      </c>
      <c r="F80">
        <f>Table1[[#This Row],[New]]/0.04</f>
        <v>0</v>
      </c>
      <c r="G80">
        <f t="shared" si="1"/>
        <v>950</v>
      </c>
      <c r="H80" s="1" t="s">
        <v>10</v>
      </c>
      <c r="I80" s="7" t="str">
        <f>SUBSTITUTE(Sheet3!AB37, CHAR(10), " ")</f>
        <v>One new seedling planted on a heavy lean. Existing crop looking okay, with browsing damage around the base of all trees and bark stripped.</v>
      </c>
    </row>
    <row r="81" spans="1:9">
      <c r="A81" s="6" t="s">
        <v>82</v>
      </c>
      <c r="B81">
        <v>11</v>
      </c>
      <c r="C81">
        <v>24</v>
      </c>
      <c r="D81" s="21">
        <v>19</v>
      </c>
      <c r="E81">
        <v>43</v>
      </c>
      <c r="F81">
        <f>Table1[[#This Row],[New]]/0.04</f>
        <v>475</v>
      </c>
      <c r="G81">
        <f t="shared" si="1"/>
        <v>1075</v>
      </c>
      <c r="H81" s="1" t="s">
        <v>10</v>
      </c>
      <c r="I81" s="7" t="s">
        <v>83</v>
      </c>
    </row>
    <row r="82" spans="1:9">
      <c r="A82" s="6" t="s">
        <v>82</v>
      </c>
      <c r="B82">
        <v>12</v>
      </c>
      <c r="C82">
        <f>Table1[[#This Row],[Tree Count]]-Table1[[#This Row],[New]]</f>
        <v>19</v>
      </c>
      <c r="D82" s="21">
        <v>17</v>
      </c>
      <c r="E82">
        <v>36</v>
      </c>
      <c r="F82">
        <f>Table1[[#This Row],[New]]/0.04</f>
        <v>425</v>
      </c>
      <c r="G82">
        <f t="shared" si="1"/>
        <v>900</v>
      </c>
      <c r="H82" s="1" t="s">
        <v>10</v>
      </c>
      <c r="I82" s="7" t="s">
        <v>84</v>
      </c>
    </row>
    <row r="83" spans="1:9">
      <c r="A83" s="6" t="s">
        <v>82</v>
      </c>
      <c r="B83">
        <v>13</v>
      </c>
      <c r="C83">
        <f>Table1[[#This Row],[Tree Count]]-Table1[[#This Row],[New]]</f>
        <v>12</v>
      </c>
      <c r="D83" s="21">
        <v>27</v>
      </c>
      <c r="E83">
        <v>39</v>
      </c>
      <c r="F83">
        <f>Table1[[#This Row],[New]]/0.04</f>
        <v>675</v>
      </c>
      <c r="G83">
        <f t="shared" si="1"/>
        <v>975</v>
      </c>
      <c r="H83" s="1" t="s">
        <v>10</v>
      </c>
      <c r="I83" s="7" t="s">
        <v>85</v>
      </c>
    </row>
    <row r="84" spans="1:9">
      <c r="A84" s="6" t="s">
        <v>82</v>
      </c>
      <c r="B84">
        <v>14</v>
      </c>
      <c r="C84">
        <f>Table1[[#This Row],[Tree Count]]-Table1[[#This Row],[New]]</f>
        <v>7</v>
      </c>
      <c r="D84" s="21">
        <v>42</v>
      </c>
      <c r="E84">
        <v>49</v>
      </c>
      <c r="F84">
        <f>Table1[[#This Row],[New]]/0.04</f>
        <v>1050</v>
      </c>
      <c r="G84">
        <f t="shared" si="1"/>
        <v>1225</v>
      </c>
      <c r="H84" s="1" t="s">
        <v>16</v>
      </c>
      <c r="I84" s="7" t="s">
        <v>86</v>
      </c>
    </row>
    <row r="85" spans="1:9">
      <c r="A85" s="6" t="s">
        <v>82</v>
      </c>
      <c r="B85">
        <v>15</v>
      </c>
      <c r="C85">
        <f>Table1[[#This Row],[Tree Count]]-Table1[[#This Row],[New]]</f>
        <v>7</v>
      </c>
      <c r="D85" s="21">
        <v>37</v>
      </c>
      <c r="E85">
        <v>44</v>
      </c>
      <c r="F85">
        <f>Table1[[#This Row],[New]]/0.04</f>
        <v>925</v>
      </c>
      <c r="G85">
        <f t="shared" si="1"/>
        <v>1100</v>
      </c>
      <c r="H85" s="1" t="s">
        <v>10</v>
      </c>
      <c r="I85" s="7" t="s">
        <v>60</v>
      </c>
    </row>
    <row r="86" spans="1:9">
      <c r="A86" s="6" t="s">
        <v>82</v>
      </c>
      <c r="B86">
        <v>16</v>
      </c>
      <c r="C86">
        <f>Table1[[#This Row],[Tree Count]]-Table1[[#This Row],[New]]</f>
        <v>7</v>
      </c>
      <c r="D86" s="21">
        <v>23</v>
      </c>
      <c r="E86">
        <v>30</v>
      </c>
      <c r="F86">
        <f>Table1[[#This Row],[New]]/0.04</f>
        <v>575</v>
      </c>
      <c r="G86">
        <f t="shared" si="1"/>
        <v>750</v>
      </c>
      <c r="H86" s="1" t="s">
        <v>10</v>
      </c>
      <c r="I86" s="7" t="s">
        <v>87</v>
      </c>
    </row>
    <row r="87" spans="1:9">
      <c r="A87" s="6" t="s">
        <v>82</v>
      </c>
      <c r="B87">
        <v>17</v>
      </c>
      <c r="C87">
        <f>Table1[[#This Row],[Tree Count]]-Table1[[#This Row],[New]]</f>
        <v>18</v>
      </c>
      <c r="D87" s="21">
        <v>22</v>
      </c>
      <c r="E87">
        <v>40</v>
      </c>
      <c r="F87">
        <f>Table1[[#This Row],[New]]/0.04</f>
        <v>550</v>
      </c>
      <c r="G87">
        <f t="shared" si="1"/>
        <v>1000</v>
      </c>
      <c r="H87" s="1" t="s">
        <v>10</v>
      </c>
      <c r="I87" s="7" t="s">
        <v>88</v>
      </c>
    </row>
    <row r="88" spans="1:9">
      <c r="A88" s="6" t="s">
        <v>82</v>
      </c>
      <c r="B88">
        <v>19</v>
      </c>
      <c r="C88">
        <f>Table1[[#This Row],[Tree Count]]-Table1[[#This Row],[New]]</f>
        <v>28</v>
      </c>
      <c r="D88" s="21">
        <v>16</v>
      </c>
      <c r="E88">
        <v>44</v>
      </c>
      <c r="F88">
        <f>Table1[[#This Row],[New]]/0.04</f>
        <v>400</v>
      </c>
      <c r="G88">
        <f t="shared" si="1"/>
        <v>1100</v>
      </c>
      <c r="H88" s="1" t="s">
        <v>10</v>
      </c>
      <c r="I88" s="7" t="s">
        <v>89</v>
      </c>
    </row>
    <row r="89" spans="1:9">
      <c r="A89" s="6" t="s">
        <v>82</v>
      </c>
      <c r="B89">
        <v>20</v>
      </c>
      <c r="C89">
        <v>19</v>
      </c>
      <c r="D89" s="21">
        <v>23</v>
      </c>
      <c r="E89">
        <v>42</v>
      </c>
      <c r="F89">
        <f>Table1[[#This Row],[New]]/0.04</f>
        <v>575</v>
      </c>
      <c r="G89">
        <f t="shared" si="1"/>
        <v>1050</v>
      </c>
      <c r="H89" s="1" t="s">
        <v>10</v>
      </c>
      <c r="I89" s="7" t="s">
        <v>90</v>
      </c>
    </row>
    <row r="90" spans="1:9">
      <c r="A90" s="6" t="s">
        <v>82</v>
      </c>
      <c r="B90">
        <v>21</v>
      </c>
      <c r="C90">
        <v>34</v>
      </c>
      <c r="D90" s="21">
        <v>9</v>
      </c>
      <c r="E90">
        <v>43</v>
      </c>
      <c r="F90">
        <f>Table1[[#This Row],[New]]/0.04</f>
        <v>225</v>
      </c>
      <c r="G90">
        <f t="shared" si="1"/>
        <v>1075</v>
      </c>
      <c r="H90" s="1" t="s">
        <v>10</v>
      </c>
      <c r="I90" s="7" t="s">
        <v>91</v>
      </c>
    </row>
    <row r="91" spans="1:9">
      <c r="A91" s="6" t="s">
        <v>82</v>
      </c>
      <c r="B91">
        <v>22</v>
      </c>
      <c r="C91">
        <v>18</v>
      </c>
      <c r="D91" s="21">
        <v>20</v>
      </c>
      <c r="E91">
        <v>38</v>
      </c>
      <c r="F91">
        <f>Table1[[#This Row],[New]]/0.04</f>
        <v>500</v>
      </c>
      <c r="G91">
        <f t="shared" si="1"/>
        <v>950</v>
      </c>
      <c r="H91" s="1" t="s">
        <v>10</v>
      </c>
      <c r="I91" s="7" t="s">
        <v>92</v>
      </c>
    </row>
    <row r="92" spans="1:9">
      <c r="A92" s="6" t="s">
        <v>82</v>
      </c>
      <c r="B92">
        <v>23</v>
      </c>
      <c r="C92">
        <v>16</v>
      </c>
      <c r="D92" s="21">
        <v>28</v>
      </c>
      <c r="E92">
        <v>44</v>
      </c>
      <c r="F92">
        <f>Table1[[#This Row],[New]]/0.04</f>
        <v>700</v>
      </c>
      <c r="G92">
        <f t="shared" si="1"/>
        <v>1100</v>
      </c>
      <c r="H92" s="1" t="s">
        <v>10</v>
      </c>
      <c r="I92" s="7" t="s">
        <v>93</v>
      </c>
    </row>
    <row r="93" spans="1:9">
      <c r="A93" s="6" t="s">
        <v>82</v>
      </c>
      <c r="B93">
        <v>24</v>
      </c>
      <c r="C93">
        <v>11</v>
      </c>
      <c r="D93" s="21">
        <v>23</v>
      </c>
      <c r="E93">
        <v>34</v>
      </c>
      <c r="F93">
        <f>Table1[[#This Row],[New]]/0.04</f>
        <v>575</v>
      </c>
      <c r="G93">
        <f t="shared" si="1"/>
        <v>850</v>
      </c>
      <c r="H93" s="1" t="s">
        <v>10</v>
      </c>
      <c r="I93" s="7" t="s">
        <v>94</v>
      </c>
    </row>
    <row r="94" spans="1:9">
      <c r="A94" s="6" t="s">
        <v>82</v>
      </c>
      <c r="B94">
        <v>25</v>
      </c>
      <c r="C94">
        <v>25</v>
      </c>
      <c r="D94" s="21">
        <v>11</v>
      </c>
      <c r="E94">
        <v>36</v>
      </c>
      <c r="F94">
        <f>Table1[[#This Row],[New]]/0.04</f>
        <v>275</v>
      </c>
      <c r="G94">
        <f t="shared" si="1"/>
        <v>900</v>
      </c>
      <c r="H94" s="1" t="s">
        <v>10</v>
      </c>
      <c r="I94" s="7" t="s">
        <v>95</v>
      </c>
    </row>
    <row r="95" spans="1:9" ht="15" thickBot="1">
      <c r="A95" s="6" t="s">
        <v>82</v>
      </c>
      <c r="B95">
        <v>26</v>
      </c>
      <c r="C95">
        <v>26</v>
      </c>
      <c r="D95" s="21">
        <v>11</v>
      </c>
      <c r="E95">
        <v>37</v>
      </c>
      <c r="F95">
        <f>Table1[[#This Row],[New]]/0.04</f>
        <v>275</v>
      </c>
      <c r="G95">
        <f t="shared" si="1"/>
        <v>925</v>
      </c>
      <c r="H95" s="1" t="s">
        <v>10</v>
      </c>
      <c r="I95" s="7" t="s">
        <v>96</v>
      </c>
    </row>
    <row r="96" spans="1:9">
      <c r="A96" s="2" t="s">
        <v>97</v>
      </c>
      <c r="B96" s="3">
        <v>1</v>
      </c>
      <c r="C96" s="3">
        <f>Table1[[#This Row],[Tree Count]]-D96</f>
        <v>19</v>
      </c>
      <c r="D96" s="20">
        <v>26</v>
      </c>
      <c r="E96" s="3">
        <v>45</v>
      </c>
      <c r="F96" s="3">
        <f>Table1[[#This Row],[New]]/0.04</f>
        <v>650</v>
      </c>
      <c r="G96" s="3">
        <f t="shared" si="1"/>
        <v>1125</v>
      </c>
      <c r="H96" s="4" t="s">
        <v>10</v>
      </c>
      <c r="I96" s="5" t="s">
        <v>98</v>
      </c>
    </row>
    <row r="97" spans="1:9">
      <c r="A97" s="6" t="s">
        <v>97</v>
      </c>
      <c r="B97">
        <v>2</v>
      </c>
      <c r="E97">
        <v>45</v>
      </c>
      <c r="F97">
        <f>Table1[[#This Row],[New]]/0.04</f>
        <v>0</v>
      </c>
      <c r="G97">
        <f t="shared" si="1"/>
        <v>1125</v>
      </c>
      <c r="H97" s="1" t="s">
        <v>10</v>
      </c>
      <c r="I97" s="7" t="s">
        <v>99</v>
      </c>
    </row>
    <row r="98" spans="1:9">
      <c r="A98" s="6" t="s">
        <v>97</v>
      </c>
      <c r="B98">
        <v>3</v>
      </c>
      <c r="C98">
        <f>Table1[[#This Row],[Tree Count]]-D98</f>
        <v>14</v>
      </c>
      <c r="D98" s="21">
        <v>24</v>
      </c>
      <c r="E98">
        <v>38</v>
      </c>
      <c r="F98">
        <f>Table1[[#This Row],[New]]/0.04</f>
        <v>600</v>
      </c>
      <c r="G98">
        <f t="shared" si="1"/>
        <v>950</v>
      </c>
      <c r="H98" s="1" t="s">
        <v>10</v>
      </c>
      <c r="I98" s="7" t="s">
        <v>100</v>
      </c>
    </row>
    <row r="99" spans="1:9">
      <c r="A99" s="6" t="s">
        <v>97</v>
      </c>
      <c r="B99">
        <v>4</v>
      </c>
      <c r="E99">
        <v>35</v>
      </c>
      <c r="F99">
        <f>Table1[[#This Row],[New]]/0.04</f>
        <v>0</v>
      </c>
      <c r="G99">
        <f t="shared" ref="G99:G162" si="3">E99/0.04</f>
        <v>875</v>
      </c>
      <c r="H99" s="1" t="s">
        <v>10</v>
      </c>
      <c r="I99" s="7"/>
    </row>
    <row r="100" spans="1:9">
      <c r="A100" s="6" t="s">
        <v>97</v>
      </c>
      <c r="B100">
        <v>5</v>
      </c>
      <c r="C100">
        <f>Table1[[#This Row],[Tree Count]]-D100</f>
        <v>35</v>
      </c>
      <c r="D100" s="21">
        <v>10</v>
      </c>
      <c r="E100">
        <v>45</v>
      </c>
      <c r="F100">
        <f>Table1[[#This Row],[New]]/0.04</f>
        <v>250</v>
      </c>
      <c r="G100">
        <f t="shared" si="3"/>
        <v>1125</v>
      </c>
      <c r="H100" s="1" t="s">
        <v>10</v>
      </c>
      <c r="I100" s="7" t="s">
        <v>101</v>
      </c>
    </row>
    <row r="101" spans="1:9">
      <c r="A101" s="6" t="s">
        <v>97</v>
      </c>
      <c r="B101">
        <v>6</v>
      </c>
      <c r="C101">
        <f>Table1[[#This Row],[Tree Count]]-D101</f>
        <v>43</v>
      </c>
      <c r="E101">
        <v>43</v>
      </c>
      <c r="F101">
        <f>Table1[[#This Row],[New]]/0.04</f>
        <v>0</v>
      </c>
      <c r="G101">
        <f t="shared" si="3"/>
        <v>1075</v>
      </c>
      <c r="H101" s="1" t="s">
        <v>10</v>
      </c>
      <c r="I101" s="7" t="s">
        <v>102</v>
      </c>
    </row>
    <row r="102" spans="1:9">
      <c r="A102" s="6" t="s">
        <v>97</v>
      </c>
      <c r="B102">
        <v>7</v>
      </c>
      <c r="E102">
        <v>40</v>
      </c>
      <c r="F102">
        <f>Table1[[#This Row],[New]]/0.04</f>
        <v>0</v>
      </c>
      <c r="G102">
        <f t="shared" si="3"/>
        <v>1000</v>
      </c>
      <c r="H102" s="1" t="s">
        <v>10</v>
      </c>
      <c r="I102" s="7"/>
    </row>
    <row r="103" spans="1:9">
      <c r="A103" s="6" t="s">
        <v>97</v>
      </c>
      <c r="B103">
        <v>8</v>
      </c>
      <c r="E103">
        <v>41</v>
      </c>
      <c r="F103">
        <f>Table1[[#This Row],[New]]/0.04</f>
        <v>0</v>
      </c>
      <c r="G103">
        <f t="shared" si="3"/>
        <v>1025</v>
      </c>
      <c r="H103" s="1" t="s">
        <v>10</v>
      </c>
      <c r="I103" s="7"/>
    </row>
    <row r="104" spans="1:9">
      <c r="A104" s="6" t="s">
        <v>97</v>
      </c>
      <c r="B104">
        <v>9</v>
      </c>
      <c r="E104">
        <v>38</v>
      </c>
      <c r="F104">
        <f>Table1[[#This Row],[New]]/0.04</f>
        <v>0</v>
      </c>
      <c r="G104">
        <f t="shared" si="3"/>
        <v>950</v>
      </c>
      <c r="H104" s="1" t="s">
        <v>10</v>
      </c>
      <c r="I104" s="7" t="s">
        <v>103</v>
      </c>
    </row>
    <row r="105" spans="1:9">
      <c r="A105" s="6" t="s">
        <v>97</v>
      </c>
      <c r="B105">
        <v>10</v>
      </c>
      <c r="C105">
        <f>Table1[[#This Row],[Tree Count]]-D105</f>
        <v>2</v>
      </c>
      <c r="D105" s="21">
        <v>33</v>
      </c>
      <c r="E105">
        <v>35</v>
      </c>
      <c r="F105">
        <f>Table1[[#This Row],[New]]/0.04</f>
        <v>825</v>
      </c>
      <c r="G105">
        <f t="shared" si="3"/>
        <v>875</v>
      </c>
      <c r="H105" s="1" t="s">
        <v>10</v>
      </c>
      <c r="I105" s="7" t="s">
        <v>104</v>
      </c>
    </row>
    <row r="106" spans="1:9">
      <c r="A106" s="6" t="s">
        <v>97</v>
      </c>
      <c r="B106">
        <v>11</v>
      </c>
      <c r="C106">
        <v>33</v>
      </c>
      <c r="D106" s="21">
        <v>5</v>
      </c>
      <c r="E106">
        <v>38</v>
      </c>
      <c r="F106">
        <f>Table1[[#This Row],[New]]/0.04</f>
        <v>125</v>
      </c>
      <c r="G106">
        <f t="shared" si="3"/>
        <v>950</v>
      </c>
      <c r="H106" s="1" t="s">
        <v>10</v>
      </c>
      <c r="I106" s="7" t="s">
        <v>105</v>
      </c>
    </row>
    <row r="107" spans="1:9">
      <c r="A107" s="6" t="s">
        <v>97</v>
      </c>
      <c r="B107">
        <v>12</v>
      </c>
      <c r="C107">
        <f>Table1[[#This Row],[Tree Count]]-D107</f>
        <v>51</v>
      </c>
      <c r="E107">
        <v>51</v>
      </c>
      <c r="F107">
        <f>Table1[[#This Row],[New]]/0.04</f>
        <v>0</v>
      </c>
      <c r="G107">
        <f t="shared" si="3"/>
        <v>1275</v>
      </c>
      <c r="H107" s="1" t="s">
        <v>16</v>
      </c>
      <c r="I107" s="7" t="s">
        <v>106</v>
      </c>
    </row>
    <row r="108" spans="1:9">
      <c r="A108" s="6" t="s">
        <v>97</v>
      </c>
      <c r="B108">
        <v>13</v>
      </c>
      <c r="E108">
        <v>36</v>
      </c>
      <c r="F108">
        <f>Table1[[#This Row],[New]]/0.04</f>
        <v>0</v>
      </c>
      <c r="G108">
        <f t="shared" si="3"/>
        <v>900</v>
      </c>
      <c r="H108" s="1" t="s">
        <v>10</v>
      </c>
      <c r="I108" s="7"/>
    </row>
    <row r="109" spans="1:9">
      <c r="A109" s="6" t="s">
        <v>97</v>
      </c>
      <c r="B109">
        <v>14</v>
      </c>
      <c r="C109">
        <f>Table1[[#This Row],[Tree Count]]-D109</f>
        <v>33</v>
      </c>
      <c r="D109" s="21">
        <v>16</v>
      </c>
      <c r="E109">
        <v>49</v>
      </c>
      <c r="F109">
        <f>Table1[[#This Row],[New]]/0.04</f>
        <v>400</v>
      </c>
      <c r="G109">
        <f t="shared" si="3"/>
        <v>1225</v>
      </c>
      <c r="H109" s="1" t="s">
        <v>10</v>
      </c>
      <c r="I109" s="7" t="s">
        <v>107</v>
      </c>
    </row>
    <row r="110" spans="1:9">
      <c r="A110" s="6" t="s">
        <v>97</v>
      </c>
      <c r="B110">
        <v>15</v>
      </c>
      <c r="E110">
        <v>41</v>
      </c>
      <c r="F110">
        <f>Table1[[#This Row],[New]]/0.04</f>
        <v>0</v>
      </c>
      <c r="G110">
        <f t="shared" si="3"/>
        <v>1025</v>
      </c>
      <c r="H110" s="1" t="s">
        <v>10</v>
      </c>
      <c r="I110" s="7"/>
    </row>
    <row r="111" spans="1:9">
      <c r="A111" s="6" t="s">
        <v>97</v>
      </c>
      <c r="B111">
        <v>16</v>
      </c>
      <c r="E111">
        <v>38</v>
      </c>
      <c r="F111">
        <f>Table1[[#This Row],[New]]/0.04</f>
        <v>0</v>
      </c>
      <c r="G111">
        <f t="shared" si="3"/>
        <v>950</v>
      </c>
      <c r="H111" s="1" t="s">
        <v>10</v>
      </c>
      <c r="I111" s="7"/>
    </row>
    <row r="112" spans="1:9">
      <c r="A112" s="6" t="s">
        <v>97</v>
      </c>
      <c r="B112">
        <v>17</v>
      </c>
      <c r="C112">
        <f>Table1[[#This Row],[Tree Count]]-D112</f>
        <v>2</v>
      </c>
      <c r="D112" s="21">
        <v>34</v>
      </c>
      <c r="E112">
        <v>36</v>
      </c>
      <c r="F112">
        <f>Table1[[#This Row],[New]]/0.04</f>
        <v>850</v>
      </c>
      <c r="G112">
        <f t="shared" si="3"/>
        <v>900</v>
      </c>
      <c r="H112" s="1" t="s">
        <v>10</v>
      </c>
      <c r="I112" s="7" t="s">
        <v>108</v>
      </c>
    </row>
    <row r="113" spans="1:9">
      <c r="A113" s="6" t="s">
        <v>97</v>
      </c>
      <c r="B113">
        <v>18</v>
      </c>
      <c r="E113">
        <v>32</v>
      </c>
      <c r="F113">
        <f>Table1[[#This Row],[New]]/0.04</f>
        <v>0</v>
      </c>
      <c r="G113">
        <f t="shared" si="3"/>
        <v>800</v>
      </c>
      <c r="H113" s="1" t="s">
        <v>10</v>
      </c>
      <c r="I113" s="7"/>
    </row>
    <row r="114" spans="1:9">
      <c r="A114" s="6" t="s">
        <v>97</v>
      </c>
      <c r="B114">
        <v>19</v>
      </c>
      <c r="E114">
        <v>38</v>
      </c>
      <c r="F114">
        <f>Table1[[#This Row],[New]]/0.04</f>
        <v>0</v>
      </c>
      <c r="G114">
        <f t="shared" si="3"/>
        <v>950</v>
      </c>
      <c r="H114" s="1" t="s">
        <v>10</v>
      </c>
      <c r="I114" s="7"/>
    </row>
    <row r="115" spans="1:9">
      <c r="A115" s="6" t="s">
        <v>97</v>
      </c>
      <c r="B115">
        <v>20</v>
      </c>
      <c r="E115">
        <v>34</v>
      </c>
      <c r="F115">
        <f>Table1[[#This Row],[New]]/0.04</f>
        <v>0</v>
      </c>
      <c r="G115">
        <f t="shared" si="3"/>
        <v>850</v>
      </c>
      <c r="H115" s="1" t="s">
        <v>10</v>
      </c>
      <c r="I115" s="7"/>
    </row>
    <row r="116" spans="1:9">
      <c r="A116" s="6" t="s">
        <v>97</v>
      </c>
      <c r="B116">
        <v>21</v>
      </c>
      <c r="E116">
        <v>41</v>
      </c>
      <c r="F116">
        <f>Table1[[#This Row],[New]]/0.04</f>
        <v>0</v>
      </c>
      <c r="G116">
        <f t="shared" si="3"/>
        <v>1025</v>
      </c>
      <c r="H116" s="1" t="s">
        <v>10</v>
      </c>
      <c r="I116" s="7" t="s">
        <v>109</v>
      </c>
    </row>
    <row r="117" spans="1:9">
      <c r="A117" s="6" t="s">
        <v>97</v>
      </c>
      <c r="B117">
        <v>22</v>
      </c>
      <c r="E117">
        <v>44</v>
      </c>
      <c r="F117">
        <f>Table1[[#This Row],[New]]/0.04</f>
        <v>0</v>
      </c>
      <c r="G117">
        <f t="shared" si="3"/>
        <v>1100</v>
      </c>
      <c r="H117" s="1" t="s">
        <v>10</v>
      </c>
      <c r="I117" s="7" t="s">
        <v>110</v>
      </c>
    </row>
    <row r="118" spans="1:9">
      <c r="A118" s="6" t="s">
        <v>97</v>
      </c>
      <c r="B118">
        <v>23</v>
      </c>
      <c r="F118">
        <f>Table1[[#This Row],[New]]/0.04</f>
        <v>0</v>
      </c>
      <c r="G118">
        <f t="shared" si="3"/>
        <v>0</v>
      </c>
      <c r="H118" s="1" t="s">
        <v>10</v>
      </c>
      <c r="I118" s="7"/>
    </row>
    <row r="119" spans="1:9">
      <c r="A119" s="6" t="s">
        <v>97</v>
      </c>
      <c r="B119">
        <v>24</v>
      </c>
      <c r="E119">
        <v>38</v>
      </c>
      <c r="F119">
        <f>Table1[[#This Row],[New]]/0.04</f>
        <v>0</v>
      </c>
      <c r="G119">
        <f t="shared" si="3"/>
        <v>950</v>
      </c>
      <c r="H119" s="1" t="s">
        <v>10</v>
      </c>
      <c r="I119" s="7"/>
    </row>
    <row r="120" spans="1:9">
      <c r="A120" s="6" t="s">
        <v>97</v>
      </c>
      <c r="B120">
        <v>25</v>
      </c>
      <c r="E120">
        <v>41</v>
      </c>
      <c r="F120">
        <f>Table1[[#This Row],[New]]/0.04</f>
        <v>0</v>
      </c>
      <c r="G120">
        <f t="shared" si="3"/>
        <v>1025</v>
      </c>
      <c r="H120" s="1" t="s">
        <v>10</v>
      </c>
      <c r="I120" s="7"/>
    </row>
    <row r="121" spans="1:9">
      <c r="A121" s="6" t="s">
        <v>97</v>
      </c>
      <c r="B121">
        <v>26</v>
      </c>
      <c r="E121">
        <v>36</v>
      </c>
      <c r="F121">
        <f>Table1[[#This Row],[New]]/0.04</f>
        <v>0</v>
      </c>
      <c r="G121">
        <f t="shared" si="3"/>
        <v>900</v>
      </c>
      <c r="H121" s="1" t="s">
        <v>10</v>
      </c>
      <c r="I121" s="7"/>
    </row>
    <row r="122" spans="1:9">
      <c r="A122" s="6" t="s">
        <v>97</v>
      </c>
      <c r="B122">
        <v>27</v>
      </c>
      <c r="C122">
        <f>Table1[[#This Row],[Tree Count]]-D122</f>
        <v>3</v>
      </c>
      <c r="D122" s="21">
        <v>31</v>
      </c>
      <c r="E122">
        <v>34</v>
      </c>
      <c r="F122">
        <f>Table1[[#This Row],[New]]/0.04</f>
        <v>775</v>
      </c>
      <c r="G122">
        <f t="shared" si="3"/>
        <v>850</v>
      </c>
      <c r="H122" s="1" t="s">
        <v>10</v>
      </c>
      <c r="I122" s="7" t="s">
        <v>111</v>
      </c>
    </row>
    <row r="123" spans="1:9">
      <c r="A123" s="6" t="s">
        <v>97</v>
      </c>
      <c r="B123">
        <v>28</v>
      </c>
      <c r="E123">
        <v>39</v>
      </c>
      <c r="F123">
        <f>Table1[[#This Row],[New]]/0.04</f>
        <v>0</v>
      </c>
      <c r="G123">
        <f t="shared" si="3"/>
        <v>975</v>
      </c>
      <c r="H123" s="1" t="s">
        <v>16</v>
      </c>
      <c r="I123" s="7"/>
    </row>
    <row r="124" spans="1:9">
      <c r="A124" s="6" t="s">
        <v>97</v>
      </c>
      <c r="B124">
        <v>29</v>
      </c>
      <c r="C124">
        <f>Table1[[#This Row],[Tree Count]]-D124</f>
        <v>15</v>
      </c>
      <c r="D124" s="21">
        <v>25</v>
      </c>
      <c r="E124">
        <v>40</v>
      </c>
      <c r="F124">
        <f>Table1[[#This Row],[New]]/0.04</f>
        <v>625</v>
      </c>
      <c r="G124">
        <f t="shared" si="3"/>
        <v>1000</v>
      </c>
      <c r="H124" s="1" t="s">
        <v>10</v>
      </c>
      <c r="I124" s="7" t="s">
        <v>112</v>
      </c>
    </row>
    <row r="125" spans="1:9">
      <c r="A125" s="6" t="s">
        <v>97</v>
      </c>
      <c r="B125">
        <v>30</v>
      </c>
      <c r="E125">
        <v>40</v>
      </c>
      <c r="F125">
        <f>Table1[[#This Row],[New]]/0.04</f>
        <v>0</v>
      </c>
      <c r="G125">
        <f t="shared" si="3"/>
        <v>1000</v>
      </c>
      <c r="H125" s="1" t="s">
        <v>10</v>
      </c>
      <c r="I125" s="7"/>
    </row>
    <row r="126" spans="1:9">
      <c r="A126" s="6" t="s">
        <v>97</v>
      </c>
      <c r="B126">
        <v>31</v>
      </c>
      <c r="C126">
        <f>Table1[[#This Row],[Tree Count]]-D126</f>
        <v>30</v>
      </c>
      <c r="D126" s="21">
        <v>17</v>
      </c>
      <c r="E126">
        <v>47</v>
      </c>
      <c r="F126">
        <f>Table1[[#This Row],[New]]/0.04</f>
        <v>425</v>
      </c>
      <c r="G126">
        <f t="shared" si="3"/>
        <v>1175</v>
      </c>
      <c r="H126" s="1" t="s">
        <v>10</v>
      </c>
      <c r="I126" s="7" t="s">
        <v>113</v>
      </c>
    </row>
    <row r="127" spans="1:9">
      <c r="A127" s="6" t="s">
        <v>97</v>
      </c>
      <c r="B127">
        <v>32</v>
      </c>
      <c r="C127">
        <f>Table1[[#This Row],[Tree Count]]-D127</f>
        <v>36</v>
      </c>
      <c r="E127">
        <v>36</v>
      </c>
      <c r="F127">
        <f>Table1[[#This Row],[New]]/0.04</f>
        <v>0</v>
      </c>
      <c r="G127">
        <f t="shared" si="3"/>
        <v>900</v>
      </c>
      <c r="H127" s="1" t="s">
        <v>10</v>
      </c>
      <c r="I127" s="7" t="s">
        <v>114</v>
      </c>
    </row>
    <row r="128" spans="1:9">
      <c r="A128" s="6" t="s">
        <v>97</v>
      </c>
      <c r="B128">
        <v>33</v>
      </c>
      <c r="C128">
        <f>Table1[[#This Row],[Tree Count]]-D128</f>
        <v>13</v>
      </c>
      <c r="D128" s="21">
        <v>28</v>
      </c>
      <c r="E128">
        <v>41</v>
      </c>
      <c r="F128">
        <f>Table1[[#This Row],[New]]/0.04</f>
        <v>700</v>
      </c>
      <c r="G128">
        <f t="shared" si="3"/>
        <v>1025</v>
      </c>
      <c r="H128" s="1" t="s">
        <v>16</v>
      </c>
      <c r="I128" s="7" t="s">
        <v>115</v>
      </c>
    </row>
    <row r="129" spans="1:9">
      <c r="A129" s="6" t="s">
        <v>97</v>
      </c>
      <c r="B129">
        <v>34</v>
      </c>
      <c r="E129">
        <v>52</v>
      </c>
      <c r="F129">
        <f>Table1[[#This Row],[New]]/0.04</f>
        <v>0</v>
      </c>
      <c r="G129">
        <f t="shared" si="3"/>
        <v>1300</v>
      </c>
      <c r="H129" s="1" t="s">
        <v>16</v>
      </c>
      <c r="I129" s="7" t="s">
        <v>116</v>
      </c>
    </row>
    <row r="130" spans="1:9">
      <c r="A130" s="6" t="s">
        <v>97</v>
      </c>
      <c r="B130">
        <v>35</v>
      </c>
      <c r="C130">
        <f>Table1[[#This Row],[Tree Count]]-D130</f>
        <v>7</v>
      </c>
      <c r="D130" s="21">
        <v>34</v>
      </c>
      <c r="E130">
        <v>41</v>
      </c>
      <c r="F130">
        <f>Table1[[#This Row],[New]]/0.04</f>
        <v>850</v>
      </c>
      <c r="G130">
        <f t="shared" si="3"/>
        <v>1025</v>
      </c>
      <c r="H130" s="1" t="s">
        <v>16</v>
      </c>
      <c r="I130" s="7" t="s">
        <v>117</v>
      </c>
    </row>
    <row r="131" spans="1:9">
      <c r="A131" s="6" t="s">
        <v>97</v>
      </c>
      <c r="B131">
        <v>36</v>
      </c>
      <c r="E131">
        <v>38</v>
      </c>
      <c r="F131">
        <f>Table1[[#This Row],[New]]/0.04</f>
        <v>0</v>
      </c>
      <c r="G131">
        <f t="shared" si="3"/>
        <v>950</v>
      </c>
      <c r="H131" s="1" t="s">
        <v>10</v>
      </c>
      <c r="I131" s="7" t="s">
        <v>118</v>
      </c>
    </row>
    <row r="132" spans="1:9">
      <c r="A132" s="6" t="s">
        <v>97</v>
      </c>
      <c r="B132">
        <v>37</v>
      </c>
      <c r="E132">
        <v>40</v>
      </c>
      <c r="F132">
        <f>Table1[[#This Row],[New]]/0.04</f>
        <v>0</v>
      </c>
      <c r="G132">
        <f t="shared" si="3"/>
        <v>1000</v>
      </c>
      <c r="H132" s="1" t="s">
        <v>16</v>
      </c>
      <c r="I132" s="7" t="s">
        <v>119</v>
      </c>
    </row>
    <row r="133" spans="1:9">
      <c r="A133" s="6" t="s">
        <v>97</v>
      </c>
      <c r="B133">
        <v>38</v>
      </c>
      <c r="C133">
        <f>Table1[[#This Row],[Tree Count]]-D133</f>
        <v>3</v>
      </c>
      <c r="D133" s="21">
        <v>40</v>
      </c>
      <c r="E133">
        <v>43</v>
      </c>
      <c r="F133">
        <f>Table1[[#This Row],[New]]/0.04</f>
        <v>1000</v>
      </c>
      <c r="G133">
        <f t="shared" si="3"/>
        <v>1075</v>
      </c>
      <c r="H133" s="1" t="s">
        <v>16</v>
      </c>
      <c r="I133" s="7" t="s">
        <v>120</v>
      </c>
    </row>
    <row r="134" spans="1:9">
      <c r="A134" s="6" t="s">
        <v>97</v>
      </c>
      <c r="B134">
        <v>39</v>
      </c>
      <c r="E134">
        <v>44</v>
      </c>
      <c r="F134">
        <f>Table1[[#This Row],[New]]/0.04</f>
        <v>0</v>
      </c>
      <c r="G134">
        <f t="shared" si="3"/>
        <v>1100</v>
      </c>
      <c r="H134" s="1" t="s">
        <v>10</v>
      </c>
      <c r="I134" s="7"/>
    </row>
    <row r="135" spans="1:9">
      <c r="A135" s="6" t="s">
        <v>97</v>
      </c>
      <c r="B135">
        <v>40</v>
      </c>
      <c r="C135">
        <f>Table1[[#This Row],[Tree Count]]-D135</f>
        <v>10</v>
      </c>
      <c r="D135" s="21">
        <v>26</v>
      </c>
      <c r="E135">
        <v>36</v>
      </c>
      <c r="F135">
        <f>Table1[[#This Row],[New]]/0.04</f>
        <v>650</v>
      </c>
      <c r="G135">
        <f t="shared" si="3"/>
        <v>900</v>
      </c>
      <c r="H135" s="1" t="s">
        <v>10</v>
      </c>
      <c r="I135" s="7" t="s">
        <v>121</v>
      </c>
    </row>
    <row r="136" spans="1:9">
      <c r="A136" s="6" t="s">
        <v>97</v>
      </c>
      <c r="B136">
        <v>41</v>
      </c>
      <c r="C136">
        <f>Table1[[#This Row],[Tree Count]]-D136</f>
        <v>7</v>
      </c>
      <c r="D136" s="21">
        <v>33</v>
      </c>
      <c r="E136">
        <v>40</v>
      </c>
      <c r="F136">
        <f>Table1[[#This Row],[New]]/0.04</f>
        <v>825</v>
      </c>
      <c r="G136">
        <f t="shared" si="3"/>
        <v>1000</v>
      </c>
      <c r="H136" s="1" t="s">
        <v>16</v>
      </c>
      <c r="I136" s="7" t="s">
        <v>122</v>
      </c>
    </row>
    <row r="137" spans="1:9">
      <c r="A137" s="6" t="s">
        <v>97</v>
      </c>
      <c r="B137">
        <v>42</v>
      </c>
      <c r="E137">
        <v>42</v>
      </c>
      <c r="F137">
        <f>Table1[[#This Row],[New]]/0.04</f>
        <v>0</v>
      </c>
      <c r="G137">
        <f t="shared" si="3"/>
        <v>1050</v>
      </c>
      <c r="H137" s="1" t="s">
        <v>10</v>
      </c>
      <c r="I137" s="7"/>
    </row>
    <row r="138" spans="1:9">
      <c r="A138" s="6" t="s">
        <v>97</v>
      </c>
      <c r="B138">
        <v>43</v>
      </c>
      <c r="C138">
        <f>Table1[[#This Row],[Tree Count]]-D138</f>
        <v>42</v>
      </c>
      <c r="E138">
        <v>42</v>
      </c>
      <c r="F138">
        <f>Table1[[#This Row],[New]]/0.04</f>
        <v>0</v>
      </c>
      <c r="G138">
        <f t="shared" si="3"/>
        <v>1050</v>
      </c>
      <c r="H138" s="1" t="s">
        <v>10</v>
      </c>
      <c r="I138" s="7" t="s">
        <v>123</v>
      </c>
    </row>
    <row r="139" spans="1:9">
      <c r="A139" s="6" t="s">
        <v>97</v>
      </c>
      <c r="B139">
        <v>44</v>
      </c>
      <c r="C139">
        <v>16</v>
      </c>
      <c r="D139" s="21">
        <v>24</v>
      </c>
      <c r="E139">
        <v>40</v>
      </c>
      <c r="F139">
        <f>Table1[[#This Row],[New]]/0.04</f>
        <v>600</v>
      </c>
      <c r="G139">
        <f t="shared" si="3"/>
        <v>1000</v>
      </c>
      <c r="H139" s="1" t="s">
        <v>10</v>
      </c>
      <c r="I139" s="7" t="s">
        <v>124</v>
      </c>
    </row>
    <row r="140" spans="1:9">
      <c r="A140" s="6" t="s">
        <v>97</v>
      </c>
      <c r="B140">
        <v>45</v>
      </c>
      <c r="C140">
        <v>24</v>
      </c>
      <c r="D140" s="21">
        <v>16</v>
      </c>
      <c r="E140">
        <v>40</v>
      </c>
      <c r="F140">
        <f>Table1[[#This Row],[New]]/0.04</f>
        <v>400</v>
      </c>
      <c r="G140">
        <f t="shared" si="3"/>
        <v>1000</v>
      </c>
      <c r="H140" s="1" t="s">
        <v>10</v>
      </c>
      <c r="I140" s="7" t="s">
        <v>125</v>
      </c>
    </row>
    <row r="141" spans="1:9">
      <c r="A141" s="6" t="s">
        <v>97</v>
      </c>
      <c r="B141">
        <v>46</v>
      </c>
      <c r="E141">
        <v>33</v>
      </c>
      <c r="F141">
        <f>Table1[[#This Row],[New]]/0.04</f>
        <v>0</v>
      </c>
      <c r="G141">
        <f t="shared" si="3"/>
        <v>825</v>
      </c>
      <c r="H141" s="1" t="s">
        <v>10</v>
      </c>
      <c r="I141" s="7" t="s">
        <v>126</v>
      </c>
    </row>
    <row r="142" spans="1:9">
      <c r="A142" s="6" t="s">
        <v>97</v>
      </c>
      <c r="B142">
        <v>47</v>
      </c>
      <c r="E142">
        <v>41</v>
      </c>
      <c r="F142">
        <f>Table1[[#This Row],[New]]/0.04</f>
        <v>0</v>
      </c>
      <c r="G142">
        <f t="shared" si="3"/>
        <v>1025</v>
      </c>
      <c r="H142" s="1" t="s">
        <v>10</v>
      </c>
      <c r="I142" s="7" t="s">
        <v>127</v>
      </c>
    </row>
    <row r="143" spans="1:9">
      <c r="A143" s="6" t="s">
        <v>97</v>
      </c>
      <c r="B143">
        <v>48</v>
      </c>
      <c r="C143">
        <f>Table1[[#This Row],[Tree Count]]-D143</f>
        <v>20</v>
      </c>
      <c r="D143" s="21">
        <v>22</v>
      </c>
      <c r="E143">
        <v>42</v>
      </c>
      <c r="F143">
        <f>Table1[[#This Row],[New]]/0.04</f>
        <v>550</v>
      </c>
      <c r="G143">
        <f t="shared" si="3"/>
        <v>1050</v>
      </c>
      <c r="H143" s="1" t="s">
        <v>10</v>
      </c>
      <c r="I143" s="7" t="s">
        <v>128</v>
      </c>
    </row>
    <row r="144" spans="1:9">
      <c r="A144" s="6" t="s">
        <v>97</v>
      </c>
      <c r="B144">
        <v>49</v>
      </c>
      <c r="D144">
        <v>33</v>
      </c>
      <c r="E144">
        <v>33</v>
      </c>
      <c r="F144">
        <f>Table1[[#This Row],[New]]/0.04</f>
        <v>825</v>
      </c>
      <c r="G144">
        <f t="shared" si="3"/>
        <v>825</v>
      </c>
      <c r="H144" s="1" t="s">
        <v>10</v>
      </c>
      <c r="I144" s="7" t="s">
        <v>129</v>
      </c>
    </row>
    <row r="145" spans="1:9">
      <c r="A145" s="6" t="s">
        <v>97</v>
      </c>
      <c r="B145">
        <v>50</v>
      </c>
      <c r="C145">
        <v>16</v>
      </c>
      <c r="D145">
        <v>28</v>
      </c>
      <c r="E145">
        <v>44</v>
      </c>
      <c r="F145">
        <f>Table1[[#This Row],[New]]/0.04</f>
        <v>700</v>
      </c>
      <c r="G145">
        <f t="shared" si="3"/>
        <v>1100</v>
      </c>
      <c r="H145" s="1" t="s">
        <v>10</v>
      </c>
      <c r="I145" s="7" t="s">
        <v>130</v>
      </c>
    </row>
    <row r="146" spans="1:9">
      <c r="A146" s="6" t="s">
        <v>97</v>
      </c>
      <c r="B146">
        <v>51</v>
      </c>
      <c r="C146">
        <v>12</v>
      </c>
      <c r="D146">
        <v>40</v>
      </c>
      <c r="E146">
        <v>52</v>
      </c>
      <c r="F146">
        <f>Table1[[#This Row],[New]]/0.04</f>
        <v>1000</v>
      </c>
      <c r="G146">
        <f t="shared" si="3"/>
        <v>1300</v>
      </c>
      <c r="H146" s="1" t="s">
        <v>10</v>
      </c>
      <c r="I146" s="7" t="s">
        <v>131</v>
      </c>
    </row>
    <row r="147" spans="1:9" ht="15" thickBot="1">
      <c r="A147" s="8" t="s">
        <v>97</v>
      </c>
      <c r="B147" s="9">
        <v>52</v>
      </c>
      <c r="C147" s="9">
        <v>25</v>
      </c>
      <c r="D147" s="9">
        <v>19</v>
      </c>
      <c r="E147" s="9">
        <v>44</v>
      </c>
      <c r="F147" s="9">
        <f>Table1[[#This Row],[New]]/0.04</f>
        <v>475</v>
      </c>
      <c r="G147" s="9">
        <f t="shared" si="3"/>
        <v>1100</v>
      </c>
      <c r="H147" s="10" t="s">
        <v>10</v>
      </c>
      <c r="I147" s="11" t="s">
        <v>132</v>
      </c>
    </row>
    <row r="148" spans="1:9">
      <c r="A148" s="2" t="s">
        <v>133</v>
      </c>
      <c r="B148" s="3">
        <v>1</v>
      </c>
      <c r="C148" s="3"/>
      <c r="D148" s="3"/>
      <c r="E148" s="3">
        <v>36</v>
      </c>
      <c r="F148" s="3">
        <f>Table1[[#This Row],[New]]/0.04</f>
        <v>0</v>
      </c>
      <c r="G148" s="3">
        <f t="shared" si="3"/>
        <v>900</v>
      </c>
      <c r="H148" s="4" t="s">
        <v>10</v>
      </c>
      <c r="I148" s="5"/>
    </row>
    <row r="149" spans="1:9">
      <c r="A149" s="6" t="s">
        <v>133</v>
      </c>
      <c r="B149">
        <v>2</v>
      </c>
      <c r="D149"/>
      <c r="E149">
        <v>38</v>
      </c>
      <c r="F149">
        <f>Table1[[#This Row],[New]]/0.04</f>
        <v>0</v>
      </c>
      <c r="G149">
        <f t="shared" si="3"/>
        <v>950</v>
      </c>
      <c r="H149" s="1" t="s">
        <v>10</v>
      </c>
      <c r="I149" s="7"/>
    </row>
    <row r="150" spans="1:9">
      <c r="A150" s="6" t="s">
        <v>133</v>
      </c>
      <c r="B150">
        <v>3</v>
      </c>
      <c r="D150"/>
      <c r="E150">
        <v>42</v>
      </c>
      <c r="F150">
        <f>Table1[[#This Row],[New]]/0.04</f>
        <v>0</v>
      </c>
      <c r="G150">
        <f t="shared" si="3"/>
        <v>1050</v>
      </c>
      <c r="H150" s="1" t="s">
        <v>10</v>
      </c>
      <c r="I150" s="7"/>
    </row>
    <row r="151" spans="1:9">
      <c r="A151" s="6" t="s">
        <v>133</v>
      </c>
      <c r="B151">
        <v>4</v>
      </c>
      <c r="D151"/>
      <c r="E151">
        <v>38</v>
      </c>
      <c r="F151">
        <f>Table1[[#This Row],[New]]/0.04</f>
        <v>0</v>
      </c>
      <c r="G151">
        <f t="shared" si="3"/>
        <v>950</v>
      </c>
      <c r="H151" s="1" t="s">
        <v>10</v>
      </c>
      <c r="I151" s="7" t="s">
        <v>134</v>
      </c>
    </row>
    <row r="152" spans="1:9">
      <c r="A152" s="6" t="s">
        <v>133</v>
      </c>
      <c r="B152">
        <v>5</v>
      </c>
      <c r="C152">
        <v>10</v>
      </c>
      <c r="D152">
        <v>34</v>
      </c>
      <c r="E152">
        <v>44</v>
      </c>
      <c r="F152">
        <f>Table1[[#This Row],[New]]/0.04</f>
        <v>850</v>
      </c>
      <c r="G152">
        <f t="shared" si="3"/>
        <v>1100</v>
      </c>
      <c r="H152" s="1" t="s">
        <v>10</v>
      </c>
      <c r="I152" s="7" t="s">
        <v>56</v>
      </c>
    </row>
    <row r="153" spans="1:9">
      <c r="A153" s="6" t="s">
        <v>133</v>
      </c>
      <c r="B153">
        <v>6</v>
      </c>
      <c r="C153">
        <v>21</v>
      </c>
      <c r="D153">
        <v>18</v>
      </c>
      <c r="E153">
        <v>39</v>
      </c>
      <c r="F153">
        <f>Table1[[#This Row],[New]]/0.04</f>
        <v>450</v>
      </c>
      <c r="G153">
        <f t="shared" si="3"/>
        <v>975</v>
      </c>
      <c r="H153" s="1" t="s">
        <v>10</v>
      </c>
      <c r="I153" s="7" t="s">
        <v>135</v>
      </c>
    </row>
    <row r="154" spans="1:9">
      <c r="A154" s="6" t="s">
        <v>133</v>
      </c>
      <c r="B154">
        <v>7</v>
      </c>
      <c r="C154">
        <v>26</v>
      </c>
      <c r="D154">
        <v>19</v>
      </c>
      <c r="E154">
        <v>45</v>
      </c>
      <c r="F154">
        <f>Table1[[#This Row],[New]]/0.04</f>
        <v>475</v>
      </c>
      <c r="G154">
        <f t="shared" si="3"/>
        <v>1125</v>
      </c>
      <c r="H154" s="1" t="s">
        <v>10</v>
      </c>
      <c r="I154" s="7" t="s">
        <v>136</v>
      </c>
    </row>
    <row r="155" spans="1:9">
      <c r="A155" s="6" t="s">
        <v>133</v>
      </c>
      <c r="B155">
        <v>8</v>
      </c>
      <c r="D155"/>
      <c r="E155">
        <v>51</v>
      </c>
      <c r="F155">
        <f>Table1[[#This Row],[New]]/0.04</f>
        <v>0</v>
      </c>
      <c r="G155">
        <f t="shared" si="3"/>
        <v>1275</v>
      </c>
      <c r="H155" s="1" t="s">
        <v>16</v>
      </c>
      <c r="I155" s="7" t="s">
        <v>137</v>
      </c>
    </row>
    <row r="156" spans="1:9">
      <c r="A156" s="6" t="s">
        <v>133</v>
      </c>
      <c r="B156">
        <v>9</v>
      </c>
      <c r="C156">
        <v>20</v>
      </c>
      <c r="D156">
        <v>23</v>
      </c>
      <c r="E156">
        <v>43</v>
      </c>
      <c r="F156">
        <f>Table1[[#This Row],[New]]/0.04</f>
        <v>575</v>
      </c>
      <c r="G156">
        <f t="shared" si="3"/>
        <v>1075</v>
      </c>
      <c r="H156" s="1" t="s">
        <v>10</v>
      </c>
      <c r="I156" s="7" t="s">
        <v>138</v>
      </c>
    </row>
    <row r="157" spans="1:9" ht="15" thickBot="1">
      <c r="A157" s="6" t="s">
        <v>133</v>
      </c>
      <c r="B157">
        <v>10</v>
      </c>
      <c r="C157">
        <v>18</v>
      </c>
      <c r="D157">
        <v>20</v>
      </c>
      <c r="E157">
        <v>38</v>
      </c>
      <c r="F157">
        <f>Table1[[#This Row],[New]]/0.04</f>
        <v>500</v>
      </c>
      <c r="G157">
        <f t="shared" si="3"/>
        <v>950</v>
      </c>
      <c r="H157" s="1" t="s">
        <v>10</v>
      </c>
      <c r="I157" s="7" t="s">
        <v>139</v>
      </c>
    </row>
    <row r="158" spans="1:9">
      <c r="A158" s="2" t="s">
        <v>140</v>
      </c>
      <c r="B158" s="3">
        <v>1</v>
      </c>
      <c r="C158" s="3">
        <v>37</v>
      </c>
      <c r="D158" s="20">
        <v>13</v>
      </c>
      <c r="E158" s="3">
        <v>50</v>
      </c>
      <c r="F158" s="3">
        <f>Table1[[#This Row],[New]]/0.04</f>
        <v>325</v>
      </c>
      <c r="G158" s="3">
        <f t="shared" si="3"/>
        <v>1250</v>
      </c>
      <c r="H158" s="4" t="s">
        <v>10</v>
      </c>
      <c r="I158" s="5" t="s">
        <v>141</v>
      </c>
    </row>
    <row r="159" spans="1:9">
      <c r="A159" s="6" t="s">
        <v>140</v>
      </c>
      <c r="B159">
        <v>2</v>
      </c>
      <c r="C159">
        <v>43</v>
      </c>
      <c r="D159" s="21">
        <v>0</v>
      </c>
      <c r="E159">
        <v>43</v>
      </c>
      <c r="F159">
        <f>Table1[[#This Row],[New]]/0.04</f>
        <v>0</v>
      </c>
      <c r="G159">
        <f t="shared" si="3"/>
        <v>1075</v>
      </c>
      <c r="H159" s="1" t="s">
        <v>10</v>
      </c>
      <c r="I159" s="7" t="s">
        <v>142</v>
      </c>
    </row>
    <row r="160" spans="1:9">
      <c r="A160" s="6" t="s">
        <v>140</v>
      </c>
      <c r="B160">
        <v>3</v>
      </c>
      <c r="C160">
        <v>38</v>
      </c>
      <c r="D160" s="21">
        <v>5</v>
      </c>
      <c r="E160">
        <v>43</v>
      </c>
      <c r="F160">
        <f>Table1[[#This Row],[New]]/0.04</f>
        <v>125</v>
      </c>
      <c r="G160">
        <f t="shared" si="3"/>
        <v>1075</v>
      </c>
      <c r="H160" s="1" t="s">
        <v>10</v>
      </c>
      <c r="I160" s="7" t="s">
        <v>143</v>
      </c>
    </row>
    <row r="161" spans="1:9">
      <c r="A161" s="6" t="s">
        <v>140</v>
      </c>
      <c r="B161">
        <v>4</v>
      </c>
      <c r="C161">
        <v>25</v>
      </c>
      <c r="D161" s="21">
        <v>15</v>
      </c>
      <c r="E161">
        <v>40</v>
      </c>
      <c r="F161">
        <f>Table1[[#This Row],[New]]/0.04</f>
        <v>375</v>
      </c>
      <c r="G161">
        <f t="shared" si="3"/>
        <v>1000</v>
      </c>
      <c r="H161" s="1" t="s">
        <v>10</v>
      </c>
      <c r="I161" s="7" t="s">
        <v>144</v>
      </c>
    </row>
    <row r="162" spans="1:9">
      <c r="A162" s="6" t="s">
        <v>140</v>
      </c>
      <c r="B162">
        <v>5</v>
      </c>
      <c r="C162">
        <v>13</v>
      </c>
      <c r="D162" s="21">
        <v>30</v>
      </c>
      <c r="E162">
        <v>43</v>
      </c>
      <c r="F162">
        <f>Table1[[#This Row],[New]]/0.04</f>
        <v>750</v>
      </c>
      <c r="G162">
        <f t="shared" si="3"/>
        <v>1075</v>
      </c>
      <c r="H162" s="1" t="s">
        <v>10</v>
      </c>
      <c r="I162" s="7" t="s">
        <v>145</v>
      </c>
    </row>
    <row r="163" spans="1:9">
      <c r="A163" s="6" t="s">
        <v>140</v>
      </c>
      <c r="B163">
        <v>6</v>
      </c>
      <c r="C163">
        <v>2</v>
      </c>
      <c r="D163" s="21">
        <v>33</v>
      </c>
      <c r="E163">
        <v>35</v>
      </c>
      <c r="F163">
        <f>Table1[[#This Row],[New]]/0.04</f>
        <v>825</v>
      </c>
      <c r="G163">
        <f t="shared" ref="G163:G204" si="4">E163/0.04</f>
        <v>875</v>
      </c>
      <c r="H163" s="1" t="s">
        <v>10</v>
      </c>
      <c r="I163" s="7" t="s">
        <v>146</v>
      </c>
    </row>
    <row r="164" spans="1:9">
      <c r="A164" s="6" t="s">
        <v>140</v>
      </c>
      <c r="B164">
        <v>7</v>
      </c>
      <c r="C164">
        <v>20</v>
      </c>
      <c r="D164" s="21">
        <v>13</v>
      </c>
      <c r="E164">
        <v>33</v>
      </c>
      <c r="F164">
        <f>Table1[[#This Row],[New]]/0.04</f>
        <v>325</v>
      </c>
      <c r="G164">
        <f t="shared" si="4"/>
        <v>825</v>
      </c>
      <c r="H164" s="1" t="s">
        <v>10</v>
      </c>
      <c r="I164" s="7" t="s">
        <v>147</v>
      </c>
    </row>
    <row r="165" spans="1:9">
      <c r="A165" s="6" t="s">
        <v>140</v>
      </c>
      <c r="B165">
        <v>8</v>
      </c>
      <c r="C165">
        <v>9</v>
      </c>
      <c r="D165" s="21">
        <v>23</v>
      </c>
      <c r="E165">
        <v>32</v>
      </c>
      <c r="F165">
        <f>Table1[[#This Row],[New]]/0.04</f>
        <v>575</v>
      </c>
      <c r="G165">
        <f t="shared" si="4"/>
        <v>800</v>
      </c>
      <c r="H165" s="1" t="s">
        <v>10</v>
      </c>
      <c r="I165" s="7" t="s">
        <v>148</v>
      </c>
    </row>
    <row r="166" spans="1:9">
      <c r="A166" s="6" t="s">
        <v>140</v>
      </c>
      <c r="B166">
        <v>9</v>
      </c>
      <c r="C166">
        <v>11</v>
      </c>
      <c r="D166" s="21">
        <v>25</v>
      </c>
      <c r="E166">
        <v>36</v>
      </c>
      <c r="F166">
        <f>Table1[[#This Row],[New]]/0.04</f>
        <v>625</v>
      </c>
      <c r="G166">
        <f t="shared" si="4"/>
        <v>900</v>
      </c>
      <c r="H166" s="1" t="s">
        <v>10</v>
      </c>
      <c r="I166" s="7" t="s">
        <v>149</v>
      </c>
    </row>
    <row r="167" spans="1:9">
      <c r="A167" s="6" t="s">
        <v>140</v>
      </c>
      <c r="B167">
        <v>10</v>
      </c>
      <c r="C167">
        <v>27</v>
      </c>
      <c r="D167" s="21">
        <v>17</v>
      </c>
      <c r="E167">
        <v>44</v>
      </c>
      <c r="F167">
        <f>Table1[[#This Row],[New]]/0.04</f>
        <v>425</v>
      </c>
      <c r="G167">
        <f t="shared" si="4"/>
        <v>1100</v>
      </c>
      <c r="H167" s="1" t="s">
        <v>10</v>
      </c>
      <c r="I167" s="7" t="s">
        <v>150</v>
      </c>
    </row>
    <row r="168" spans="1:9">
      <c r="A168" s="6" t="s">
        <v>140</v>
      </c>
      <c r="B168">
        <v>11</v>
      </c>
      <c r="E168">
        <v>46</v>
      </c>
      <c r="F168">
        <f>Table1[[#This Row],[New]]/0.04</f>
        <v>0</v>
      </c>
      <c r="G168">
        <f t="shared" si="4"/>
        <v>1150</v>
      </c>
      <c r="H168" s="1" t="s">
        <v>10</v>
      </c>
      <c r="I168" s="7" t="s">
        <v>151</v>
      </c>
    </row>
    <row r="169" spans="1:9">
      <c r="A169" s="6" t="s">
        <v>140</v>
      </c>
      <c r="B169">
        <v>12</v>
      </c>
      <c r="C169">
        <v>25</v>
      </c>
      <c r="D169" s="21">
        <v>23</v>
      </c>
      <c r="E169">
        <v>48</v>
      </c>
      <c r="F169">
        <f>Table1[[#This Row],[New]]/0.04</f>
        <v>575</v>
      </c>
      <c r="G169">
        <f t="shared" si="4"/>
        <v>1200</v>
      </c>
      <c r="H169" s="1" t="s">
        <v>10</v>
      </c>
      <c r="I169" s="7" t="s">
        <v>152</v>
      </c>
    </row>
    <row r="170" spans="1:9">
      <c r="A170" s="6" t="s">
        <v>140</v>
      </c>
      <c r="B170">
        <v>13</v>
      </c>
      <c r="E170">
        <v>47</v>
      </c>
      <c r="F170">
        <f>Table1[[#This Row],[New]]/0.04</f>
        <v>0</v>
      </c>
      <c r="G170">
        <f t="shared" si="4"/>
        <v>1175</v>
      </c>
      <c r="H170" s="1" t="s">
        <v>10</v>
      </c>
      <c r="I170" s="7" t="s">
        <v>153</v>
      </c>
    </row>
    <row r="171" spans="1:9">
      <c r="A171" s="6" t="s">
        <v>140</v>
      </c>
      <c r="B171">
        <v>14</v>
      </c>
      <c r="C171">
        <v>9</v>
      </c>
      <c r="D171" s="21">
        <v>23</v>
      </c>
      <c r="E171">
        <v>32</v>
      </c>
      <c r="F171">
        <f>Table1[[#This Row],[New]]/0.04</f>
        <v>575</v>
      </c>
      <c r="G171">
        <f t="shared" si="4"/>
        <v>800</v>
      </c>
      <c r="H171" s="1" t="s">
        <v>16</v>
      </c>
      <c r="I171" s="7" t="s">
        <v>154</v>
      </c>
    </row>
    <row r="172" spans="1:9">
      <c r="A172" s="6" t="s">
        <v>140</v>
      </c>
      <c r="B172">
        <v>15</v>
      </c>
      <c r="C172">
        <v>15</v>
      </c>
      <c r="D172" s="21">
        <v>28</v>
      </c>
      <c r="E172">
        <v>43</v>
      </c>
      <c r="F172">
        <f>Table1[[#This Row],[New]]/0.04</f>
        <v>700</v>
      </c>
      <c r="G172">
        <f t="shared" si="4"/>
        <v>1075</v>
      </c>
      <c r="H172" s="1" t="s">
        <v>10</v>
      </c>
      <c r="I172" s="7" t="s">
        <v>155</v>
      </c>
    </row>
    <row r="173" spans="1:9">
      <c r="A173" s="6" t="s">
        <v>140</v>
      </c>
      <c r="B173">
        <v>16</v>
      </c>
      <c r="C173">
        <v>4</v>
      </c>
      <c r="D173" s="21">
        <v>30</v>
      </c>
      <c r="E173">
        <v>34</v>
      </c>
      <c r="F173">
        <f>Table1[[#This Row],[New]]/0.04</f>
        <v>750</v>
      </c>
      <c r="G173">
        <f t="shared" si="4"/>
        <v>850</v>
      </c>
      <c r="H173" s="1" t="s">
        <v>10</v>
      </c>
      <c r="I173" s="7" t="s">
        <v>156</v>
      </c>
    </row>
    <row r="174" spans="1:9">
      <c r="A174" s="6" t="s">
        <v>140</v>
      </c>
      <c r="B174">
        <v>17</v>
      </c>
      <c r="C174">
        <v>21</v>
      </c>
      <c r="D174" s="21">
        <v>21</v>
      </c>
      <c r="E174">
        <v>42</v>
      </c>
      <c r="F174">
        <f>Table1[[#This Row],[New]]/0.04</f>
        <v>525</v>
      </c>
      <c r="G174">
        <f t="shared" si="4"/>
        <v>1050</v>
      </c>
      <c r="H174" s="1" t="s">
        <v>10</v>
      </c>
      <c r="I174" s="7" t="s">
        <v>157</v>
      </c>
    </row>
    <row r="175" spans="1:9">
      <c r="A175" s="6" t="s">
        <v>140</v>
      </c>
      <c r="B175">
        <v>18</v>
      </c>
      <c r="C175">
        <v>5</v>
      </c>
      <c r="D175" s="21">
        <v>35</v>
      </c>
      <c r="E175">
        <v>40</v>
      </c>
      <c r="F175">
        <f>Table1[[#This Row],[New]]/0.04</f>
        <v>875</v>
      </c>
      <c r="G175">
        <f t="shared" si="4"/>
        <v>1000</v>
      </c>
      <c r="H175" s="1" t="s">
        <v>10</v>
      </c>
      <c r="I175" s="7" t="s">
        <v>158</v>
      </c>
    </row>
    <row r="176" spans="1:9">
      <c r="A176" s="6" t="s">
        <v>140</v>
      </c>
      <c r="B176">
        <v>19</v>
      </c>
      <c r="E176">
        <v>33</v>
      </c>
      <c r="F176">
        <f>Table1[[#This Row],[New]]/0.04</f>
        <v>0</v>
      </c>
      <c r="G176">
        <f t="shared" si="4"/>
        <v>825</v>
      </c>
      <c r="H176" s="1" t="s">
        <v>10</v>
      </c>
      <c r="I176" s="7" t="s">
        <v>159</v>
      </c>
    </row>
    <row r="177" spans="1:9">
      <c r="A177" s="6" t="s">
        <v>140</v>
      </c>
      <c r="B177">
        <v>20</v>
      </c>
      <c r="C177">
        <v>10</v>
      </c>
      <c r="D177" s="21">
        <v>31</v>
      </c>
      <c r="E177">
        <v>41</v>
      </c>
      <c r="F177">
        <f>Table1[[#This Row],[New]]/0.04</f>
        <v>775</v>
      </c>
      <c r="G177">
        <f t="shared" si="4"/>
        <v>1025</v>
      </c>
      <c r="H177" s="1" t="s">
        <v>10</v>
      </c>
      <c r="I177" s="7" t="s">
        <v>160</v>
      </c>
    </row>
    <row r="178" spans="1:9">
      <c r="A178" s="6" t="s">
        <v>140</v>
      </c>
      <c r="B178">
        <v>21</v>
      </c>
      <c r="C178">
        <v>6</v>
      </c>
      <c r="D178" s="21">
        <v>39</v>
      </c>
      <c r="E178">
        <v>45</v>
      </c>
      <c r="F178">
        <f>Table1[[#This Row],[New]]/0.04</f>
        <v>975</v>
      </c>
      <c r="G178">
        <f t="shared" si="4"/>
        <v>1125</v>
      </c>
      <c r="H178" s="1" t="s">
        <v>16</v>
      </c>
      <c r="I178" s="7" t="s">
        <v>161</v>
      </c>
    </row>
    <row r="179" spans="1:9">
      <c r="A179" s="6" t="s">
        <v>140</v>
      </c>
      <c r="B179">
        <v>22</v>
      </c>
      <c r="C179">
        <v>18</v>
      </c>
      <c r="D179" s="21">
        <v>19</v>
      </c>
      <c r="E179">
        <v>37</v>
      </c>
      <c r="F179">
        <f>Table1[[#This Row],[New]]/0.04</f>
        <v>475</v>
      </c>
      <c r="G179">
        <f t="shared" si="4"/>
        <v>925</v>
      </c>
      <c r="H179" s="1" t="s">
        <v>10</v>
      </c>
      <c r="I179" s="7" t="s">
        <v>162</v>
      </c>
    </row>
    <row r="180" spans="1:9">
      <c r="A180" s="6" t="s">
        <v>140</v>
      </c>
      <c r="B180">
        <v>23</v>
      </c>
      <c r="C180">
        <v>17</v>
      </c>
      <c r="D180" s="21">
        <v>18</v>
      </c>
      <c r="E180">
        <v>35</v>
      </c>
      <c r="F180">
        <f>Table1[[#This Row],[New]]/0.04</f>
        <v>450</v>
      </c>
      <c r="G180">
        <f t="shared" si="4"/>
        <v>875</v>
      </c>
      <c r="H180" s="1" t="s">
        <v>10</v>
      </c>
      <c r="I180" s="7" t="s">
        <v>163</v>
      </c>
    </row>
    <row r="181" spans="1:9">
      <c r="A181" s="6" t="s">
        <v>140</v>
      </c>
      <c r="B181">
        <v>24</v>
      </c>
      <c r="C181">
        <v>26</v>
      </c>
      <c r="D181" s="21">
        <v>18</v>
      </c>
      <c r="E181">
        <v>44</v>
      </c>
      <c r="F181">
        <f>Table1[[#This Row],[New]]/0.04</f>
        <v>450</v>
      </c>
      <c r="G181">
        <f t="shared" si="4"/>
        <v>1100</v>
      </c>
      <c r="H181" s="1" t="s">
        <v>10</v>
      </c>
      <c r="I181" s="7" t="s">
        <v>164</v>
      </c>
    </row>
    <row r="182" spans="1:9">
      <c r="A182" s="6" t="s">
        <v>140</v>
      </c>
      <c r="B182">
        <v>25</v>
      </c>
      <c r="C182">
        <v>9</v>
      </c>
      <c r="D182" s="21">
        <v>30</v>
      </c>
      <c r="E182">
        <v>39</v>
      </c>
      <c r="F182">
        <f>Table1[[#This Row],[New]]/0.04</f>
        <v>750</v>
      </c>
      <c r="G182">
        <f t="shared" si="4"/>
        <v>975</v>
      </c>
      <c r="H182" s="1" t="s">
        <v>10</v>
      </c>
      <c r="I182" s="7" t="s">
        <v>165</v>
      </c>
    </row>
    <row r="183" spans="1:9">
      <c r="A183" s="6" t="s">
        <v>140</v>
      </c>
      <c r="B183">
        <v>26</v>
      </c>
      <c r="C183">
        <v>41</v>
      </c>
      <c r="D183" s="21">
        <v>13</v>
      </c>
      <c r="E183">
        <v>54</v>
      </c>
      <c r="F183">
        <f>Table1[[#This Row],[New]]/0.04</f>
        <v>325</v>
      </c>
      <c r="G183">
        <f t="shared" si="4"/>
        <v>1350</v>
      </c>
      <c r="H183" s="1" t="s">
        <v>10</v>
      </c>
      <c r="I183" s="7" t="s">
        <v>166</v>
      </c>
    </row>
    <row r="184" spans="1:9">
      <c r="A184" s="6" t="s">
        <v>140</v>
      </c>
      <c r="B184">
        <v>27</v>
      </c>
      <c r="C184">
        <v>37</v>
      </c>
      <c r="D184" s="21">
        <v>8</v>
      </c>
      <c r="E184">
        <v>45</v>
      </c>
      <c r="F184">
        <f>Table1[[#This Row],[New]]/0.04</f>
        <v>200</v>
      </c>
      <c r="G184">
        <f t="shared" si="4"/>
        <v>1125</v>
      </c>
      <c r="H184" s="1" t="s">
        <v>10</v>
      </c>
      <c r="I184" s="7" t="s">
        <v>167</v>
      </c>
    </row>
    <row r="185" spans="1:9">
      <c r="A185" s="6" t="s">
        <v>140</v>
      </c>
      <c r="B185">
        <v>28</v>
      </c>
      <c r="C185">
        <v>26</v>
      </c>
      <c r="D185" s="21">
        <v>10</v>
      </c>
      <c r="E185">
        <v>36</v>
      </c>
      <c r="F185">
        <f>Table1[[#This Row],[New]]/0.04</f>
        <v>250</v>
      </c>
      <c r="G185">
        <f t="shared" si="4"/>
        <v>900</v>
      </c>
      <c r="H185" s="1" t="s">
        <v>10</v>
      </c>
      <c r="I185" s="7" t="s">
        <v>168</v>
      </c>
    </row>
    <row r="186" spans="1:9">
      <c r="A186" s="6" t="s">
        <v>140</v>
      </c>
      <c r="B186">
        <v>29</v>
      </c>
      <c r="C186">
        <v>22</v>
      </c>
      <c r="D186" s="21">
        <v>3</v>
      </c>
      <c r="E186">
        <v>25</v>
      </c>
      <c r="F186">
        <f>Table1[[#This Row],[New]]/0.04</f>
        <v>75</v>
      </c>
      <c r="G186">
        <f t="shared" si="4"/>
        <v>625</v>
      </c>
      <c r="H186" s="1" t="s">
        <v>10</v>
      </c>
      <c r="I186" s="7" t="s">
        <v>169</v>
      </c>
    </row>
    <row r="187" spans="1:9">
      <c r="A187" s="6" t="s">
        <v>140</v>
      </c>
      <c r="B187">
        <v>30</v>
      </c>
      <c r="C187">
        <v>33</v>
      </c>
      <c r="D187" s="21">
        <v>7</v>
      </c>
      <c r="E187">
        <v>40</v>
      </c>
      <c r="F187">
        <f>Table1[[#This Row],[New]]/0.04</f>
        <v>175</v>
      </c>
      <c r="G187">
        <f t="shared" si="4"/>
        <v>1000</v>
      </c>
      <c r="H187" s="1" t="s">
        <v>10</v>
      </c>
      <c r="I187" s="7" t="s">
        <v>170</v>
      </c>
    </row>
    <row r="188" spans="1:9">
      <c r="A188" s="6" t="s">
        <v>140</v>
      </c>
      <c r="B188">
        <v>31</v>
      </c>
      <c r="C188">
        <v>38</v>
      </c>
      <c r="D188" s="21">
        <v>0</v>
      </c>
      <c r="E188">
        <v>38</v>
      </c>
      <c r="F188">
        <f>Table1[[#This Row],[New]]/0.04</f>
        <v>0</v>
      </c>
      <c r="G188">
        <f t="shared" si="4"/>
        <v>950</v>
      </c>
      <c r="H188" s="1" t="s">
        <v>10</v>
      </c>
      <c r="I188" s="7" t="s">
        <v>171</v>
      </c>
    </row>
    <row r="189" spans="1:9">
      <c r="A189" s="6" t="s">
        <v>140</v>
      </c>
      <c r="B189">
        <v>32</v>
      </c>
      <c r="C189">
        <v>33</v>
      </c>
      <c r="D189" s="21">
        <v>9</v>
      </c>
      <c r="E189">
        <v>42</v>
      </c>
      <c r="F189">
        <f>Table1[[#This Row],[New]]/0.04</f>
        <v>225</v>
      </c>
      <c r="G189">
        <f t="shared" si="4"/>
        <v>1050</v>
      </c>
      <c r="H189" s="1" t="s">
        <v>10</v>
      </c>
      <c r="I189" s="7" t="s">
        <v>172</v>
      </c>
    </row>
    <row r="190" spans="1:9">
      <c r="A190" s="6" t="s">
        <v>140</v>
      </c>
      <c r="B190">
        <v>33</v>
      </c>
      <c r="C190">
        <v>24</v>
      </c>
      <c r="D190" s="21">
        <v>14</v>
      </c>
      <c r="E190">
        <v>38</v>
      </c>
      <c r="F190">
        <f>Table1[[#This Row],[New]]/0.04</f>
        <v>350</v>
      </c>
      <c r="G190">
        <f t="shared" si="4"/>
        <v>950</v>
      </c>
      <c r="H190" s="1" t="s">
        <v>16</v>
      </c>
      <c r="I190" s="7" t="s">
        <v>173</v>
      </c>
    </row>
    <row r="191" spans="1:9">
      <c r="A191" s="6" t="s">
        <v>140</v>
      </c>
      <c r="B191">
        <v>34</v>
      </c>
      <c r="C191">
        <v>20</v>
      </c>
      <c r="D191" s="21">
        <v>17</v>
      </c>
      <c r="E191">
        <v>37</v>
      </c>
      <c r="F191">
        <f>Table1[[#This Row],[New]]/0.04</f>
        <v>425</v>
      </c>
      <c r="G191">
        <f t="shared" si="4"/>
        <v>925</v>
      </c>
      <c r="H191" s="1" t="s">
        <v>16</v>
      </c>
      <c r="I191" s="7" t="s">
        <v>174</v>
      </c>
    </row>
    <row r="192" spans="1:9">
      <c r="A192" s="6" t="s">
        <v>140</v>
      </c>
      <c r="B192">
        <v>35</v>
      </c>
      <c r="F192">
        <f>Table1[[#This Row],[New]]/0.04</f>
        <v>0</v>
      </c>
      <c r="G192">
        <f t="shared" si="4"/>
        <v>0</v>
      </c>
      <c r="H192" s="1" t="s">
        <v>16</v>
      </c>
      <c r="I192" s="7" t="s">
        <v>175</v>
      </c>
    </row>
    <row r="193" spans="1:9">
      <c r="A193" s="6" t="s">
        <v>140</v>
      </c>
      <c r="B193">
        <v>36</v>
      </c>
      <c r="C193">
        <v>32</v>
      </c>
      <c r="D193" s="21">
        <v>9</v>
      </c>
      <c r="E193">
        <v>41</v>
      </c>
      <c r="F193">
        <f>Table1[[#This Row],[New]]/0.04</f>
        <v>225</v>
      </c>
      <c r="G193">
        <f t="shared" si="4"/>
        <v>1025</v>
      </c>
      <c r="H193" s="1" t="s">
        <v>10</v>
      </c>
      <c r="I193" s="7" t="s">
        <v>176</v>
      </c>
    </row>
    <row r="194" spans="1:9">
      <c r="A194" s="6" t="s">
        <v>140</v>
      </c>
      <c r="B194">
        <v>37</v>
      </c>
      <c r="C194">
        <v>1</v>
      </c>
      <c r="D194" s="21">
        <v>42</v>
      </c>
      <c r="E194">
        <v>43</v>
      </c>
      <c r="F194">
        <f>Table1[[#This Row],[New]]/0.04</f>
        <v>1050</v>
      </c>
      <c r="G194">
        <f t="shared" si="4"/>
        <v>1075</v>
      </c>
      <c r="H194" s="1" t="s">
        <v>10</v>
      </c>
      <c r="I194" s="7" t="s">
        <v>177</v>
      </c>
    </row>
    <row r="195" spans="1:9">
      <c r="A195" s="6" t="s">
        <v>140</v>
      </c>
      <c r="B195">
        <v>38</v>
      </c>
      <c r="C195">
        <v>28</v>
      </c>
      <c r="D195" s="21">
        <v>10</v>
      </c>
      <c r="E195">
        <v>38</v>
      </c>
      <c r="F195">
        <f>Table1[[#This Row],[New]]/0.04</f>
        <v>250</v>
      </c>
      <c r="G195">
        <f t="shared" si="4"/>
        <v>950</v>
      </c>
      <c r="H195" s="1" t="s">
        <v>10</v>
      </c>
      <c r="I195" s="7" t="s">
        <v>178</v>
      </c>
    </row>
    <row r="196" spans="1:9">
      <c r="A196" s="6" t="s">
        <v>140</v>
      </c>
      <c r="B196">
        <v>39</v>
      </c>
      <c r="C196">
        <v>2</v>
      </c>
      <c r="D196" s="21">
        <v>40</v>
      </c>
      <c r="E196">
        <v>42</v>
      </c>
      <c r="F196">
        <f>Table1[[#This Row],[New]]/0.04</f>
        <v>1000</v>
      </c>
      <c r="G196">
        <f t="shared" si="4"/>
        <v>1050</v>
      </c>
      <c r="H196" s="1" t="s">
        <v>10</v>
      </c>
      <c r="I196" s="7" t="s">
        <v>179</v>
      </c>
    </row>
    <row r="197" spans="1:9">
      <c r="A197" s="6" t="s">
        <v>140</v>
      </c>
      <c r="B197">
        <v>40</v>
      </c>
      <c r="C197">
        <v>33</v>
      </c>
      <c r="D197" s="21">
        <v>5</v>
      </c>
      <c r="E197">
        <v>38</v>
      </c>
      <c r="F197">
        <f>Table1[[#This Row],[New]]/0.04</f>
        <v>125</v>
      </c>
      <c r="G197">
        <f t="shared" si="4"/>
        <v>950</v>
      </c>
      <c r="H197" s="1" t="s">
        <v>10</v>
      </c>
      <c r="I197" s="7" t="s">
        <v>180</v>
      </c>
    </row>
    <row r="198" spans="1:9">
      <c r="A198" s="6" t="s">
        <v>140</v>
      </c>
      <c r="B198">
        <v>41</v>
      </c>
      <c r="C198">
        <v>2</v>
      </c>
      <c r="D198" s="21">
        <v>41</v>
      </c>
      <c r="E198">
        <v>43</v>
      </c>
      <c r="F198">
        <f>Table1[[#This Row],[New]]/0.04</f>
        <v>1025</v>
      </c>
      <c r="G198">
        <f t="shared" si="4"/>
        <v>1075</v>
      </c>
      <c r="H198" s="1" t="s">
        <v>10</v>
      </c>
      <c r="I198" s="7" t="s">
        <v>181</v>
      </c>
    </row>
    <row r="199" spans="1:9">
      <c r="A199" s="6" t="s">
        <v>140</v>
      </c>
      <c r="B199">
        <v>42</v>
      </c>
      <c r="C199">
        <v>7</v>
      </c>
      <c r="D199" s="21">
        <v>32</v>
      </c>
      <c r="E199">
        <v>39</v>
      </c>
      <c r="F199">
        <f>Table1[[#This Row],[New]]/0.04</f>
        <v>800</v>
      </c>
      <c r="G199">
        <f t="shared" si="4"/>
        <v>975</v>
      </c>
      <c r="H199" s="1" t="s">
        <v>10</v>
      </c>
      <c r="I199" s="7" t="s">
        <v>182</v>
      </c>
    </row>
    <row r="200" spans="1:9">
      <c r="A200" s="6" t="s">
        <v>140</v>
      </c>
      <c r="B200">
        <v>43</v>
      </c>
      <c r="C200">
        <v>6</v>
      </c>
      <c r="D200" s="21">
        <v>27</v>
      </c>
      <c r="E200">
        <v>33</v>
      </c>
      <c r="F200">
        <f>Table1[[#This Row],[New]]/0.04</f>
        <v>675</v>
      </c>
      <c r="G200">
        <f t="shared" si="4"/>
        <v>825</v>
      </c>
      <c r="H200" s="1" t="s">
        <v>16</v>
      </c>
      <c r="I200" s="7" t="s">
        <v>183</v>
      </c>
    </row>
    <row r="201" spans="1:9">
      <c r="A201" s="6" t="s">
        <v>140</v>
      </c>
      <c r="B201">
        <v>44</v>
      </c>
      <c r="C201">
        <v>6</v>
      </c>
      <c r="D201" s="21">
        <v>37</v>
      </c>
      <c r="E201">
        <v>43</v>
      </c>
      <c r="F201">
        <f>Table1[[#This Row],[New]]/0.04</f>
        <v>925</v>
      </c>
      <c r="G201">
        <f t="shared" si="4"/>
        <v>1075</v>
      </c>
      <c r="H201" s="1" t="s">
        <v>16</v>
      </c>
      <c r="I201" s="7" t="s">
        <v>184</v>
      </c>
    </row>
    <row r="202" spans="1:9">
      <c r="A202" s="6" t="s">
        <v>140</v>
      </c>
      <c r="B202">
        <v>45</v>
      </c>
      <c r="C202">
        <v>31</v>
      </c>
      <c r="D202" s="21">
        <v>12</v>
      </c>
      <c r="E202">
        <v>43</v>
      </c>
      <c r="F202">
        <f>Table1[[#This Row],[New]]/0.04</f>
        <v>300</v>
      </c>
      <c r="G202">
        <f t="shared" si="4"/>
        <v>1075</v>
      </c>
      <c r="H202" s="1" t="s">
        <v>10</v>
      </c>
      <c r="I202" s="7" t="s">
        <v>185</v>
      </c>
    </row>
    <row r="203" spans="1:9">
      <c r="A203" s="6" t="s">
        <v>140</v>
      </c>
      <c r="B203">
        <v>46</v>
      </c>
      <c r="C203">
        <v>13</v>
      </c>
      <c r="D203" s="21">
        <v>25</v>
      </c>
      <c r="E203">
        <v>38</v>
      </c>
      <c r="F203">
        <f>Table1[[#This Row],[New]]/0.04</f>
        <v>625</v>
      </c>
      <c r="G203">
        <f t="shared" si="4"/>
        <v>950</v>
      </c>
      <c r="H203" s="1" t="s">
        <v>10</v>
      </c>
      <c r="I203" s="7" t="s">
        <v>186</v>
      </c>
    </row>
    <row r="204" spans="1:9" ht="15" thickBot="1">
      <c r="A204" s="8" t="s">
        <v>140</v>
      </c>
      <c r="B204" s="9">
        <v>47</v>
      </c>
      <c r="C204" s="9">
        <v>42</v>
      </c>
      <c r="D204" s="22">
        <v>0</v>
      </c>
      <c r="E204" s="9">
        <v>42</v>
      </c>
      <c r="F204" s="9">
        <f>Table1[[#This Row],[New]]/0.04</f>
        <v>0</v>
      </c>
      <c r="G204" s="9">
        <f t="shared" si="4"/>
        <v>1050</v>
      </c>
      <c r="H204" s="10" t="s">
        <v>10</v>
      </c>
      <c r="I204" s="11" t="s">
        <v>187</v>
      </c>
    </row>
  </sheetData>
  <sortState xmlns:xlrd2="http://schemas.microsoft.com/office/spreadsheetml/2017/richdata2" ref="A2:I22">
    <sortCondition ref="A2:A22"/>
    <sortCondition ref="B2:B22"/>
  </sortState>
  <phoneticPr fontId="2" type="noConversion"/>
  <pageMargins left="0.25" right="0.25" top="0.75" bottom="0.75" header="0.3" footer="0.3"/>
  <pageSetup paperSize="8" scale="55"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C23F2-A58C-412E-8079-62F899551FB4}">
  <dimension ref="A1:AB78"/>
  <sheetViews>
    <sheetView topLeftCell="A66" zoomScale="85" zoomScaleNormal="85" workbookViewId="0">
      <selection activeCell="A75" sqref="A75:I78"/>
    </sheetView>
  </sheetViews>
  <sheetFormatPr defaultRowHeight="14.45"/>
  <cols>
    <col min="28" max="28" width="9.85546875" customWidth="1"/>
  </cols>
  <sheetData>
    <row r="1" spans="1:28">
      <c r="A1" t="s">
        <v>188</v>
      </c>
      <c r="D1" t="s">
        <v>189</v>
      </c>
      <c r="E1" t="s">
        <v>190</v>
      </c>
      <c r="F1" t="s">
        <v>191</v>
      </c>
      <c r="H1" t="s">
        <v>3</v>
      </c>
      <c r="I1" t="s">
        <v>2</v>
      </c>
      <c r="J1" t="s">
        <v>192</v>
      </c>
      <c r="K1" t="s">
        <v>193</v>
      </c>
      <c r="L1" t="s">
        <v>194</v>
      </c>
      <c r="M1" t="s">
        <v>195</v>
      </c>
      <c r="T1" t="s">
        <v>0</v>
      </c>
      <c r="U1" t="s">
        <v>191</v>
      </c>
      <c r="V1" t="s">
        <v>2</v>
      </c>
      <c r="W1" t="s">
        <v>3</v>
      </c>
      <c r="X1" t="s">
        <v>192</v>
      </c>
      <c r="AA1" t="s">
        <v>7</v>
      </c>
      <c r="AB1" t="s">
        <v>8</v>
      </c>
    </row>
    <row r="2" spans="1:28">
      <c r="A2">
        <v>82</v>
      </c>
      <c r="D2">
        <v>1</v>
      </c>
      <c r="E2" t="s">
        <v>196</v>
      </c>
      <c r="F2">
        <v>1</v>
      </c>
      <c r="H2">
        <v>13</v>
      </c>
      <c r="I2">
        <v>37</v>
      </c>
      <c r="J2">
        <v>50</v>
      </c>
      <c r="K2">
        <v>1250</v>
      </c>
      <c r="L2">
        <v>325</v>
      </c>
      <c r="M2" t="s">
        <v>197</v>
      </c>
      <c r="T2" t="s">
        <v>140</v>
      </c>
      <c r="U2">
        <v>1</v>
      </c>
      <c r="V2">
        <v>37</v>
      </c>
      <c r="W2">
        <v>13</v>
      </c>
      <c r="X2">
        <v>50</v>
      </c>
      <c r="AA2" t="str" cm="1">
        <f t="array" ref="AA2">_xlfn.IFS(D2=1,"No",D2=2,"Yes")</f>
        <v>No</v>
      </c>
      <c r="AB2" t="s">
        <v>141</v>
      </c>
    </row>
    <row r="3" spans="1:28">
      <c r="A3">
        <v>83</v>
      </c>
      <c r="D3">
        <v>1</v>
      </c>
      <c r="E3" t="s">
        <v>198</v>
      </c>
      <c r="F3">
        <v>2</v>
      </c>
      <c r="H3">
        <v>0</v>
      </c>
      <c r="I3">
        <v>43</v>
      </c>
      <c r="J3">
        <v>43</v>
      </c>
      <c r="K3">
        <v>1075</v>
      </c>
      <c r="L3">
        <v>0</v>
      </c>
      <c r="M3" t="s">
        <v>197</v>
      </c>
      <c r="T3" t="s">
        <v>140</v>
      </c>
      <c r="U3">
        <v>2</v>
      </c>
      <c r="V3">
        <v>43</v>
      </c>
      <c r="W3">
        <v>0</v>
      </c>
      <c r="X3">
        <v>43</v>
      </c>
      <c r="AA3" t="str" cm="1">
        <f t="array" ref="AA3">_xlfn.IFS(D3=1,"No",D3=2,"Yes")</f>
        <v>No</v>
      </c>
      <c r="AB3" t="s">
        <v>142</v>
      </c>
    </row>
    <row r="4" spans="1:28">
      <c r="A4">
        <v>84</v>
      </c>
      <c r="D4">
        <v>1</v>
      </c>
      <c r="E4" t="s">
        <v>199</v>
      </c>
      <c r="F4">
        <v>3</v>
      </c>
      <c r="H4">
        <v>5</v>
      </c>
      <c r="I4">
        <v>38</v>
      </c>
      <c r="J4">
        <v>43</v>
      </c>
      <c r="K4">
        <v>1075</v>
      </c>
      <c r="L4">
        <v>125</v>
      </c>
      <c r="M4" t="s">
        <v>197</v>
      </c>
      <c r="T4" t="s">
        <v>140</v>
      </c>
      <c r="U4">
        <v>3</v>
      </c>
      <c r="V4">
        <v>38</v>
      </c>
      <c r="W4">
        <v>5</v>
      </c>
      <c r="X4">
        <v>43</v>
      </c>
      <c r="AA4" t="str" cm="1">
        <f t="array" ref="AA4">_xlfn.IFS(D4=1,"No",D4=2,"Yes")</f>
        <v>No</v>
      </c>
      <c r="AB4" t="s">
        <v>143</v>
      </c>
    </row>
    <row r="5" spans="1:28">
      <c r="A5">
        <v>85</v>
      </c>
      <c r="D5">
        <v>1</v>
      </c>
      <c r="E5" t="s">
        <v>200</v>
      </c>
      <c r="F5">
        <v>4</v>
      </c>
      <c r="H5">
        <v>15</v>
      </c>
      <c r="I5">
        <v>25</v>
      </c>
      <c r="J5">
        <v>40</v>
      </c>
      <c r="K5">
        <v>1000</v>
      </c>
      <c r="L5">
        <v>375</v>
      </c>
      <c r="M5" t="s">
        <v>197</v>
      </c>
      <c r="T5" t="s">
        <v>140</v>
      </c>
      <c r="U5">
        <v>4</v>
      </c>
      <c r="V5">
        <v>25</v>
      </c>
      <c r="W5">
        <v>15</v>
      </c>
      <c r="X5">
        <v>40</v>
      </c>
      <c r="AA5" t="str" cm="1">
        <f t="array" ref="AA5">_xlfn.IFS(D5=1,"No",D5=2,"Yes")</f>
        <v>No</v>
      </c>
      <c r="AB5" t="s">
        <v>144</v>
      </c>
    </row>
    <row r="6" spans="1:28">
      <c r="A6">
        <v>215</v>
      </c>
      <c r="D6">
        <v>1</v>
      </c>
      <c r="E6" t="s">
        <v>201</v>
      </c>
      <c r="F6">
        <v>5</v>
      </c>
      <c r="H6">
        <v>30</v>
      </c>
      <c r="I6">
        <v>13</v>
      </c>
      <c r="J6">
        <v>43</v>
      </c>
      <c r="K6" t="s">
        <v>202</v>
      </c>
      <c r="L6" t="s">
        <v>202</v>
      </c>
      <c r="M6" t="s">
        <v>197</v>
      </c>
      <c r="T6" t="s">
        <v>140</v>
      </c>
      <c r="U6">
        <v>5</v>
      </c>
      <c r="V6">
        <v>13</v>
      </c>
      <c r="W6">
        <v>30</v>
      </c>
      <c r="X6">
        <v>43</v>
      </c>
      <c r="AA6" t="str" cm="1">
        <f t="array" ref="AA6">_xlfn.IFS(D6=1,"No",D6=2,"Yes")</f>
        <v>No</v>
      </c>
      <c r="AB6" t="s">
        <v>145</v>
      </c>
    </row>
    <row r="7" spans="1:28">
      <c r="A7">
        <v>216</v>
      </c>
      <c r="D7">
        <v>1</v>
      </c>
      <c r="E7" t="s">
        <v>203</v>
      </c>
      <c r="F7">
        <v>6</v>
      </c>
      <c r="H7">
        <v>33</v>
      </c>
      <c r="I7">
        <v>2</v>
      </c>
      <c r="J7">
        <v>35</v>
      </c>
      <c r="K7" t="s">
        <v>202</v>
      </c>
      <c r="L7" t="s">
        <v>202</v>
      </c>
      <c r="M7" t="s">
        <v>197</v>
      </c>
      <c r="T7" t="s">
        <v>140</v>
      </c>
      <c r="U7">
        <v>6</v>
      </c>
      <c r="V7">
        <v>2</v>
      </c>
      <c r="W7">
        <v>33</v>
      </c>
      <c r="X7">
        <v>35</v>
      </c>
      <c r="AA7" t="str" cm="1">
        <f t="array" ref="AA7">_xlfn.IFS(D7=1,"No",D7=2,"Yes")</f>
        <v>No</v>
      </c>
      <c r="AB7" t="s">
        <v>146</v>
      </c>
    </row>
    <row r="8" spans="1:28">
      <c r="A8">
        <v>217</v>
      </c>
      <c r="D8">
        <v>1</v>
      </c>
      <c r="E8" t="s">
        <v>204</v>
      </c>
      <c r="F8">
        <v>7</v>
      </c>
      <c r="H8">
        <v>13</v>
      </c>
      <c r="I8">
        <v>20</v>
      </c>
      <c r="J8">
        <v>33</v>
      </c>
      <c r="K8" t="s">
        <v>202</v>
      </c>
      <c r="L8" t="s">
        <v>202</v>
      </c>
      <c r="M8" t="s">
        <v>197</v>
      </c>
      <c r="T8" t="s">
        <v>140</v>
      </c>
      <c r="U8">
        <v>7</v>
      </c>
      <c r="V8">
        <v>20</v>
      </c>
      <c r="W8">
        <v>13</v>
      </c>
      <c r="X8">
        <v>33</v>
      </c>
      <c r="AA8" t="str" cm="1">
        <f t="array" ref="AA8">_xlfn.IFS(D8=1,"No",D8=2,"Yes")</f>
        <v>No</v>
      </c>
      <c r="AB8" t="s">
        <v>147</v>
      </c>
    </row>
    <row r="9" spans="1:28">
      <c r="A9">
        <v>219</v>
      </c>
      <c r="D9">
        <v>1</v>
      </c>
      <c r="E9" t="s">
        <v>205</v>
      </c>
      <c r="F9">
        <v>8</v>
      </c>
      <c r="H9">
        <v>23</v>
      </c>
      <c r="I9">
        <v>9</v>
      </c>
      <c r="J9">
        <v>32</v>
      </c>
      <c r="K9" t="s">
        <v>202</v>
      </c>
      <c r="L9" t="s">
        <v>202</v>
      </c>
      <c r="M9" t="s">
        <v>197</v>
      </c>
      <c r="T9" t="s">
        <v>140</v>
      </c>
      <c r="U9">
        <v>8</v>
      </c>
      <c r="V9">
        <v>9</v>
      </c>
      <c r="W9">
        <v>23</v>
      </c>
      <c r="X9">
        <v>32</v>
      </c>
      <c r="AA9" t="str" cm="1">
        <f t="array" ref="AA9">_xlfn.IFS(D9=1,"No",D9=2,"Yes")</f>
        <v>No</v>
      </c>
      <c r="AB9" t="s">
        <v>148</v>
      </c>
    </row>
    <row r="10" spans="1:28">
      <c r="A10">
        <v>220</v>
      </c>
      <c r="D10">
        <v>1</v>
      </c>
      <c r="E10" t="s">
        <v>206</v>
      </c>
      <c r="F10">
        <v>9</v>
      </c>
      <c r="H10">
        <v>25</v>
      </c>
      <c r="I10">
        <v>11</v>
      </c>
      <c r="J10">
        <v>36</v>
      </c>
      <c r="K10" t="s">
        <v>202</v>
      </c>
      <c r="L10" t="s">
        <v>202</v>
      </c>
      <c r="M10" t="s">
        <v>197</v>
      </c>
      <c r="T10" t="s">
        <v>140</v>
      </c>
      <c r="U10">
        <v>9</v>
      </c>
      <c r="V10">
        <v>11</v>
      </c>
      <c r="W10">
        <v>25</v>
      </c>
      <c r="X10">
        <v>36</v>
      </c>
      <c r="AA10" t="str" cm="1">
        <f t="array" ref="AA10">_xlfn.IFS(D10=1,"No",D10=2,"Yes")</f>
        <v>No</v>
      </c>
      <c r="AB10" t="s">
        <v>149</v>
      </c>
    </row>
    <row r="11" spans="1:28">
      <c r="A11">
        <v>211</v>
      </c>
      <c r="D11">
        <v>1</v>
      </c>
      <c r="E11" t="s">
        <v>207</v>
      </c>
      <c r="F11">
        <v>10</v>
      </c>
      <c r="H11">
        <v>17</v>
      </c>
      <c r="I11">
        <v>27</v>
      </c>
      <c r="J11">
        <v>44</v>
      </c>
      <c r="K11" t="s">
        <v>202</v>
      </c>
      <c r="L11" t="s">
        <v>202</v>
      </c>
      <c r="M11" t="s">
        <v>197</v>
      </c>
      <c r="T11" t="s">
        <v>140</v>
      </c>
      <c r="U11">
        <v>10</v>
      </c>
      <c r="V11">
        <v>27</v>
      </c>
      <c r="W11">
        <v>17</v>
      </c>
      <c r="X11">
        <v>44</v>
      </c>
      <c r="AA11" t="str" cm="1">
        <f t="array" ref="AA11">_xlfn.IFS(D11=1,"No",D11=2,"Yes")</f>
        <v>No</v>
      </c>
      <c r="AB11" t="s">
        <v>150</v>
      </c>
    </row>
    <row r="12" spans="1:28">
      <c r="A12">
        <v>212</v>
      </c>
      <c r="D12">
        <v>1</v>
      </c>
      <c r="E12" t="s">
        <v>208</v>
      </c>
      <c r="F12">
        <v>11</v>
      </c>
      <c r="H12" t="s">
        <v>202</v>
      </c>
      <c r="I12" t="s">
        <v>202</v>
      </c>
      <c r="J12">
        <v>46</v>
      </c>
      <c r="K12" t="s">
        <v>202</v>
      </c>
      <c r="L12" t="s">
        <v>202</v>
      </c>
      <c r="M12" t="s">
        <v>197</v>
      </c>
      <c r="T12" t="s">
        <v>140</v>
      </c>
      <c r="U12">
        <v>11</v>
      </c>
      <c r="V12" t="s">
        <v>202</v>
      </c>
      <c r="W12" t="s">
        <v>202</v>
      </c>
      <c r="X12">
        <v>46</v>
      </c>
      <c r="AA12" t="str" cm="1">
        <f t="array" ref="AA12">_xlfn.IFS(D12=1,"No",D12=2,"Yes")</f>
        <v>No</v>
      </c>
      <c r="AB12" t="s">
        <v>151</v>
      </c>
    </row>
    <row r="13" spans="1:28">
      <c r="A13">
        <v>213</v>
      </c>
      <c r="D13">
        <v>1</v>
      </c>
      <c r="E13" t="s">
        <v>209</v>
      </c>
      <c r="F13">
        <v>12</v>
      </c>
      <c r="H13">
        <v>23</v>
      </c>
      <c r="I13">
        <v>25</v>
      </c>
      <c r="J13">
        <v>48</v>
      </c>
      <c r="K13" t="s">
        <v>202</v>
      </c>
      <c r="L13" t="s">
        <v>202</v>
      </c>
      <c r="M13" t="s">
        <v>197</v>
      </c>
      <c r="T13" t="s">
        <v>140</v>
      </c>
      <c r="U13">
        <v>12</v>
      </c>
      <c r="V13">
        <v>25</v>
      </c>
      <c r="W13">
        <v>23</v>
      </c>
      <c r="X13">
        <v>48</v>
      </c>
      <c r="AA13" t="str" cm="1">
        <f t="array" ref="AA13">_xlfn.IFS(D13=1,"No",D13=2,"Yes")</f>
        <v>No</v>
      </c>
      <c r="AB13" t="s">
        <v>152</v>
      </c>
    </row>
    <row r="14" spans="1:28">
      <c r="A14">
        <v>214</v>
      </c>
      <c r="D14">
        <v>1</v>
      </c>
      <c r="E14" t="s">
        <v>210</v>
      </c>
      <c r="F14">
        <v>13</v>
      </c>
      <c r="H14" t="s">
        <v>202</v>
      </c>
      <c r="I14" t="s">
        <v>202</v>
      </c>
      <c r="J14">
        <v>47</v>
      </c>
      <c r="K14" t="s">
        <v>202</v>
      </c>
      <c r="L14" t="s">
        <v>202</v>
      </c>
      <c r="M14" t="s">
        <v>197</v>
      </c>
      <c r="T14" t="s">
        <v>140</v>
      </c>
      <c r="U14">
        <v>13</v>
      </c>
      <c r="V14" t="s">
        <v>202</v>
      </c>
      <c r="W14" t="s">
        <v>202</v>
      </c>
      <c r="X14">
        <v>47</v>
      </c>
      <c r="AA14" t="str" cm="1">
        <f t="array" ref="AA14">_xlfn.IFS(D14=1,"No",D14=2,"Yes")</f>
        <v>No</v>
      </c>
      <c r="AB14" t="s">
        <v>153</v>
      </c>
    </row>
    <row r="15" spans="1:28">
      <c r="A15">
        <v>218</v>
      </c>
      <c r="D15">
        <v>2</v>
      </c>
      <c r="E15" t="s">
        <v>211</v>
      </c>
      <c r="F15">
        <v>14</v>
      </c>
      <c r="H15">
        <v>23</v>
      </c>
      <c r="I15">
        <v>9</v>
      </c>
      <c r="J15">
        <v>32</v>
      </c>
      <c r="K15" t="s">
        <v>202</v>
      </c>
      <c r="L15" t="s">
        <v>202</v>
      </c>
      <c r="M15" t="s">
        <v>197</v>
      </c>
      <c r="T15" t="s">
        <v>140</v>
      </c>
      <c r="U15">
        <v>14</v>
      </c>
      <c r="V15">
        <v>9</v>
      </c>
      <c r="W15">
        <v>23</v>
      </c>
      <c r="X15">
        <v>32</v>
      </c>
      <c r="AA15" t="str" cm="1">
        <f t="array" ref="AA15">_xlfn.IFS(D15=1,"No",D15=2,"Yes")</f>
        <v>Yes</v>
      </c>
      <c r="AB15" t="s">
        <v>154</v>
      </c>
    </row>
    <row r="16" spans="1:28">
      <c r="A16">
        <v>221</v>
      </c>
      <c r="D16">
        <v>1</v>
      </c>
      <c r="E16" t="s">
        <v>212</v>
      </c>
      <c r="F16">
        <v>15</v>
      </c>
      <c r="H16">
        <v>28</v>
      </c>
      <c r="I16">
        <v>15</v>
      </c>
      <c r="J16">
        <v>43</v>
      </c>
      <c r="K16" t="s">
        <v>202</v>
      </c>
      <c r="L16" t="s">
        <v>202</v>
      </c>
      <c r="M16" t="s">
        <v>197</v>
      </c>
      <c r="T16" t="s">
        <v>140</v>
      </c>
      <c r="U16">
        <v>15</v>
      </c>
      <c r="V16">
        <v>15</v>
      </c>
      <c r="W16">
        <v>28</v>
      </c>
      <c r="X16">
        <v>43</v>
      </c>
      <c r="AA16" t="str" cm="1">
        <f t="array" ref="AA16">_xlfn.IFS(D16=1,"No",D16=2,"Yes")</f>
        <v>No</v>
      </c>
      <c r="AB16" t="s">
        <v>155</v>
      </c>
    </row>
    <row r="17" spans="1:28">
      <c r="A17">
        <v>222</v>
      </c>
      <c r="D17">
        <v>1</v>
      </c>
      <c r="E17" t="s">
        <v>213</v>
      </c>
      <c r="F17">
        <v>16</v>
      </c>
      <c r="H17">
        <v>30</v>
      </c>
      <c r="I17">
        <v>4</v>
      </c>
      <c r="J17">
        <v>34</v>
      </c>
      <c r="K17" t="s">
        <v>202</v>
      </c>
      <c r="L17" t="s">
        <v>202</v>
      </c>
      <c r="M17" t="s">
        <v>197</v>
      </c>
      <c r="T17" t="s">
        <v>140</v>
      </c>
      <c r="U17">
        <v>16</v>
      </c>
      <c r="V17">
        <v>4</v>
      </c>
      <c r="W17">
        <v>30</v>
      </c>
      <c r="X17">
        <v>34</v>
      </c>
      <c r="AA17" t="str" cm="1">
        <f t="array" ref="AA17">_xlfn.IFS(D17=1,"No",D17=2,"Yes")</f>
        <v>No</v>
      </c>
      <c r="AB17" t="s">
        <v>156</v>
      </c>
    </row>
    <row r="18" spans="1:28">
      <c r="A18">
        <v>95</v>
      </c>
      <c r="D18">
        <v>1</v>
      </c>
      <c r="E18" t="s">
        <v>214</v>
      </c>
      <c r="F18">
        <v>17</v>
      </c>
      <c r="H18">
        <v>21</v>
      </c>
      <c r="I18">
        <v>21</v>
      </c>
      <c r="J18">
        <v>42</v>
      </c>
      <c r="K18">
        <v>1050</v>
      </c>
      <c r="L18">
        <v>525</v>
      </c>
      <c r="M18" t="s">
        <v>197</v>
      </c>
      <c r="T18" t="s">
        <v>140</v>
      </c>
      <c r="U18">
        <v>17</v>
      </c>
      <c r="V18">
        <v>21</v>
      </c>
      <c r="W18">
        <v>21</v>
      </c>
      <c r="X18">
        <v>42</v>
      </c>
      <c r="AA18" t="str" cm="1">
        <f t="array" ref="AA18">_xlfn.IFS(D18=1,"No",D18=2,"Yes")</f>
        <v>No</v>
      </c>
      <c r="AB18" t="s">
        <v>157</v>
      </c>
    </row>
    <row r="19" spans="1:28">
      <c r="A19">
        <v>223</v>
      </c>
      <c r="D19">
        <v>1</v>
      </c>
      <c r="E19" t="s">
        <v>215</v>
      </c>
      <c r="F19">
        <v>18</v>
      </c>
      <c r="H19">
        <v>35</v>
      </c>
      <c r="I19">
        <v>5</v>
      </c>
      <c r="J19">
        <v>40</v>
      </c>
      <c r="K19" t="s">
        <v>202</v>
      </c>
      <c r="L19" t="s">
        <v>202</v>
      </c>
      <c r="M19" t="s">
        <v>197</v>
      </c>
      <c r="T19" t="s">
        <v>140</v>
      </c>
      <c r="U19">
        <v>18</v>
      </c>
      <c r="V19">
        <v>5</v>
      </c>
      <c r="W19">
        <v>35</v>
      </c>
      <c r="X19">
        <v>40</v>
      </c>
      <c r="AA19" t="str" cm="1">
        <f t="array" ref="AA19">_xlfn.IFS(D19=1,"No",D19=2,"Yes")</f>
        <v>No</v>
      </c>
      <c r="AB19" t="s">
        <v>158</v>
      </c>
    </row>
    <row r="20" spans="1:28">
      <c r="A20">
        <v>224</v>
      </c>
      <c r="D20">
        <v>1</v>
      </c>
      <c r="E20" t="s">
        <v>216</v>
      </c>
      <c r="F20">
        <v>19</v>
      </c>
      <c r="H20" t="s">
        <v>202</v>
      </c>
      <c r="I20" t="s">
        <v>202</v>
      </c>
      <c r="J20">
        <v>33</v>
      </c>
      <c r="K20" t="s">
        <v>202</v>
      </c>
      <c r="L20" t="s">
        <v>202</v>
      </c>
      <c r="M20" t="s">
        <v>197</v>
      </c>
      <c r="T20" t="s">
        <v>140</v>
      </c>
      <c r="U20">
        <v>19</v>
      </c>
      <c r="V20" t="s">
        <v>202</v>
      </c>
      <c r="W20" t="s">
        <v>202</v>
      </c>
      <c r="X20">
        <v>33</v>
      </c>
      <c r="AA20" t="str" cm="1">
        <f t="array" ref="AA20">_xlfn.IFS(D20=1,"No",D20=2,"Yes")</f>
        <v>No</v>
      </c>
      <c r="AB20" t="s">
        <v>159</v>
      </c>
    </row>
    <row r="21" spans="1:28">
      <c r="A21">
        <v>225</v>
      </c>
      <c r="D21">
        <v>1</v>
      </c>
      <c r="E21" t="s">
        <v>217</v>
      </c>
      <c r="F21">
        <v>20</v>
      </c>
      <c r="H21">
        <v>31</v>
      </c>
      <c r="I21">
        <v>10</v>
      </c>
      <c r="J21">
        <v>41</v>
      </c>
      <c r="K21" t="s">
        <v>202</v>
      </c>
      <c r="L21" t="s">
        <v>202</v>
      </c>
      <c r="M21" t="s">
        <v>197</v>
      </c>
      <c r="T21" t="s">
        <v>140</v>
      </c>
      <c r="U21">
        <v>20</v>
      </c>
      <c r="V21">
        <v>10</v>
      </c>
      <c r="W21">
        <v>31</v>
      </c>
      <c r="X21">
        <v>41</v>
      </c>
      <c r="AA21" t="str" cm="1">
        <f t="array" ref="AA21">_xlfn.IFS(D21=1,"No",D21=2,"Yes")</f>
        <v>No</v>
      </c>
      <c r="AB21" t="s">
        <v>160</v>
      </c>
    </row>
    <row r="22" spans="1:28">
      <c r="A22">
        <v>208</v>
      </c>
      <c r="D22">
        <v>2</v>
      </c>
      <c r="E22" t="s">
        <v>218</v>
      </c>
      <c r="F22">
        <v>21</v>
      </c>
      <c r="H22">
        <v>39</v>
      </c>
      <c r="I22">
        <v>6</v>
      </c>
      <c r="J22">
        <v>45</v>
      </c>
      <c r="K22" t="s">
        <v>202</v>
      </c>
      <c r="L22" t="s">
        <v>202</v>
      </c>
      <c r="M22" t="s">
        <v>197</v>
      </c>
      <c r="T22" t="s">
        <v>140</v>
      </c>
      <c r="U22">
        <v>21</v>
      </c>
      <c r="V22">
        <v>6</v>
      </c>
      <c r="W22">
        <v>39</v>
      </c>
      <c r="X22">
        <v>45</v>
      </c>
      <c r="AA22" t="str" cm="1">
        <f t="array" ref="AA22">_xlfn.IFS(D22=1,"No",D22=2,"Yes")</f>
        <v>Yes</v>
      </c>
      <c r="AB22" t="s">
        <v>161</v>
      </c>
    </row>
    <row r="23" spans="1:28">
      <c r="A23">
        <v>209</v>
      </c>
      <c r="D23">
        <v>1</v>
      </c>
      <c r="E23" t="s">
        <v>219</v>
      </c>
      <c r="F23">
        <v>22</v>
      </c>
      <c r="H23">
        <v>19</v>
      </c>
      <c r="I23">
        <v>18</v>
      </c>
      <c r="J23">
        <v>37</v>
      </c>
      <c r="K23" t="s">
        <v>202</v>
      </c>
      <c r="L23" t="s">
        <v>202</v>
      </c>
      <c r="M23" t="s">
        <v>197</v>
      </c>
      <c r="T23" t="s">
        <v>140</v>
      </c>
      <c r="U23">
        <v>22</v>
      </c>
      <c r="V23">
        <v>18</v>
      </c>
      <c r="W23">
        <v>19</v>
      </c>
      <c r="X23">
        <v>37</v>
      </c>
      <c r="AA23" t="str" cm="1">
        <f t="array" ref="AA23">_xlfn.IFS(D23=1,"No",D23=2,"Yes")</f>
        <v>No</v>
      </c>
      <c r="AB23" t="s">
        <v>162</v>
      </c>
    </row>
    <row r="24" spans="1:28">
      <c r="A24">
        <v>210</v>
      </c>
      <c r="D24">
        <v>1</v>
      </c>
      <c r="E24" t="s">
        <v>220</v>
      </c>
      <c r="F24">
        <v>23</v>
      </c>
      <c r="H24">
        <v>18</v>
      </c>
      <c r="I24">
        <v>17</v>
      </c>
      <c r="J24">
        <v>35</v>
      </c>
      <c r="K24" t="s">
        <v>202</v>
      </c>
      <c r="L24" t="s">
        <v>202</v>
      </c>
      <c r="M24" t="s">
        <v>197</v>
      </c>
      <c r="T24" t="s">
        <v>140</v>
      </c>
      <c r="U24">
        <v>23</v>
      </c>
      <c r="V24">
        <v>17</v>
      </c>
      <c r="W24">
        <v>18</v>
      </c>
      <c r="X24">
        <v>35</v>
      </c>
      <c r="AA24" t="str" cm="1">
        <f t="array" ref="AA24">_xlfn.IFS(D24=1,"No",D24=2,"Yes")</f>
        <v>No</v>
      </c>
      <c r="AB24" t="s">
        <v>163</v>
      </c>
    </row>
    <row r="25" spans="1:28">
      <c r="A25">
        <v>228</v>
      </c>
      <c r="D25">
        <v>1</v>
      </c>
      <c r="E25" t="s">
        <v>221</v>
      </c>
      <c r="F25">
        <v>24</v>
      </c>
      <c r="H25">
        <v>18</v>
      </c>
      <c r="I25">
        <v>26</v>
      </c>
      <c r="J25">
        <v>44</v>
      </c>
      <c r="K25" t="s">
        <v>202</v>
      </c>
      <c r="L25" t="s">
        <v>202</v>
      </c>
      <c r="M25" t="s">
        <v>197</v>
      </c>
      <c r="T25" t="s">
        <v>140</v>
      </c>
      <c r="U25">
        <v>24</v>
      </c>
      <c r="V25">
        <v>26</v>
      </c>
      <c r="W25">
        <v>18</v>
      </c>
      <c r="X25">
        <v>44</v>
      </c>
      <c r="AA25" t="str" cm="1">
        <f t="array" ref="AA25">_xlfn.IFS(D25=1,"No",D25=2,"Yes")</f>
        <v>No</v>
      </c>
      <c r="AB25" t="s">
        <v>164</v>
      </c>
    </row>
    <row r="26" spans="1:28">
      <c r="A26">
        <v>226</v>
      </c>
      <c r="D26">
        <v>1</v>
      </c>
      <c r="E26" t="s">
        <v>222</v>
      </c>
      <c r="F26">
        <v>25</v>
      </c>
      <c r="H26">
        <v>30</v>
      </c>
      <c r="I26">
        <v>9</v>
      </c>
      <c r="J26">
        <v>39</v>
      </c>
      <c r="K26" t="s">
        <v>202</v>
      </c>
      <c r="L26" t="s">
        <v>202</v>
      </c>
      <c r="M26" t="s">
        <v>197</v>
      </c>
      <c r="T26" t="s">
        <v>140</v>
      </c>
      <c r="U26">
        <v>25</v>
      </c>
      <c r="V26">
        <v>9</v>
      </c>
      <c r="W26">
        <v>30</v>
      </c>
      <c r="X26">
        <v>39</v>
      </c>
      <c r="AA26" t="str" cm="1">
        <f t="array" ref="AA26">_xlfn.IFS(D26=1,"No",D26=2,"Yes")</f>
        <v>No</v>
      </c>
      <c r="AB26" t="s">
        <v>165</v>
      </c>
    </row>
    <row r="27" spans="1:28">
      <c r="A27">
        <v>227</v>
      </c>
      <c r="D27">
        <v>1</v>
      </c>
      <c r="E27" t="s">
        <v>223</v>
      </c>
      <c r="F27">
        <v>26</v>
      </c>
      <c r="H27">
        <v>13</v>
      </c>
      <c r="I27">
        <v>41</v>
      </c>
      <c r="J27">
        <v>54</v>
      </c>
      <c r="K27" t="s">
        <v>202</v>
      </c>
      <c r="L27" t="s">
        <v>202</v>
      </c>
      <c r="M27" t="s">
        <v>197</v>
      </c>
      <c r="T27" t="s">
        <v>140</v>
      </c>
      <c r="U27">
        <v>26</v>
      </c>
      <c r="V27">
        <v>41</v>
      </c>
      <c r="W27">
        <v>13</v>
      </c>
      <c r="X27">
        <v>54</v>
      </c>
      <c r="AA27" t="str" cm="1">
        <f t="array" ref="AA27">_xlfn.IFS(D27=1,"No",D27=2,"Yes")</f>
        <v>No</v>
      </c>
      <c r="AB27" t="s">
        <v>166</v>
      </c>
    </row>
    <row r="28" spans="1:28">
      <c r="A28">
        <v>88</v>
      </c>
      <c r="D28">
        <v>1</v>
      </c>
      <c r="E28" t="s">
        <v>224</v>
      </c>
      <c r="F28">
        <v>27</v>
      </c>
      <c r="H28">
        <v>8</v>
      </c>
      <c r="I28">
        <v>37</v>
      </c>
      <c r="J28">
        <v>45</v>
      </c>
      <c r="K28">
        <v>1125</v>
      </c>
      <c r="L28">
        <v>200</v>
      </c>
      <c r="M28" t="s">
        <v>197</v>
      </c>
      <c r="T28" t="s">
        <v>140</v>
      </c>
      <c r="U28">
        <v>27</v>
      </c>
      <c r="V28">
        <v>37</v>
      </c>
      <c r="W28">
        <v>8</v>
      </c>
      <c r="X28">
        <v>45</v>
      </c>
      <c r="AA28" t="str" cm="1">
        <f t="array" ref="AA28">_xlfn.IFS(D28=1,"No",D28=2,"Yes")</f>
        <v>No</v>
      </c>
      <c r="AB28" t="s">
        <v>167</v>
      </c>
    </row>
    <row r="29" spans="1:28">
      <c r="A29">
        <v>89</v>
      </c>
      <c r="D29">
        <v>1</v>
      </c>
      <c r="E29" t="s">
        <v>225</v>
      </c>
      <c r="F29">
        <v>28</v>
      </c>
      <c r="H29">
        <v>10</v>
      </c>
      <c r="I29">
        <v>26</v>
      </c>
      <c r="J29">
        <v>36</v>
      </c>
      <c r="K29">
        <v>900</v>
      </c>
      <c r="L29">
        <v>250</v>
      </c>
      <c r="M29" t="s">
        <v>197</v>
      </c>
      <c r="T29" t="s">
        <v>140</v>
      </c>
      <c r="U29">
        <v>28</v>
      </c>
      <c r="V29">
        <v>26</v>
      </c>
      <c r="W29">
        <v>10</v>
      </c>
      <c r="X29">
        <v>36</v>
      </c>
      <c r="AA29" t="str" cm="1">
        <f t="array" ref="AA29">_xlfn.IFS(D29=1,"No",D29=2,"Yes")</f>
        <v>No</v>
      </c>
      <c r="AB29" t="s">
        <v>168</v>
      </c>
    </row>
    <row r="30" spans="1:28">
      <c r="A30">
        <v>230</v>
      </c>
      <c r="D30">
        <v>1</v>
      </c>
      <c r="E30" t="s">
        <v>226</v>
      </c>
      <c r="F30">
        <v>29</v>
      </c>
      <c r="H30">
        <v>3</v>
      </c>
      <c r="I30">
        <v>22</v>
      </c>
      <c r="J30">
        <v>25</v>
      </c>
      <c r="K30" t="s">
        <v>202</v>
      </c>
      <c r="L30" t="s">
        <v>202</v>
      </c>
      <c r="M30" t="s">
        <v>197</v>
      </c>
      <c r="T30" t="s">
        <v>140</v>
      </c>
      <c r="U30">
        <v>29</v>
      </c>
      <c r="V30">
        <v>22</v>
      </c>
      <c r="W30">
        <v>3</v>
      </c>
      <c r="X30">
        <v>25</v>
      </c>
      <c r="AA30" t="str" cm="1">
        <f t="array" ref="AA30">_xlfn.IFS(D30=1,"No",D30=2,"Yes")</f>
        <v>No</v>
      </c>
      <c r="AB30" t="s">
        <v>169</v>
      </c>
    </row>
    <row r="31" spans="1:28">
      <c r="A31">
        <v>90</v>
      </c>
      <c r="D31">
        <v>1</v>
      </c>
      <c r="E31" t="s">
        <v>227</v>
      </c>
      <c r="F31">
        <v>30</v>
      </c>
      <c r="H31">
        <v>7</v>
      </c>
      <c r="I31">
        <v>33</v>
      </c>
      <c r="J31">
        <v>40</v>
      </c>
      <c r="K31">
        <v>1000</v>
      </c>
      <c r="L31">
        <v>175</v>
      </c>
      <c r="M31" t="s">
        <v>197</v>
      </c>
      <c r="T31" t="s">
        <v>140</v>
      </c>
      <c r="U31">
        <v>30</v>
      </c>
      <c r="V31">
        <v>33</v>
      </c>
      <c r="W31">
        <v>7</v>
      </c>
      <c r="X31">
        <v>40</v>
      </c>
      <c r="AA31" t="str" cm="1">
        <f t="array" ref="AA31">_xlfn.IFS(D31=1,"No",D31=2,"Yes")</f>
        <v>No</v>
      </c>
      <c r="AB31" t="s">
        <v>170</v>
      </c>
    </row>
    <row r="32" spans="1:28">
      <c r="A32">
        <v>91</v>
      </c>
      <c r="D32">
        <v>1</v>
      </c>
      <c r="E32" t="s">
        <v>228</v>
      </c>
      <c r="F32">
        <v>31</v>
      </c>
      <c r="H32">
        <v>0</v>
      </c>
      <c r="I32">
        <v>38</v>
      </c>
      <c r="J32">
        <v>38</v>
      </c>
      <c r="K32">
        <v>950</v>
      </c>
      <c r="L32">
        <v>0</v>
      </c>
      <c r="M32" t="s">
        <v>197</v>
      </c>
      <c r="T32" t="s">
        <v>140</v>
      </c>
      <c r="U32">
        <v>31</v>
      </c>
      <c r="V32">
        <v>38</v>
      </c>
      <c r="W32">
        <v>0</v>
      </c>
      <c r="X32">
        <v>38</v>
      </c>
      <c r="AA32" t="str" cm="1">
        <f t="array" ref="AA32">_xlfn.IFS(D32=1,"No",D32=2,"Yes")</f>
        <v>No</v>
      </c>
      <c r="AB32" t="s">
        <v>171</v>
      </c>
    </row>
    <row r="33" spans="1:28">
      <c r="A33">
        <v>232</v>
      </c>
      <c r="D33">
        <v>1</v>
      </c>
      <c r="E33" t="s">
        <v>229</v>
      </c>
      <c r="F33">
        <v>32</v>
      </c>
      <c r="H33">
        <v>9</v>
      </c>
      <c r="I33">
        <v>33</v>
      </c>
      <c r="J33">
        <v>42</v>
      </c>
      <c r="K33" t="s">
        <v>202</v>
      </c>
      <c r="L33" t="s">
        <v>202</v>
      </c>
      <c r="M33" t="s">
        <v>197</v>
      </c>
      <c r="T33" t="s">
        <v>140</v>
      </c>
      <c r="U33">
        <v>32</v>
      </c>
      <c r="V33">
        <v>33</v>
      </c>
      <c r="W33">
        <v>9</v>
      </c>
      <c r="X33">
        <v>42</v>
      </c>
      <c r="AA33" t="str" cm="1">
        <f t="array" ref="AA33">_xlfn.IFS(D33=1,"No",D33=2,"Yes")</f>
        <v>No</v>
      </c>
      <c r="AB33" t="s">
        <v>172</v>
      </c>
    </row>
    <row r="34" spans="1:28">
      <c r="A34">
        <v>233</v>
      </c>
      <c r="D34">
        <v>2</v>
      </c>
      <c r="E34" t="s">
        <v>230</v>
      </c>
      <c r="F34">
        <v>33</v>
      </c>
      <c r="H34">
        <v>14</v>
      </c>
      <c r="I34">
        <v>24</v>
      </c>
      <c r="J34">
        <v>38</v>
      </c>
      <c r="K34" t="s">
        <v>202</v>
      </c>
      <c r="L34" t="s">
        <v>202</v>
      </c>
      <c r="M34" t="s">
        <v>197</v>
      </c>
      <c r="T34" t="s">
        <v>140</v>
      </c>
      <c r="U34">
        <v>33</v>
      </c>
      <c r="V34">
        <v>24</v>
      </c>
      <c r="W34">
        <v>14</v>
      </c>
      <c r="X34">
        <v>38</v>
      </c>
      <c r="AA34" t="str" cm="1">
        <f t="array" ref="AA34">_xlfn.IFS(D34=1,"No",D34=2,"Yes")</f>
        <v>Yes</v>
      </c>
      <c r="AB34" t="s">
        <v>173</v>
      </c>
    </row>
    <row r="35" spans="1:28">
      <c r="A35">
        <v>234</v>
      </c>
      <c r="D35">
        <v>2</v>
      </c>
      <c r="E35" t="s">
        <v>231</v>
      </c>
      <c r="F35">
        <v>34</v>
      </c>
      <c r="H35">
        <v>17</v>
      </c>
      <c r="I35">
        <v>20</v>
      </c>
      <c r="J35">
        <v>37</v>
      </c>
      <c r="K35" t="s">
        <v>202</v>
      </c>
      <c r="L35" t="s">
        <v>202</v>
      </c>
      <c r="M35" t="s">
        <v>197</v>
      </c>
      <c r="T35" t="s">
        <v>140</v>
      </c>
      <c r="U35">
        <v>34</v>
      </c>
      <c r="V35">
        <v>20</v>
      </c>
      <c r="W35">
        <v>17</v>
      </c>
      <c r="X35">
        <v>37</v>
      </c>
      <c r="AA35" t="str" cm="1">
        <f t="array" ref="AA35">_xlfn.IFS(D35=1,"No",D35=2,"Yes")</f>
        <v>Yes</v>
      </c>
      <c r="AB35" t="s">
        <v>174</v>
      </c>
    </row>
    <row r="36" spans="1:28">
      <c r="A36">
        <v>235</v>
      </c>
      <c r="D36">
        <v>2</v>
      </c>
      <c r="E36" t="s">
        <v>232</v>
      </c>
      <c r="F36">
        <v>35</v>
      </c>
      <c r="H36" t="s">
        <v>202</v>
      </c>
      <c r="I36" t="s">
        <v>202</v>
      </c>
      <c r="J36" t="s">
        <v>202</v>
      </c>
      <c r="K36" t="s">
        <v>202</v>
      </c>
      <c r="L36" t="s">
        <v>202</v>
      </c>
      <c r="M36" t="s">
        <v>197</v>
      </c>
      <c r="T36" t="s">
        <v>140</v>
      </c>
      <c r="U36">
        <v>35</v>
      </c>
      <c r="V36" t="s">
        <v>202</v>
      </c>
      <c r="W36" t="s">
        <v>202</v>
      </c>
      <c r="X36" t="s">
        <v>202</v>
      </c>
      <c r="AA36" t="str" cm="1">
        <f t="array" ref="AA36">_xlfn.IFS(D36=1,"No",D36=2,"Yes")</f>
        <v>Yes</v>
      </c>
      <c r="AB36" t="s">
        <v>175</v>
      </c>
    </row>
    <row r="37" spans="1:28">
      <c r="A37">
        <v>92</v>
      </c>
      <c r="D37">
        <v>1</v>
      </c>
      <c r="E37" t="s">
        <v>233</v>
      </c>
      <c r="F37">
        <v>36</v>
      </c>
      <c r="H37">
        <v>9</v>
      </c>
      <c r="I37">
        <v>32</v>
      </c>
      <c r="J37">
        <v>41</v>
      </c>
      <c r="K37">
        <v>1025</v>
      </c>
      <c r="L37">
        <v>225</v>
      </c>
      <c r="M37" t="s">
        <v>197</v>
      </c>
      <c r="T37" t="s">
        <v>140</v>
      </c>
      <c r="U37">
        <v>36</v>
      </c>
      <c r="V37">
        <v>32</v>
      </c>
      <c r="W37">
        <v>9</v>
      </c>
      <c r="X37">
        <v>41</v>
      </c>
      <c r="AA37" t="str" cm="1">
        <f t="array" ref="AA37">_xlfn.IFS(D37=1,"No",D37=2,"Yes")</f>
        <v>No</v>
      </c>
      <c r="AB37" t="s">
        <v>176</v>
      </c>
    </row>
    <row r="38" spans="1:28">
      <c r="A38">
        <v>93</v>
      </c>
      <c r="D38">
        <v>1</v>
      </c>
      <c r="E38" t="s">
        <v>234</v>
      </c>
      <c r="F38">
        <v>37</v>
      </c>
      <c r="H38">
        <v>42</v>
      </c>
      <c r="I38">
        <v>1</v>
      </c>
      <c r="J38">
        <v>43</v>
      </c>
      <c r="K38">
        <v>1075</v>
      </c>
      <c r="L38">
        <v>1050</v>
      </c>
      <c r="M38" t="s">
        <v>197</v>
      </c>
      <c r="T38" t="s">
        <v>140</v>
      </c>
      <c r="U38">
        <v>37</v>
      </c>
      <c r="V38">
        <v>1</v>
      </c>
      <c r="W38">
        <v>42</v>
      </c>
      <c r="X38">
        <v>43</v>
      </c>
      <c r="AA38" t="str" cm="1">
        <f t="array" ref="AA38">_xlfn.IFS(D38=1,"No",D38=2,"Yes")</f>
        <v>No</v>
      </c>
      <c r="AB38" t="s">
        <v>177</v>
      </c>
    </row>
    <row r="39" spans="1:28">
      <c r="A39">
        <v>94</v>
      </c>
      <c r="D39">
        <v>1</v>
      </c>
      <c r="E39" t="s">
        <v>235</v>
      </c>
      <c r="F39">
        <v>38</v>
      </c>
      <c r="H39">
        <v>10</v>
      </c>
      <c r="I39">
        <v>28</v>
      </c>
      <c r="J39">
        <v>38</v>
      </c>
      <c r="K39">
        <v>950</v>
      </c>
      <c r="L39">
        <v>250</v>
      </c>
      <c r="M39" t="s">
        <v>197</v>
      </c>
      <c r="T39" t="s">
        <v>140</v>
      </c>
      <c r="U39">
        <v>38</v>
      </c>
      <c r="V39">
        <v>28</v>
      </c>
      <c r="W39">
        <v>10</v>
      </c>
      <c r="X39">
        <v>38</v>
      </c>
      <c r="AA39" t="str" cm="1">
        <f t="array" ref="AA39">_xlfn.IFS(D39=1,"No",D39=2,"Yes")</f>
        <v>No</v>
      </c>
      <c r="AB39" t="s">
        <v>178</v>
      </c>
    </row>
    <row r="40" spans="1:28">
      <c r="A40">
        <v>97</v>
      </c>
      <c r="D40">
        <v>1</v>
      </c>
      <c r="E40" t="s">
        <v>236</v>
      </c>
      <c r="F40">
        <v>39</v>
      </c>
      <c r="H40">
        <v>40</v>
      </c>
      <c r="I40">
        <v>2</v>
      </c>
      <c r="J40">
        <v>42</v>
      </c>
      <c r="K40">
        <v>1050</v>
      </c>
      <c r="L40">
        <v>1000</v>
      </c>
      <c r="M40" t="s">
        <v>197</v>
      </c>
      <c r="T40" t="s">
        <v>140</v>
      </c>
      <c r="U40">
        <v>39</v>
      </c>
      <c r="V40">
        <v>2</v>
      </c>
      <c r="W40">
        <v>40</v>
      </c>
      <c r="X40">
        <v>42</v>
      </c>
      <c r="AA40" t="str" cm="1">
        <f t="array" ref="AA40">_xlfn.IFS(D40=1,"No",D40=2,"Yes")</f>
        <v>No</v>
      </c>
      <c r="AB40" t="s">
        <v>179</v>
      </c>
    </row>
    <row r="41" spans="1:28">
      <c r="A41">
        <v>96</v>
      </c>
      <c r="D41">
        <v>1</v>
      </c>
      <c r="E41" t="s">
        <v>237</v>
      </c>
      <c r="F41">
        <v>40</v>
      </c>
      <c r="H41">
        <v>5</v>
      </c>
      <c r="I41">
        <v>33</v>
      </c>
      <c r="J41">
        <v>38</v>
      </c>
      <c r="K41">
        <v>950</v>
      </c>
      <c r="L41">
        <v>125</v>
      </c>
      <c r="M41" t="s">
        <v>197</v>
      </c>
      <c r="T41" t="s">
        <v>140</v>
      </c>
      <c r="U41">
        <v>40</v>
      </c>
      <c r="V41">
        <v>33</v>
      </c>
      <c r="W41">
        <v>5</v>
      </c>
      <c r="X41">
        <v>38</v>
      </c>
      <c r="AA41" t="str" cm="1">
        <f t="array" ref="AA41">_xlfn.IFS(D41=1,"No",D41=2,"Yes")</f>
        <v>No</v>
      </c>
      <c r="AB41" t="s">
        <v>180</v>
      </c>
    </row>
    <row r="42" spans="1:28">
      <c r="A42">
        <v>98</v>
      </c>
      <c r="D42">
        <v>1</v>
      </c>
      <c r="E42" t="s">
        <v>238</v>
      </c>
      <c r="F42">
        <v>41</v>
      </c>
      <c r="H42">
        <v>41</v>
      </c>
      <c r="I42">
        <v>2</v>
      </c>
      <c r="J42">
        <v>43</v>
      </c>
      <c r="K42">
        <v>1075</v>
      </c>
      <c r="L42">
        <v>1025</v>
      </c>
      <c r="M42" t="s">
        <v>197</v>
      </c>
      <c r="T42" t="s">
        <v>140</v>
      </c>
      <c r="U42">
        <v>41</v>
      </c>
      <c r="V42">
        <v>2</v>
      </c>
      <c r="W42">
        <v>41</v>
      </c>
      <c r="X42">
        <v>43</v>
      </c>
      <c r="AA42" t="str" cm="1">
        <f t="array" ref="AA42">_xlfn.IFS(D42=1,"No",D42=2,"Yes")</f>
        <v>No</v>
      </c>
      <c r="AB42" t="s">
        <v>181</v>
      </c>
    </row>
    <row r="43" spans="1:28">
      <c r="A43">
        <v>99</v>
      </c>
      <c r="D43">
        <v>1</v>
      </c>
      <c r="E43" t="s">
        <v>239</v>
      </c>
      <c r="F43">
        <v>42</v>
      </c>
      <c r="H43">
        <v>32</v>
      </c>
      <c r="I43">
        <v>7</v>
      </c>
      <c r="J43">
        <v>39</v>
      </c>
      <c r="K43">
        <v>975</v>
      </c>
      <c r="L43">
        <v>800</v>
      </c>
      <c r="M43" t="s">
        <v>197</v>
      </c>
      <c r="T43" t="s">
        <v>140</v>
      </c>
      <c r="U43">
        <v>42</v>
      </c>
      <c r="V43">
        <v>7</v>
      </c>
      <c r="W43">
        <v>32</v>
      </c>
      <c r="X43">
        <v>39</v>
      </c>
      <c r="AA43" t="str" cm="1">
        <f t="array" ref="AA43">_xlfn.IFS(D43=1,"No",D43=2,"Yes")</f>
        <v>No</v>
      </c>
      <c r="AB43" t="s">
        <v>182</v>
      </c>
    </row>
    <row r="44" spans="1:28">
      <c r="A44">
        <v>229</v>
      </c>
      <c r="D44">
        <v>2</v>
      </c>
      <c r="E44" t="s">
        <v>240</v>
      </c>
      <c r="F44">
        <v>43</v>
      </c>
      <c r="H44">
        <v>27</v>
      </c>
      <c r="I44">
        <v>6</v>
      </c>
      <c r="J44">
        <v>33</v>
      </c>
      <c r="K44" t="s">
        <v>202</v>
      </c>
      <c r="L44" t="s">
        <v>202</v>
      </c>
      <c r="M44" t="s">
        <v>197</v>
      </c>
      <c r="T44" t="s">
        <v>140</v>
      </c>
      <c r="U44">
        <v>43</v>
      </c>
      <c r="V44">
        <v>6</v>
      </c>
      <c r="W44">
        <v>27</v>
      </c>
      <c r="X44">
        <v>33</v>
      </c>
      <c r="AA44" t="str" cm="1">
        <f t="array" ref="AA44">_xlfn.IFS(D44=1,"No",D44=2,"Yes")</f>
        <v>Yes</v>
      </c>
      <c r="AB44" t="s">
        <v>183</v>
      </c>
    </row>
    <row r="45" spans="1:28">
      <c r="A45">
        <v>231</v>
      </c>
      <c r="D45">
        <v>2</v>
      </c>
      <c r="E45" t="s">
        <v>241</v>
      </c>
      <c r="F45">
        <v>44</v>
      </c>
      <c r="H45">
        <v>37</v>
      </c>
      <c r="I45">
        <v>6</v>
      </c>
      <c r="J45">
        <v>43</v>
      </c>
      <c r="K45" t="s">
        <v>202</v>
      </c>
      <c r="L45" t="s">
        <v>202</v>
      </c>
      <c r="M45" t="s">
        <v>197</v>
      </c>
      <c r="T45" t="s">
        <v>140</v>
      </c>
      <c r="U45">
        <v>44</v>
      </c>
      <c r="V45">
        <v>6</v>
      </c>
      <c r="W45">
        <v>37</v>
      </c>
      <c r="X45">
        <v>43</v>
      </c>
      <c r="AA45" t="str" cm="1">
        <f t="array" ref="AA45">_xlfn.IFS(D45=1,"No",D45=2,"Yes")</f>
        <v>Yes</v>
      </c>
      <c r="AB45" t="s">
        <v>184</v>
      </c>
    </row>
    <row r="46" spans="1:28">
      <c r="A46">
        <v>236</v>
      </c>
      <c r="D46">
        <v>1</v>
      </c>
      <c r="E46" t="s">
        <v>242</v>
      </c>
      <c r="F46">
        <v>45</v>
      </c>
      <c r="H46">
        <v>12</v>
      </c>
      <c r="I46">
        <v>31</v>
      </c>
      <c r="J46">
        <v>43</v>
      </c>
      <c r="K46" t="s">
        <v>202</v>
      </c>
      <c r="L46" t="s">
        <v>202</v>
      </c>
      <c r="M46" t="s">
        <v>197</v>
      </c>
      <c r="T46" t="s">
        <v>140</v>
      </c>
      <c r="U46">
        <v>45</v>
      </c>
      <c r="V46">
        <v>31</v>
      </c>
      <c r="W46">
        <v>12</v>
      </c>
      <c r="X46">
        <v>43</v>
      </c>
      <c r="AA46" t="str" cm="1">
        <f t="array" ref="AA46">_xlfn.IFS(D46=1,"No",D46=2,"Yes")</f>
        <v>No</v>
      </c>
      <c r="AB46" t="s">
        <v>185</v>
      </c>
    </row>
    <row r="47" spans="1:28">
      <c r="A47">
        <v>237</v>
      </c>
      <c r="D47">
        <v>1</v>
      </c>
      <c r="E47" t="s">
        <v>243</v>
      </c>
      <c r="F47">
        <v>46</v>
      </c>
      <c r="H47">
        <v>25</v>
      </c>
      <c r="I47">
        <v>13</v>
      </c>
      <c r="J47">
        <v>38</v>
      </c>
      <c r="K47" t="s">
        <v>202</v>
      </c>
      <c r="L47" t="s">
        <v>202</v>
      </c>
      <c r="M47" t="s">
        <v>197</v>
      </c>
      <c r="T47" t="s">
        <v>140</v>
      </c>
      <c r="U47">
        <v>46</v>
      </c>
      <c r="V47">
        <v>13</v>
      </c>
      <c r="W47">
        <v>25</v>
      </c>
      <c r="X47">
        <v>38</v>
      </c>
      <c r="AA47" t="str" cm="1">
        <f t="array" ref="AA47">_xlfn.IFS(D47=1,"No",D47=2,"Yes")</f>
        <v>No</v>
      </c>
      <c r="AB47" t="s">
        <v>186</v>
      </c>
    </row>
    <row r="48" spans="1:28">
      <c r="A48">
        <v>86</v>
      </c>
      <c r="D48">
        <v>1</v>
      </c>
      <c r="E48" t="s">
        <v>244</v>
      </c>
      <c r="F48">
        <v>47</v>
      </c>
      <c r="H48">
        <v>0</v>
      </c>
      <c r="I48">
        <v>42</v>
      </c>
      <c r="J48">
        <v>42</v>
      </c>
      <c r="K48">
        <v>1050</v>
      </c>
      <c r="L48">
        <v>0</v>
      </c>
      <c r="M48" t="s">
        <v>197</v>
      </c>
      <c r="T48" t="s">
        <v>140</v>
      </c>
      <c r="U48">
        <v>47</v>
      </c>
      <c r="V48">
        <v>42</v>
      </c>
      <c r="W48">
        <v>0</v>
      </c>
      <c r="X48">
        <v>42</v>
      </c>
      <c r="AA48" t="str" cm="1">
        <f t="array" ref="AA48">_xlfn.IFS(D48=1,"No",D48=2,"Yes")</f>
        <v>No</v>
      </c>
      <c r="AB48" t="s">
        <v>187</v>
      </c>
    </row>
    <row r="74" spans="1:9">
      <c r="A74" t="s">
        <v>0</v>
      </c>
      <c r="B74" t="s">
        <v>191</v>
      </c>
      <c r="C74" t="s">
        <v>2</v>
      </c>
      <c r="D74" t="s">
        <v>3</v>
      </c>
      <c r="E74" t="s">
        <v>192</v>
      </c>
      <c r="I74" t="s">
        <v>8</v>
      </c>
    </row>
    <row r="75" spans="1:9">
      <c r="A75" t="s">
        <v>53</v>
      </c>
      <c r="B75">
        <v>25</v>
      </c>
      <c r="C75">
        <v>10</v>
      </c>
      <c r="D75">
        <v>32</v>
      </c>
      <c r="E75">
        <v>42</v>
      </c>
      <c r="I75" t="s">
        <v>78</v>
      </c>
    </row>
    <row r="76" spans="1:9">
      <c r="A76" t="s">
        <v>53</v>
      </c>
      <c r="B76">
        <v>26</v>
      </c>
      <c r="C76">
        <v>28</v>
      </c>
      <c r="D76">
        <v>10</v>
      </c>
      <c r="E76">
        <v>38</v>
      </c>
      <c r="I76" t="s">
        <v>79</v>
      </c>
    </row>
    <row r="77" spans="1:9">
      <c r="A77" t="s">
        <v>53</v>
      </c>
      <c r="B77">
        <v>27</v>
      </c>
      <c r="C77">
        <v>13</v>
      </c>
      <c r="D77">
        <v>29</v>
      </c>
      <c r="E77">
        <v>42</v>
      </c>
      <c r="I77" t="s">
        <v>80</v>
      </c>
    </row>
    <row r="78" spans="1:9">
      <c r="A78" t="s">
        <v>53</v>
      </c>
      <c r="B78">
        <v>28</v>
      </c>
      <c r="C78">
        <v>25</v>
      </c>
      <c r="D78">
        <v>21</v>
      </c>
      <c r="E78">
        <v>46</v>
      </c>
      <c r="I78" t="s">
        <v>81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F3011F0DE4FD41850F34AD6E23369C" ma:contentTypeVersion="19" ma:contentTypeDescription="Create a new document." ma:contentTypeScope="" ma:versionID="087153dafd880956676cf90533cc527c">
  <xsd:schema xmlns:xsd="http://www.w3.org/2001/XMLSchema" xmlns:xs="http://www.w3.org/2001/XMLSchema" xmlns:p="http://schemas.microsoft.com/office/2006/metadata/properties" xmlns:ns2="e3139435-aae7-47f6-a069-74f42868de55" xmlns:ns3="15aa2668-ed50-478a-9cf3-ad7db29fc9e2" targetNamespace="http://schemas.microsoft.com/office/2006/metadata/properties" ma:root="true" ma:fieldsID="0416223c3356e1eeea30830432f8755a" ns2:_="" ns3:_="">
    <xsd:import namespace="e3139435-aae7-47f6-a069-74f42868de55"/>
    <xsd:import namespace="15aa2668-ed50-478a-9cf3-ad7db29fc9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139435-aae7-47f6-a069-74f42868de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04715d-1c9b-48df-a6a8-ad760c90cbb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aa2668-ed50-478a-9cf3-ad7db29fc9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389558f1-979a-4e45-883f-b0d326c82413}" ma:internalName="TaxCatchAll" ma:showField="CatchAllData" ma:web="15aa2668-ed50-478a-9cf3-ad7db29fc9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5aa2668-ed50-478a-9cf3-ad7db29fc9e2" xsi:nil="true"/>
    <lcf76f155ced4ddcb4097134ff3c332f xmlns="e3139435-aae7-47f6-a069-74f42868de5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16ACC15-A0D4-4077-A9C0-FE83B13D3769}"/>
</file>

<file path=customXml/itemProps2.xml><?xml version="1.0" encoding="utf-8"?>
<ds:datastoreItem xmlns:ds="http://schemas.openxmlformats.org/officeDocument/2006/customXml" ds:itemID="{FF4D49CD-DFB1-454B-BEA3-5063777B982D}"/>
</file>

<file path=customXml/itemProps3.xml><?xml version="1.0" encoding="utf-8"?>
<ds:datastoreItem xmlns:ds="http://schemas.openxmlformats.org/officeDocument/2006/customXml" ds:itemID="{A9D309E4-ADC9-4509-B687-B69F0AEC3A6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Moylan</dc:creator>
  <cp:keywords/>
  <dc:description/>
  <cp:lastModifiedBy/>
  <cp:revision/>
  <dcterms:created xsi:type="dcterms:W3CDTF">2026-09-14T06:40:21Z</dcterms:created>
  <dcterms:modified xsi:type="dcterms:W3CDTF">2026-09-29T00:40:27Z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0x01010069F3011F0DE4FD41850F34AD6E23369C</vt:lpwstr>
  </property>
</Properties>
</file>